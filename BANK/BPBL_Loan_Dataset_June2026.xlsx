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an_Data" sheetId="1" state="visible" r:id="rId3"/>
    <sheet name="Branch_Summary" sheetId="2" state="visible" r:id="rId4"/>
    <sheet name="Loan_Type_Summary" sheetId="3" state="visible" r:id="rId5"/>
    <sheet name="Risk_Analysis" sheetId="4" state="visible" r:id="rId6"/>
  </sheets>
  <definedNames>
    <definedName function="false" hidden="true" localSheetId="1" name="_xlnm._FilterDatabase" vbProcedure="false">Branch_Summary!$A$1:$O$16</definedName>
    <definedName function="false" hidden="true" localSheetId="0" name="_xlnm._FilterDatabase" vbProcedure="false">Loan_Data!$A$1:$AP$801</definedName>
    <definedName function="false" hidden="true" localSheetId="2" name="_xlnm._FilterDatabase" vbProcedure="false">Loan_Type_Summary!$A$1:$O$8</definedName>
    <definedName function="false" hidden="true" localSheetId="3" name="_xlnm._FilterDatabase" vbProcedure="false">Risk_Analysis!$A$1:$P$4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<sst xmlns="http://schemas.openxmlformats.org/spreadsheetml/2006/main" count="15762" uniqueCount="3063">
  <si>
    <t xml:space="preserve">Customer_ID</t>
  </si>
  <si>
    <t xml:space="preserve">Customer_Name</t>
  </si>
  <si>
    <t xml:space="preserve">Father_Name</t>
  </si>
  <si>
    <t xml:space="preserve">Gender</t>
  </si>
  <si>
    <t xml:space="preserve">Age</t>
  </si>
  <si>
    <t xml:space="preserve">Marital_Status</t>
  </si>
  <si>
    <t xml:space="preserve">Occupation</t>
  </si>
  <si>
    <t xml:space="preserve">Education_Level</t>
  </si>
  <si>
    <t xml:space="preserve">Monthly_Income</t>
  </si>
  <si>
    <t xml:space="preserve">Employment_Type</t>
  </si>
  <si>
    <t xml:space="preserve">Years_of_Employment</t>
  </si>
  <si>
    <t xml:space="preserve">District</t>
  </si>
  <si>
    <t xml:space="preserve">Division</t>
  </si>
  <si>
    <t xml:space="preserve">Residential_Status</t>
  </si>
  <si>
    <t xml:space="preserve">Number_of_Dependents</t>
  </si>
  <si>
    <t xml:space="preserve">Branch_ID</t>
  </si>
  <si>
    <t xml:space="preserve">Branch_Name</t>
  </si>
  <si>
    <t xml:space="preserve">Branch_City</t>
  </si>
  <si>
    <t xml:space="preserve">Branch_Division</t>
  </si>
  <si>
    <t xml:space="preserve">Loan_ID</t>
  </si>
  <si>
    <t xml:space="preserve">Loan_Type</t>
  </si>
  <si>
    <t xml:space="preserve">Loan_Amount</t>
  </si>
  <si>
    <t xml:space="preserve">Interest_Rate</t>
  </si>
  <si>
    <t xml:space="preserve">Loan_Term_Months</t>
  </si>
  <si>
    <t xml:space="preserve">Application_Date</t>
  </si>
  <si>
    <t xml:space="preserve">Approval_Date</t>
  </si>
  <si>
    <t xml:space="preserve">Disbursement_Date</t>
  </si>
  <si>
    <t xml:space="preserve">EMI_Amount</t>
  </si>
  <si>
    <t xml:space="preserve">Collateral_Value</t>
  </si>
  <si>
    <t xml:space="preserve">Existing_Loan_Count</t>
  </si>
  <si>
    <t xml:space="preserve">Account_Balance</t>
  </si>
  <si>
    <t xml:space="preserve">Savings_Amount</t>
  </si>
  <si>
    <t xml:space="preserve">Monthly_Transaction_Count</t>
  </si>
  <si>
    <t xml:space="preserve">Average_Monthly_Deposit</t>
  </si>
  <si>
    <t xml:space="preserve">Credit_Score</t>
  </si>
  <si>
    <t xml:space="preserve">Debt_to_Income_Ratio</t>
  </si>
  <si>
    <t xml:space="preserve">Risk_Level</t>
  </si>
  <si>
    <t xml:space="preserve">Late_Payment_Count</t>
  </si>
  <si>
    <t xml:space="preserve">Previous_Default</t>
  </si>
  <si>
    <t xml:space="preserve">Repayment_Status</t>
  </si>
  <si>
    <t xml:space="preserve">Loan_Status</t>
  </si>
  <si>
    <t xml:space="preserve">Default_Probability</t>
  </si>
  <si>
    <t xml:space="preserve">BPBL-CUS-000001</t>
  </si>
  <si>
    <t xml:space="preserve">Asaduzzaman Patwary</t>
  </si>
  <si>
    <t xml:space="preserve">Forhad Ahmed</t>
  </si>
  <si>
    <t xml:space="preserve">Male</t>
  </si>
  <si>
    <t xml:space="preserve">Single</t>
  </si>
  <si>
    <t xml:space="preserve">Engineer</t>
  </si>
  <si>
    <t xml:space="preserve">Bachelor's</t>
  </si>
  <si>
    <t xml:space="preserve">Private</t>
  </si>
  <si>
    <t xml:space="preserve">Feni</t>
  </si>
  <si>
    <t xml:space="preserve">Chattogram</t>
  </si>
  <si>
    <t xml:space="preserve">Own House</t>
  </si>
  <si>
    <t xml:space="preserve">BR-11</t>
  </si>
  <si>
    <t xml:space="preserve">BPBL Kandirpar Branch</t>
  </si>
  <si>
    <t xml:space="preserve">Cumilla</t>
  </si>
  <si>
    <t xml:space="preserve">BPBL-LN-2026-000001</t>
  </si>
  <si>
    <t xml:space="preserve">Home Loan</t>
  </si>
  <si>
    <t xml:space="preserve">No</t>
  </si>
  <si>
    <t xml:space="preserve">On Time</t>
  </si>
  <si>
    <t xml:space="preserve">Approved</t>
  </si>
  <si>
    <t xml:space="preserve">BPBL-CUS-000002</t>
  </si>
  <si>
    <t xml:space="preserve">Aktar Akand</t>
  </si>
  <si>
    <t xml:space="preserve">Imran Gazi</t>
  </si>
  <si>
    <t xml:space="preserve">Married</t>
  </si>
  <si>
    <t xml:space="preserve">Teacher</t>
  </si>
  <si>
    <t xml:space="preserve">Kushtia</t>
  </si>
  <si>
    <t xml:space="preserve">Khulna</t>
  </si>
  <si>
    <t xml:space="preserve">BR-13</t>
  </si>
  <si>
    <t xml:space="preserve">BPBL M.K. Road Branch</t>
  </si>
  <si>
    <t xml:space="preserve">Jessore</t>
  </si>
  <si>
    <t xml:space="preserve">BPBL-LN-2026-000002</t>
  </si>
  <si>
    <t xml:space="preserve">Business Loan</t>
  </si>
  <si>
    <t xml:space="preserve">BPBL-CUS-000003</t>
  </si>
  <si>
    <t xml:space="preserve">Rezaul Patwary</t>
  </si>
  <si>
    <t xml:space="preserve">Riaz Rahman</t>
  </si>
  <si>
    <t xml:space="preserve">Government Service</t>
  </si>
  <si>
    <t xml:space="preserve">HSC</t>
  </si>
  <si>
    <t xml:space="preserve">Government</t>
  </si>
  <si>
    <t xml:space="preserve">Habiganj</t>
  </si>
  <si>
    <t xml:space="preserve">Sylhet</t>
  </si>
  <si>
    <t xml:space="preserve">Family Owned</t>
  </si>
  <si>
    <t xml:space="preserve">BR-05</t>
  </si>
  <si>
    <t xml:space="preserve">BPBL Zindabazar Branch</t>
  </si>
  <si>
    <t xml:space="preserve">BPBL-LN-2026-000003</t>
  </si>
  <si>
    <t xml:space="preserve">Agricultural Loan</t>
  </si>
  <si>
    <t xml:space="preserve">Closed</t>
  </si>
  <si>
    <t xml:space="preserve">BPBL-CUS-000004</t>
  </si>
  <si>
    <t xml:space="preserve">Bashir Das</t>
  </si>
  <si>
    <t xml:space="preserve">Monir Mondol</t>
  </si>
  <si>
    <t xml:space="preserve">Retired</t>
  </si>
  <si>
    <t xml:space="preserve">Tangail</t>
  </si>
  <si>
    <t xml:space="preserve">Dhaka</t>
  </si>
  <si>
    <t xml:space="preserve">BR-10</t>
  </si>
  <si>
    <t xml:space="preserve">BPBL Chashara Branch</t>
  </si>
  <si>
    <t xml:space="preserve">Narayanganj</t>
  </si>
  <si>
    <t xml:space="preserve">BPBL-LN-2026-000004</t>
  </si>
  <si>
    <t xml:space="preserve">Personal Loan</t>
  </si>
  <si>
    <t xml:space="preserve">BPBL-CUS-000005</t>
  </si>
  <si>
    <t xml:space="preserve">Touhidul Sikder</t>
  </si>
  <si>
    <t xml:space="preserve">Mamunur Rahman</t>
  </si>
  <si>
    <t xml:space="preserve">Master's</t>
  </si>
  <si>
    <t xml:space="preserve">Staff Quarters</t>
  </si>
  <si>
    <t xml:space="preserve">BR-03</t>
  </si>
  <si>
    <t xml:space="preserve">BPBL Sonadanga Branch</t>
  </si>
  <si>
    <t xml:space="preserve">BPBL-LN-2026-000005</t>
  </si>
  <si>
    <t xml:space="preserve">BPBL-CUS-000006</t>
  </si>
  <si>
    <t xml:space="preserve">Ferdousi Khan</t>
  </si>
  <si>
    <t xml:space="preserve">Wahidul Sardar</t>
  </si>
  <si>
    <t xml:space="preserve">Female</t>
  </si>
  <si>
    <t xml:space="preserve">Housewife</t>
  </si>
  <si>
    <t xml:space="preserve">Below SSC</t>
  </si>
  <si>
    <t xml:space="preserve">Unemployed</t>
  </si>
  <si>
    <t xml:space="preserve">Nilphamari</t>
  </si>
  <si>
    <t xml:space="preserve">Rangpur</t>
  </si>
  <si>
    <t xml:space="preserve">BR-07</t>
  </si>
  <si>
    <t xml:space="preserve">BPBL Jahaj Company Mor Branch</t>
  </si>
  <si>
    <t xml:space="preserve">BPBL-LN-2026-000006</t>
  </si>
  <si>
    <t xml:space="preserve">Education Loan</t>
  </si>
  <si>
    <t xml:space="preserve">Delayed</t>
  </si>
  <si>
    <t xml:space="preserve">BPBL-CUS-000007</t>
  </si>
  <si>
    <t xml:space="preserve">Aminul Islam</t>
  </si>
  <si>
    <t xml:space="preserve">Aminul Faruqui</t>
  </si>
  <si>
    <t xml:space="preserve">SSC</t>
  </si>
  <si>
    <t xml:space="preserve">BR-14</t>
  </si>
  <si>
    <t xml:space="preserve">BPBL Victoria Road Branch</t>
  </si>
  <si>
    <t xml:space="preserve">BPBL-LN-2026-000007</t>
  </si>
  <si>
    <t xml:space="preserve">Rejected</t>
  </si>
  <si>
    <t xml:space="preserve">BPBL-CUS-000008</t>
  </si>
  <si>
    <t xml:space="preserve">Anika Mia</t>
  </si>
  <si>
    <t xml:space="preserve">Masud Sardar</t>
  </si>
  <si>
    <t xml:space="preserve">BR-02</t>
  </si>
  <si>
    <t xml:space="preserve">BPBL Agrabad Branch</t>
  </si>
  <si>
    <t xml:space="preserve">BPBL-LN-2026-000008</t>
  </si>
  <si>
    <t xml:space="preserve">Pending</t>
  </si>
  <si>
    <t xml:space="preserve">BPBL-CUS-000009</t>
  </si>
  <si>
    <t xml:space="preserve">Shirin Patwary</t>
  </si>
  <si>
    <t xml:space="preserve">Nurul Das</t>
  </si>
  <si>
    <t xml:space="preserve">Pirojpur</t>
  </si>
  <si>
    <t xml:space="preserve">Barishal</t>
  </si>
  <si>
    <t xml:space="preserve">Rented House</t>
  </si>
  <si>
    <t xml:space="preserve">BPBL-LN-2026-000009</t>
  </si>
  <si>
    <t xml:space="preserve">BPBL-CUS-000010</t>
  </si>
  <si>
    <t xml:space="preserve">Ashraf Khan</t>
  </si>
  <si>
    <t xml:space="preserve">Aminul Mia</t>
  </si>
  <si>
    <t xml:space="preserve">Self-Employed</t>
  </si>
  <si>
    <t xml:space="preserve">Chapainawabganj</t>
  </si>
  <si>
    <t xml:space="preserve">Rajshahi</t>
  </si>
  <si>
    <t xml:space="preserve">BR-04</t>
  </si>
  <si>
    <t xml:space="preserve">BPBL Shaheb Bazar Branch</t>
  </si>
  <si>
    <t xml:space="preserve">BPBL-LN-2026-000010</t>
  </si>
  <si>
    <t xml:space="preserve">BPBL-CUS-000011</t>
  </si>
  <si>
    <t xml:space="preserve">Tariqul Sheikh</t>
  </si>
  <si>
    <t xml:space="preserve">Mizanur Miah</t>
  </si>
  <si>
    <t xml:space="preserve">Freelancer</t>
  </si>
  <si>
    <t xml:space="preserve">BPBL-LN-2026-000011</t>
  </si>
  <si>
    <t xml:space="preserve">BPBL-CUS-000012</t>
  </si>
  <si>
    <t xml:space="preserve">Habibur Mia</t>
  </si>
  <si>
    <t xml:space="preserve">Delwar Talukder</t>
  </si>
  <si>
    <t xml:space="preserve">Mymensingh</t>
  </si>
  <si>
    <t xml:space="preserve">BR-08</t>
  </si>
  <si>
    <t xml:space="preserve">BPBL Notun Bazar Branch</t>
  </si>
  <si>
    <t xml:space="preserve">BPBL-LN-2026-000012</t>
  </si>
  <si>
    <t xml:space="preserve">BPBL-CUS-000013</t>
  </si>
  <si>
    <t xml:space="preserve">Yeasin Faruqui</t>
  </si>
  <si>
    <t xml:space="preserve">Aminul Hossain</t>
  </si>
  <si>
    <t xml:space="preserve">Doctor</t>
  </si>
  <si>
    <t xml:space="preserve">PhD</t>
  </si>
  <si>
    <t xml:space="preserve">Munshiganj</t>
  </si>
  <si>
    <t xml:space="preserve">BR-01</t>
  </si>
  <si>
    <t xml:space="preserve">BPBL Gulshan Branch</t>
  </si>
  <si>
    <t xml:space="preserve">BPBL-LN-2026-000013</t>
  </si>
  <si>
    <t xml:space="preserve">BPBL-CUS-000014</t>
  </si>
  <si>
    <t xml:space="preserve">Iqbal Khan</t>
  </si>
  <si>
    <t xml:space="preserve">Mahmudul Hawlader</t>
  </si>
  <si>
    <t xml:space="preserve">Widowed</t>
  </si>
  <si>
    <t xml:space="preserve">Business Owner</t>
  </si>
  <si>
    <t xml:space="preserve">Business</t>
  </si>
  <si>
    <t xml:space="preserve">Kishoreganj</t>
  </si>
  <si>
    <t xml:space="preserve">BPBL-LN-2026-000014</t>
  </si>
  <si>
    <t xml:space="preserve">Car Loan</t>
  </si>
  <si>
    <t xml:space="preserve">BPBL-CUS-000015</t>
  </si>
  <si>
    <t xml:space="preserve">Shafin Gazi</t>
  </si>
  <si>
    <t xml:space="preserve">Mostafa Khan</t>
  </si>
  <si>
    <t xml:space="preserve">BPBL-LN-2026-000015</t>
  </si>
  <si>
    <t xml:space="preserve">BPBL-CUS-000016</t>
  </si>
  <si>
    <t xml:space="preserve">Shafiqul Patwary</t>
  </si>
  <si>
    <t xml:space="preserve">Mehedi Ahmed</t>
  </si>
  <si>
    <t xml:space="preserve">Noakhali</t>
  </si>
  <si>
    <t xml:space="preserve">BR-15</t>
  </si>
  <si>
    <t xml:space="preserve">BPBL Maijdee Court Branch</t>
  </si>
  <si>
    <t xml:space="preserve">BPBL-LN-2026-000016</t>
  </si>
  <si>
    <t xml:space="preserve">SME Loan</t>
  </si>
  <si>
    <t xml:space="preserve">BPBL-CUS-000017</t>
  </si>
  <si>
    <t xml:space="preserve">Shamim Karim</t>
  </si>
  <si>
    <t xml:space="preserve">Mehedi Sardar</t>
  </si>
  <si>
    <t xml:space="preserve">Patuakhali</t>
  </si>
  <si>
    <t xml:space="preserve">BR-06</t>
  </si>
  <si>
    <t xml:space="preserve">BPBL Sadar Road Branch</t>
  </si>
  <si>
    <t xml:space="preserve">BPBL-LN-2026-000017</t>
  </si>
  <si>
    <t xml:space="preserve">BPBL-CUS-000018</t>
  </si>
  <si>
    <t xml:space="preserve">Yeasin Miah</t>
  </si>
  <si>
    <t xml:space="preserve">Tanvir Sarkar</t>
  </si>
  <si>
    <t xml:space="preserve">BPBL-LN-2026-000018</t>
  </si>
  <si>
    <t xml:space="preserve">BPBL-CUS-000019</t>
  </si>
  <si>
    <t xml:space="preserve">Nazrul Mollah</t>
  </si>
  <si>
    <t xml:space="preserve">Tanvir Mia</t>
  </si>
  <si>
    <t xml:space="preserve">Private Service</t>
  </si>
  <si>
    <t xml:space="preserve">Lalmonirhat</t>
  </si>
  <si>
    <t xml:space="preserve">BR-12</t>
  </si>
  <si>
    <t xml:space="preserve">BPBL Satmatha Branch</t>
  </si>
  <si>
    <t xml:space="preserve">Bogura</t>
  </si>
  <si>
    <t xml:space="preserve">BPBL-LN-2026-000019</t>
  </si>
  <si>
    <t xml:space="preserve">BPBL-CUS-000020</t>
  </si>
  <si>
    <t xml:space="preserve">Touhidul Pramanik</t>
  </si>
  <si>
    <t xml:space="preserve">Shamim Roy</t>
  </si>
  <si>
    <t xml:space="preserve">BPBL-LN-2026-000020</t>
  </si>
  <si>
    <t xml:space="preserve">BPBL-CUS-000021</t>
  </si>
  <si>
    <t xml:space="preserve">Hossain Sardar</t>
  </si>
  <si>
    <t xml:space="preserve">Nurul Miah</t>
  </si>
  <si>
    <t xml:space="preserve">Cox's Bazar</t>
  </si>
  <si>
    <t xml:space="preserve">BPBL-LN-2026-000021</t>
  </si>
  <si>
    <t xml:space="preserve">BPBL-CUS-000022</t>
  </si>
  <si>
    <t xml:space="preserve">Nayeem Majumder</t>
  </si>
  <si>
    <t xml:space="preserve">Towhid Talukder</t>
  </si>
  <si>
    <t xml:space="preserve">BPBL-LN-2026-000022</t>
  </si>
  <si>
    <t xml:space="preserve">BPBL-CUS-000023</t>
  </si>
  <si>
    <t xml:space="preserve">Shapla Rahman</t>
  </si>
  <si>
    <t xml:space="preserve">Ataur Miah</t>
  </si>
  <si>
    <t xml:space="preserve">BR-09</t>
  </si>
  <si>
    <t xml:space="preserve">BPBL Chandona Chowrasta Branch</t>
  </si>
  <si>
    <t xml:space="preserve">Gazipur</t>
  </si>
  <si>
    <t xml:space="preserve">BPBL-LN-2026-000023</t>
  </si>
  <si>
    <t xml:space="preserve">Yes</t>
  </si>
  <si>
    <t xml:space="preserve">BPBL-CUS-000024</t>
  </si>
  <si>
    <t xml:space="preserve">Borsha Mondol</t>
  </si>
  <si>
    <t xml:space="preserve">Nurul Sarker</t>
  </si>
  <si>
    <t xml:space="preserve">BPBL-LN-2026-000024</t>
  </si>
  <si>
    <t xml:space="preserve">BPBL-CUS-000025</t>
  </si>
  <si>
    <t xml:space="preserve">Rokeya Sarker</t>
  </si>
  <si>
    <t xml:space="preserve">Hasan Sheikh</t>
  </si>
  <si>
    <t xml:space="preserve">Faridpur</t>
  </si>
  <si>
    <t xml:space="preserve">BPBL-LN-2026-000025</t>
  </si>
  <si>
    <t xml:space="preserve">BPBL-CUS-000026</t>
  </si>
  <si>
    <t xml:space="preserve">Rezaul Miah</t>
  </si>
  <si>
    <t xml:space="preserve">Zahirul Hasan</t>
  </si>
  <si>
    <t xml:space="preserve">Farmer</t>
  </si>
  <si>
    <t xml:space="preserve">Moulvibazar</t>
  </si>
  <si>
    <t xml:space="preserve">BPBL-LN-2026-000026</t>
  </si>
  <si>
    <t xml:space="preserve">BPBL-CUS-000027</t>
  </si>
  <si>
    <t xml:space="preserve">Ataur Karim</t>
  </si>
  <si>
    <t xml:space="preserve">Jasim Hawlader</t>
  </si>
  <si>
    <t xml:space="preserve">Gaibandha</t>
  </si>
  <si>
    <t xml:space="preserve">BPBL-LN-2026-000027</t>
  </si>
  <si>
    <t xml:space="preserve">BPBL-CUS-000028</t>
  </si>
  <si>
    <t xml:space="preserve">Liton Hasan</t>
  </si>
  <si>
    <t xml:space="preserve">Quamrul Hawlader</t>
  </si>
  <si>
    <t xml:space="preserve">BPBL-LN-2026-000028</t>
  </si>
  <si>
    <t xml:space="preserve">Missed Payment</t>
  </si>
  <si>
    <t xml:space="preserve">BPBL-CUS-000029</t>
  </si>
  <si>
    <t xml:space="preserve">Promi Munshi</t>
  </si>
  <si>
    <t xml:space="preserve">Mizanur Chowdhury</t>
  </si>
  <si>
    <t xml:space="preserve">Bhola</t>
  </si>
  <si>
    <t xml:space="preserve">BPBL-LN-2026-000029</t>
  </si>
  <si>
    <t xml:space="preserve">BPBL-CUS-000030</t>
  </si>
  <si>
    <t xml:space="preserve">Kamal Faruqui</t>
  </si>
  <si>
    <t xml:space="preserve">Touhidul Hossain</t>
  </si>
  <si>
    <t xml:space="preserve">BPBL-LN-2026-000030</t>
  </si>
  <si>
    <t xml:space="preserve">BPBL-CUS-000031</t>
  </si>
  <si>
    <t xml:space="preserve">Bashir Patwary</t>
  </si>
  <si>
    <t xml:space="preserve">BPBL-LN-2026-000031</t>
  </si>
  <si>
    <t xml:space="preserve">BPBL-CUS-000032</t>
  </si>
  <si>
    <t xml:space="preserve">Sohel Bhuiyan</t>
  </si>
  <si>
    <t xml:space="preserve">Ashraf Patwary</t>
  </si>
  <si>
    <t xml:space="preserve">Jhenaidah</t>
  </si>
  <si>
    <t xml:space="preserve">BPBL-LN-2026-000032</t>
  </si>
  <si>
    <t xml:space="preserve">BPBL-CUS-000033</t>
  </si>
  <si>
    <t xml:space="preserve">Monir Sheikh</t>
  </si>
  <si>
    <t xml:space="preserve">Mostafa Munshi</t>
  </si>
  <si>
    <t xml:space="preserve">Khagrachari</t>
  </si>
  <si>
    <t xml:space="preserve">BPBL-LN-2026-000033</t>
  </si>
  <si>
    <t xml:space="preserve">BPBL-CUS-000034</t>
  </si>
  <si>
    <t xml:space="preserve">Sathi Sarkar</t>
  </si>
  <si>
    <t xml:space="preserve">Anisur Talukder</t>
  </si>
  <si>
    <t xml:space="preserve">BPBL-LN-2026-000034</t>
  </si>
  <si>
    <t xml:space="preserve">BPBL-CUS-000035</t>
  </si>
  <si>
    <t xml:space="preserve">Eti Das</t>
  </si>
  <si>
    <t xml:space="preserve">Arif Ahmed</t>
  </si>
  <si>
    <t xml:space="preserve">Natore</t>
  </si>
  <si>
    <t xml:space="preserve">BPBL-LN-2026-000035</t>
  </si>
  <si>
    <t xml:space="preserve">BPBL-CUS-000036</t>
  </si>
  <si>
    <t xml:space="preserve">Aminul Chowdhury</t>
  </si>
  <si>
    <t xml:space="preserve">Golam Miah</t>
  </si>
  <si>
    <t xml:space="preserve">BPBL-LN-2026-000036</t>
  </si>
  <si>
    <t xml:space="preserve">BPBL-CUS-000037</t>
  </si>
  <si>
    <t xml:space="preserve">Aminul Sarkar</t>
  </si>
  <si>
    <t xml:space="preserve">Golam Rahman</t>
  </si>
  <si>
    <t xml:space="preserve">Madaripur</t>
  </si>
  <si>
    <t xml:space="preserve">BPBL-LN-2026-000037</t>
  </si>
  <si>
    <t xml:space="preserve">BPBL-CUS-000038</t>
  </si>
  <si>
    <t xml:space="preserve">Nazrul Uddin</t>
  </si>
  <si>
    <t xml:space="preserve">Rashedul Patwary</t>
  </si>
  <si>
    <t xml:space="preserve">Magura</t>
  </si>
  <si>
    <t xml:space="preserve">BPBL-LN-2026-000038</t>
  </si>
  <si>
    <t xml:space="preserve">BPBL-CUS-000039</t>
  </si>
  <si>
    <t xml:space="preserve">Ruma Sikder</t>
  </si>
  <si>
    <t xml:space="preserve">Quamrul Pramanik</t>
  </si>
  <si>
    <t xml:space="preserve">BPBL-LN-2026-000039</t>
  </si>
  <si>
    <t xml:space="preserve">BPBL-CUS-000040</t>
  </si>
  <si>
    <t xml:space="preserve">Tahmina Das</t>
  </si>
  <si>
    <t xml:space="preserve">Imran Saha</t>
  </si>
  <si>
    <t xml:space="preserve">BPBL-LN-2026-000040</t>
  </si>
  <si>
    <t xml:space="preserve">BPBL-CUS-000041</t>
  </si>
  <si>
    <t xml:space="preserve">Emdadul Ahmed</t>
  </si>
  <si>
    <t xml:space="preserve">Nurul Hawlader</t>
  </si>
  <si>
    <t xml:space="preserve">BPBL-LN-2026-000041</t>
  </si>
  <si>
    <t xml:space="preserve">BPBL-CUS-000042</t>
  </si>
  <si>
    <t xml:space="preserve">Aminul Alam</t>
  </si>
  <si>
    <t xml:space="preserve">Mostafa Gazi</t>
  </si>
  <si>
    <t xml:space="preserve">BPBL-LN-2026-000042</t>
  </si>
  <si>
    <t xml:space="preserve">BPBL-CUS-000043</t>
  </si>
  <si>
    <t xml:space="preserve">Beauty Roy</t>
  </si>
  <si>
    <t xml:space="preserve">Quamrul Karim</t>
  </si>
  <si>
    <t xml:space="preserve">BPBL-LN-2026-000043</t>
  </si>
  <si>
    <t xml:space="preserve">BPBL-CUS-000044</t>
  </si>
  <si>
    <t xml:space="preserve">Golam Hawlader</t>
  </si>
  <si>
    <t xml:space="preserve">Zahirul Mondol</t>
  </si>
  <si>
    <t xml:space="preserve">Narsingdi</t>
  </si>
  <si>
    <t xml:space="preserve">BPBL-LN-2026-000044</t>
  </si>
  <si>
    <t xml:space="preserve">BPBL-CUS-000045</t>
  </si>
  <si>
    <t xml:space="preserve">Poly Uddin</t>
  </si>
  <si>
    <t xml:space="preserve">Hasan Hossain</t>
  </si>
  <si>
    <t xml:space="preserve">BPBL-LN-2026-000045</t>
  </si>
  <si>
    <t xml:space="preserve">BPBL-CUS-000046</t>
  </si>
  <si>
    <t xml:space="preserve">Rashida Khondkar</t>
  </si>
  <si>
    <t xml:space="preserve">Bashir Akter</t>
  </si>
  <si>
    <t xml:space="preserve">BPBL-LN-2026-000046</t>
  </si>
  <si>
    <t xml:space="preserve">BPBL-CUS-000047</t>
  </si>
  <si>
    <t xml:space="preserve">Quamrul Akter</t>
  </si>
  <si>
    <t xml:space="preserve">Shamim Khan</t>
  </si>
  <si>
    <t xml:space="preserve">BPBL-LN-2026-000047</t>
  </si>
  <si>
    <t xml:space="preserve">BPBL-CUS-000048</t>
  </si>
  <si>
    <t xml:space="preserve">Jasim Akand</t>
  </si>
  <si>
    <t xml:space="preserve">Jasim Sheikh</t>
  </si>
  <si>
    <t xml:space="preserve">BPBL-LN-2026-000048</t>
  </si>
  <si>
    <t xml:space="preserve">BPBL-CUS-000049</t>
  </si>
  <si>
    <t xml:space="preserve">Mostafa Sikder</t>
  </si>
  <si>
    <t xml:space="preserve">Riaz Bhuiyan</t>
  </si>
  <si>
    <t xml:space="preserve">Bagerhat</t>
  </si>
  <si>
    <t xml:space="preserve">BPBL-LN-2026-000049</t>
  </si>
  <si>
    <t xml:space="preserve">BPBL-CUS-000050</t>
  </si>
  <si>
    <t xml:space="preserve">Robiul Islam</t>
  </si>
  <si>
    <t xml:space="preserve">Rashedul Das</t>
  </si>
  <si>
    <t xml:space="preserve">BPBL-LN-2026-000050</t>
  </si>
  <si>
    <t xml:space="preserve">BPBL-CUS-000051</t>
  </si>
  <si>
    <t xml:space="preserve">Jamal Akter</t>
  </si>
  <si>
    <t xml:space="preserve">Rashedul Mridha</t>
  </si>
  <si>
    <t xml:space="preserve">BPBL-LN-2026-000051</t>
  </si>
  <si>
    <t xml:space="preserve">BPBL-CUS-000052</t>
  </si>
  <si>
    <t xml:space="preserve">Mahmudul Uddin</t>
  </si>
  <si>
    <t xml:space="preserve">Shakil Mollah</t>
  </si>
  <si>
    <t xml:space="preserve">BPBL-LN-2026-000052</t>
  </si>
  <si>
    <t xml:space="preserve">BPBL-CUS-000053</t>
  </si>
  <si>
    <t xml:space="preserve">Razia Hasan</t>
  </si>
  <si>
    <t xml:space="preserve">Jasim Gazi</t>
  </si>
  <si>
    <t xml:space="preserve">BPBL-LN-2026-000053</t>
  </si>
  <si>
    <t xml:space="preserve">BPBL-CUS-000054</t>
  </si>
  <si>
    <t xml:space="preserve">Morsheda Hawlader</t>
  </si>
  <si>
    <t xml:space="preserve">Ekram Uddin</t>
  </si>
  <si>
    <t xml:space="preserve">BPBL-LN-2026-000054</t>
  </si>
  <si>
    <t xml:space="preserve">BPBL-CUS-000055</t>
  </si>
  <si>
    <t xml:space="preserve">Faruk Hawlader</t>
  </si>
  <si>
    <t xml:space="preserve">Zubayer Howlader</t>
  </si>
  <si>
    <t xml:space="preserve">BPBL-LN-2026-000055</t>
  </si>
  <si>
    <t xml:space="preserve">BPBL-CUS-000056</t>
  </si>
  <si>
    <t xml:space="preserve">Rezaul Mollah</t>
  </si>
  <si>
    <t xml:space="preserve">Ashraf Uddin</t>
  </si>
  <si>
    <t xml:space="preserve">BPBL-LN-2026-000056</t>
  </si>
  <si>
    <t xml:space="preserve">BPBL-CUS-000057</t>
  </si>
  <si>
    <t xml:space="preserve">Mukta Pramanik</t>
  </si>
  <si>
    <t xml:space="preserve">Manikganj</t>
  </si>
  <si>
    <t xml:space="preserve">BPBL-LN-2026-000057</t>
  </si>
  <si>
    <t xml:space="preserve">BPBL-CUS-000058</t>
  </si>
  <si>
    <t xml:space="preserve">Farzana Islam</t>
  </si>
  <si>
    <t xml:space="preserve">Liton Khondkar</t>
  </si>
  <si>
    <t xml:space="preserve">BPBL-LN-2026-000058</t>
  </si>
  <si>
    <t xml:space="preserve">BPBL-CUS-000059</t>
  </si>
  <si>
    <t xml:space="preserve">Jahangir Mridha</t>
  </si>
  <si>
    <t xml:space="preserve">Ataur Roy</t>
  </si>
  <si>
    <t xml:space="preserve">BPBL-LN-2026-000059</t>
  </si>
  <si>
    <t xml:space="preserve">BPBL-CUS-000060</t>
  </si>
  <si>
    <t xml:space="preserve">Liza Bhuiyan</t>
  </si>
  <si>
    <t xml:space="preserve">Faruk Uddin</t>
  </si>
  <si>
    <t xml:space="preserve">BPBL-LN-2026-000060</t>
  </si>
  <si>
    <t xml:space="preserve">BPBL-CUS-000061</t>
  </si>
  <si>
    <t xml:space="preserve">Delwar Sardar</t>
  </si>
  <si>
    <t xml:space="preserve">Sohel Khan</t>
  </si>
  <si>
    <t xml:space="preserve">BPBL-LN-2026-000061</t>
  </si>
  <si>
    <t xml:space="preserve">BPBL-CUS-000062</t>
  </si>
  <si>
    <t xml:space="preserve">Tanvir Patwary</t>
  </si>
  <si>
    <t xml:space="preserve">BPBL-LN-2026-000062</t>
  </si>
  <si>
    <t xml:space="preserve">BPBL-CUS-000063</t>
  </si>
  <si>
    <t xml:space="preserve">Salma Munshi</t>
  </si>
  <si>
    <t xml:space="preserve">Mostafa Pramanik</t>
  </si>
  <si>
    <t xml:space="preserve">BPBL-LN-2026-000063</t>
  </si>
  <si>
    <t xml:space="preserve">BPBL-CUS-000064</t>
  </si>
  <si>
    <t xml:space="preserve">Kamal Mridha</t>
  </si>
  <si>
    <t xml:space="preserve">Towhid Das</t>
  </si>
  <si>
    <t xml:space="preserve">BPBL-LN-2026-000064</t>
  </si>
  <si>
    <t xml:space="preserve">BPBL-CUS-000065</t>
  </si>
  <si>
    <t xml:space="preserve">Shahidul Karim</t>
  </si>
  <si>
    <t xml:space="preserve">Zahirul Hawlader</t>
  </si>
  <si>
    <t xml:space="preserve">BPBL-LN-2026-000065</t>
  </si>
  <si>
    <t xml:space="preserve">BPBL-CUS-000066</t>
  </si>
  <si>
    <t xml:space="preserve">Abdul Alam</t>
  </si>
  <si>
    <t xml:space="preserve">Forhad Mondol</t>
  </si>
  <si>
    <t xml:space="preserve">Naogaon</t>
  </si>
  <si>
    <t xml:space="preserve">BPBL-LN-2026-000066</t>
  </si>
  <si>
    <t xml:space="preserve">BPBL-CUS-000067</t>
  </si>
  <si>
    <t xml:space="preserve">Mahmudul Roy</t>
  </si>
  <si>
    <t xml:space="preserve">Selim Chowdhury</t>
  </si>
  <si>
    <t xml:space="preserve">BPBL-LN-2026-000067</t>
  </si>
  <si>
    <t xml:space="preserve">BPBL-CUS-000068</t>
  </si>
  <si>
    <t xml:space="preserve">Mahmudul Sarkar</t>
  </si>
  <si>
    <t xml:space="preserve">Robiul Das</t>
  </si>
  <si>
    <t xml:space="preserve">BPBL-LN-2026-000068</t>
  </si>
  <si>
    <t xml:space="preserve">BPBL-CUS-000069</t>
  </si>
  <si>
    <t xml:space="preserve">Jesmin Mondol</t>
  </si>
  <si>
    <t xml:space="preserve">Nayeem Hossain</t>
  </si>
  <si>
    <t xml:space="preserve">Sherpur</t>
  </si>
  <si>
    <t xml:space="preserve">BPBL-LN-2026-000069</t>
  </si>
  <si>
    <t xml:space="preserve">BPBL-CUS-000070</t>
  </si>
  <si>
    <t xml:space="preserve">Ferdousi Uddin</t>
  </si>
  <si>
    <t xml:space="preserve">Rakib Majumder</t>
  </si>
  <si>
    <t xml:space="preserve">Divorced</t>
  </si>
  <si>
    <t xml:space="preserve">BPBL-LN-2026-000070</t>
  </si>
  <si>
    <t xml:space="preserve">BPBL-CUS-000071</t>
  </si>
  <si>
    <t xml:space="preserve">Bashir Biswas</t>
  </si>
  <si>
    <t xml:space="preserve">Mahmudul Biswas</t>
  </si>
  <si>
    <t xml:space="preserve">BPBL-LN-2026-000071</t>
  </si>
  <si>
    <t xml:space="preserve">BPBL-CUS-000072</t>
  </si>
  <si>
    <t xml:space="preserve">Imran Sardar</t>
  </si>
  <si>
    <t xml:space="preserve">Golam Akand</t>
  </si>
  <si>
    <t xml:space="preserve">BPBL-LN-2026-000072</t>
  </si>
  <si>
    <t xml:space="preserve">BPBL-CUS-000073</t>
  </si>
  <si>
    <t xml:space="preserve">Tariqul Khan</t>
  </si>
  <si>
    <t xml:space="preserve">Hossain Hawlader</t>
  </si>
  <si>
    <t xml:space="preserve">BPBL-LN-2026-000073</t>
  </si>
  <si>
    <t xml:space="preserve">BPBL-CUS-000074</t>
  </si>
  <si>
    <t xml:space="preserve">Jesmin Saha</t>
  </si>
  <si>
    <t xml:space="preserve">Zubayer Mia</t>
  </si>
  <si>
    <t xml:space="preserve">BPBL-LN-2026-000074</t>
  </si>
  <si>
    <t xml:space="preserve">BPBL-CUS-000075</t>
  </si>
  <si>
    <t xml:space="preserve">Masud Sarker</t>
  </si>
  <si>
    <t xml:space="preserve">Tariqul Chowdhury</t>
  </si>
  <si>
    <t xml:space="preserve">BPBL-LN-2026-000075</t>
  </si>
  <si>
    <t xml:space="preserve">BPBL-CUS-000076</t>
  </si>
  <si>
    <t xml:space="preserve">Faruk Mollah</t>
  </si>
  <si>
    <t xml:space="preserve">Tanvir Pramanik</t>
  </si>
  <si>
    <t xml:space="preserve">BPBL-LN-2026-000076</t>
  </si>
  <si>
    <t xml:space="preserve">BPBL-CUS-000077</t>
  </si>
  <si>
    <t xml:space="preserve">Nipa Sarker</t>
  </si>
  <si>
    <t xml:space="preserve">Shamim Chowdhury</t>
  </si>
  <si>
    <t xml:space="preserve">Brahmanbaria</t>
  </si>
  <si>
    <t xml:space="preserve">BPBL-LN-2026-000077</t>
  </si>
  <si>
    <t xml:space="preserve">BPBL-CUS-000078</t>
  </si>
  <si>
    <t xml:space="preserve">Shamim Ahmed</t>
  </si>
  <si>
    <t xml:space="preserve">Jasim Howlader</t>
  </si>
  <si>
    <t xml:space="preserve">BPBL-LN-2026-000078</t>
  </si>
  <si>
    <t xml:space="preserve">BPBL-CUS-000079</t>
  </si>
  <si>
    <t xml:space="preserve">Liza Khan</t>
  </si>
  <si>
    <t xml:space="preserve">Robiul Biswas</t>
  </si>
  <si>
    <t xml:space="preserve">BPBL-LN-2026-000079</t>
  </si>
  <si>
    <t xml:space="preserve">BPBL-CUS-000080</t>
  </si>
  <si>
    <t xml:space="preserve">Jesmin Roy</t>
  </si>
  <si>
    <t xml:space="preserve">Monir Hawlader</t>
  </si>
  <si>
    <t xml:space="preserve">Satkhira</t>
  </si>
  <si>
    <t xml:space="preserve">BPBL-LN-2026-000080</t>
  </si>
  <si>
    <t xml:space="preserve">BPBL-CUS-000081</t>
  </si>
  <si>
    <t xml:space="preserve">Hasan Das</t>
  </si>
  <si>
    <t xml:space="preserve">Faruk Sarker</t>
  </si>
  <si>
    <t xml:space="preserve">Jamalpur</t>
  </si>
  <si>
    <t xml:space="preserve">BPBL-LN-2026-000081</t>
  </si>
  <si>
    <t xml:space="preserve">BPBL-CUS-000082</t>
  </si>
  <si>
    <t xml:space="preserve">Mizanur Majumder</t>
  </si>
  <si>
    <t xml:space="preserve">Sohel Majumder</t>
  </si>
  <si>
    <t xml:space="preserve">BPBL-LN-2026-000082</t>
  </si>
  <si>
    <t xml:space="preserve">BPBL-CUS-000083</t>
  </si>
  <si>
    <t xml:space="preserve">Sadia Karim</t>
  </si>
  <si>
    <t xml:space="preserve">Mahmudul Sheikh</t>
  </si>
  <si>
    <t xml:space="preserve">BPBL-LN-2026-000083</t>
  </si>
  <si>
    <t xml:space="preserve">BPBL-CUS-000084</t>
  </si>
  <si>
    <t xml:space="preserve">Farzana Sarkar</t>
  </si>
  <si>
    <t xml:space="preserve">Hasan Sarker</t>
  </si>
  <si>
    <t xml:space="preserve">BPBL-LN-2026-000084</t>
  </si>
  <si>
    <t xml:space="preserve">BPBL-CUS-000085</t>
  </si>
  <si>
    <t xml:space="preserve">Jannatul Pramanik</t>
  </si>
  <si>
    <t xml:space="preserve">Nurul Howlader</t>
  </si>
  <si>
    <t xml:space="preserve">BPBL-LN-2026-000085</t>
  </si>
  <si>
    <t xml:space="preserve">BPBL-CUS-000086</t>
  </si>
  <si>
    <t xml:space="preserve">Suraiya Gazi</t>
  </si>
  <si>
    <t xml:space="preserve">BPBL-LN-2026-000086</t>
  </si>
  <si>
    <t xml:space="preserve">BPBL-CUS-000087</t>
  </si>
  <si>
    <t xml:space="preserve">Robiul Karim</t>
  </si>
  <si>
    <t xml:space="preserve">Lakshmipur</t>
  </si>
  <si>
    <t xml:space="preserve">BPBL-LN-2026-000087</t>
  </si>
  <si>
    <t xml:space="preserve">BPBL-CUS-000088</t>
  </si>
  <si>
    <t xml:space="preserve">Hossain Alam</t>
  </si>
  <si>
    <t xml:space="preserve">Asaduzzaman Uddin</t>
  </si>
  <si>
    <t xml:space="preserve">BPBL-LN-2026-000088</t>
  </si>
  <si>
    <t xml:space="preserve">BPBL-CUS-000089</t>
  </si>
  <si>
    <t xml:space="preserve">Mahmuda Mridha</t>
  </si>
  <si>
    <t xml:space="preserve">Bashir Sardar</t>
  </si>
  <si>
    <t xml:space="preserve">BPBL-LN-2026-000089</t>
  </si>
  <si>
    <t xml:space="preserve">BPBL-CUS-000090</t>
  </si>
  <si>
    <t xml:space="preserve">Anwar Howlader</t>
  </si>
  <si>
    <t xml:space="preserve">Monir Karim</t>
  </si>
  <si>
    <t xml:space="preserve">BPBL-LN-2026-000090</t>
  </si>
  <si>
    <t xml:space="preserve">BPBL-CUS-000091</t>
  </si>
  <si>
    <t xml:space="preserve">Zubayer Alam</t>
  </si>
  <si>
    <t xml:space="preserve">Emdadul Pramanik</t>
  </si>
  <si>
    <t xml:space="preserve">BPBL-LN-2026-000091</t>
  </si>
  <si>
    <t xml:space="preserve">BPBL-CUS-000092</t>
  </si>
  <si>
    <t xml:space="preserve">Kulsum Saha</t>
  </si>
  <si>
    <t xml:space="preserve">Delwar Hawlader</t>
  </si>
  <si>
    <t xml:space="preserve">BPBL-LN-2026-000092</t>
  </si>
  <si>
    <t xml:space="preserve">BPBL-CUS-000093</t>
  </si>
  <si>
    <t xml:space="preserve">Shapla Chowdhury</t>
  </si>
  <si>
    <t xml:space="preserve">Jamal Khan</t>
  </si>
  <si>
    <t xml:space="preserve">BPBL-LN-2026-000093</t>
  </si>
  <si>
    <t xml:space="preserve">BPBL-CUS-000094</t>
  </si>
  <si>
    <t xml:space="preserve">Shapla Pramanik</t>
  </si>
  <si>
    <t xml:space="preserve">Mizanur Khondkar</t>
  </si>
  <si>
    <t xml:space="preserve">Thakurgaon</t>
  </si>
  <si>
    <t xml:space="preserve">BPBL-LN-2026-000094</t>
  </si>
  <si>
    <t xml:space="preserve">BPBL-CUS-000095</t>
  </si>
  <si>
    <t xml:space="preserve">Bashir Faruqui</t>
  </si>
  <si>
    <t xml:space="preserve">Nazrul Islam</t>
  </si>
  <si>
    <t xml:space="preserve">BPBL-LN-2026-000095</t>
  </si>
  <si>
    <t xml:space="preserve">BPBL-CUS-000096</t>
  </si>
  <si>
    <t xml:space="preserve">Nodi Islam</t>
  </si>
  <si>
    <t xml:space="preserve">Masud Karim</t>
  </si>
  <si>
    <t xml:space="preserve">BPBL-LN-2026-000096</t>
  </si>
  <si>
    <t xml:space="preserve">BPBL-CUS-000097</t>
  </si>
  <si>
    <t xml:space="preserve">Golam Sardar</t>
  </si>
  <si>
    <t xml:space="preserve">BPBL-LN-2026-000097</t>
  </si>
  <si>
    <t xml:space="preserve">BPBL-CUS-000098</t>
  </si>
  <si>
    <t xml:space="preserve">Promi Uddin</t>
  </si>
  <si>
    <t xml:space="preserve">Delwar Hossain</t>
  </si>
  <si>
    <t xml:space="preserve">BPBL-LN-2026-000098</t>
  </si>
  <si>
    <t xml:space="preserve">BPBL-CUS-000099</t>
  </si>
  <si>
    <t xml:space="preserve">Tasnim Khan</t>
  </si>
  <si>
    <t xml:space="preserve">Ekram Biswas</t>
  </si>
  <si>
    <t xml:space="preserve">BPBL-LN-2026-000099</t>
  </si>
  <si>
    <t xml:space="preserve">BPBL-CUS-000100</t>
  </si>
  <si>
    <t xml:space="preserve">Rashedul Akter</t>
  </si>
  <si>
    <t xml:space="preserve">Pabna</t>
  </si>
  <si>
    <t xml:space="preserve">BPBL-LN-2026-000100</t>
  </si>
  <si>
    <t xml:space="preserve">BPBL-CUS-000101</t>
  </si>
  <si>
    <t xml:space="preserve">Nusrat Sardar</t>
  </si>
  <si>
    <t xml:space="preserve">BPBL-LN-2026-000101</t>
  </si>
  <si>
    <t xml:space="preserve">BPBL-CUS-000102</t>
  </si>
  <si>
    <t xml:space="preserve">Tonni Mridha</t>
  </si>
  <si>
    <t xml:space="preserve">Iqbal Mia</t>
  </si>
  <si>
    <t xml:space="preserve">Sunamganj</t>
  </si>
  <si>
    <t xml:space="preserve">BPBL-LN-2026-000102</t>
  </si>
  <si>
    <t xml:space="preserve">BPBL-CUS-000103</t>
  </si>
  <si>
    <t xml:space="preserve">Tania Faruqui</t>
  </si>
  <si>
    <t xml:space="preserve">Shafin Bhuiyan</t>
  </si>
  <si>
    <t xml:space="preserve">Narail</t>
  </si>
  <si>
    <t xml:space="preserve">BPBL-LN-2026-000103</t>
  </si>
  <si>
    <t xml:space="preserve">BPBL-CUS-000104</t>
  </si>
  <si>
    <t xml:space="preserve">Shahana Saha</t>
  </si>
  <si>
    <t xml:space="preserve">Shakil Hawlader</t>
  </si>
  <si>
    <t xml:space="preserve">BPBL-LN-2026-000104</t>
  </si>
  <si>
    <t xml:space="preserve">BPBL-CUS-000105</t>
  </si>
  <si>
    <t xml:space="preserve">Mustafizur Uddin</t>
  </si>
  <si>
    <t xml:space="preserve">Mizanur Pramanik</t>
  </si>
  <si>
    <t xml:space="preserve">BPBL-LN-2026-000105</t>
  </si>
  <si>
    <t xml:space="preserve">BPBL-CUS-000106</t>
  </si>
  <si>
    <t xml:space="preserve">Saiful Ahmed</t>
  </si>
  <si>
    <t xml:space="preserve">Quamrul Talukder</t>
  </si>
  <si>
    <t xml:space="preserve">BPBL-LN-2026-000106</t>
  </si>
  <si>
    <t xml:space="preserve">BPBL-CUS-000107</t>
  </si>
  <si>
    <t xml:space="preserve">Zahirul Majumder</t>
  </si>
  <si>
    <t xml:space="preserve">Wahidul Akand</t>
  </si>
  <si>
    <t xml:space="preserve">BPBL-LN-2026-000107</t>
  </si>
  <si>
    <t xml:space="preserve">BPBL-CUS-000108</t>
  </si>
  <si>
    <t xml:space="preserve">Suraiya Hawlader</t>
  </si>
  <si>
    <t xml:space="preserve">Shamim Hawlader</t>
  </si>
  <si>
    <t xml:space="preserve">Kurigram</t>
  </si>
  <si>
    <t xml:space="preserve">BPBL-LN-2026-000108</t>
  </si>
  <si>
    <t xml:space="preserve">BPBL-CUS-000109</t>
  </si>
  <si>
    <t xml:space="preserve">Mamunur Islam</t>
  </si>
  <si>
    <t xml:space="preserve">BPBL-LN-2026-000109</t>
  </si>
  <si>
    <t xml:space="preserve">BPBL-CUS-000110</t>
  </si>
  <si>
    <t xml:space="preserve">Asaduzzaman Sarkar</t>
  </si>
  <si>
    <t xml:space="preserve">Selim Sikder</t>
  </si>
  <si>
    <t xml:space="preserve">BPBL-LN-2026-000110</t>
  </si>
  <si>
    <t xml:space="preserve">BPBL-CUS-000111</t>
  </si>
  <si>
    <t xml:space="preserve">Beauty Islam</t>
  </si>
  <si>
    <t xml:space="preserve">BPBL-LN-2026-000111</t>
  </si>
  <si>
    <t xml:space="preserve">BPBL-CUS-000112</t>
  </si>
  <si>
    <t xml:space="preserve">Anisur Gazi</t>
  </si>
  <si>
    <t xml:space="preserve">Rezaul Saha</t>
  </si>
  <si>
    <t xml:space="preserve">BPBL-LN-2026-000112</t>
  </si>
  <si>
    <t xml:space="preserve">BPBL-CUS-000113</t>
  </si>
  <si>
    <t xml:space="preserve">Poly Howlader</t>
  </si>
  <si>
    <t xml:space="preserve">Mostafa Bhuiyan</t>
  </si>
  <si>
    <t xml:space="preserve">BPBL-LN-2026-000113</t>
  </si>
  <si>
    <t xml:space="preserve">BPBL-CUS-000114</t>
  </si>
  <si>
    <t xml:space="preserve">Afsana Mridha</t>
  </si>
  <si>
    <t xml:space="preserve">BPBL-LN-2026-000114</t>
  </si>
  <si>
    <t xml:space="preserve">BPBL-CUS-000115</t>
  </si>
  <si>
    <t xml:space="preserve">Mustafizur Islam</t>
  </si>
  <si>
    <t xml:space="preserve">Jahangir Hossain</t>
  </si>
  <si>
    <t xml:space="preserve">BPBL-LN-2026-000115</t>
  </si>
  <si>
    <t xml:space="preserve">BPBL-CUS-000116</t>
  </si>
  <si>
    <t xml:space="preserve">Shapla Saha</t>
  </si>
  <si>
    <t xml:space="preserve">BPBL-LN-2026-000116</t>
  </si>
  <si>
    <t xml:space="preserve">BPBL-CUS-000117</t>
  </si>
  <si>
    <t xml:space="preserve">Saiful Howlader</t>
  </si>
  <si>
    <t xml:space="preserve">Rafiqul Khondkar</t>
  </si>
  <si>
    <t xml:space="preserve">BPBL-LN-2026-000117</t>
  </si>
  <si>
    <t xml:space="preserve">BPBL-CUS-000118</t>
  </si>
  <si>
    <t xml:space="preserve">Tahmina Biswas</t>
  </si>
  <si>
    <t xml:space="preserve">BPBL-LN-2026-000118</t>
  </si>
  <si>
    <t xml:space="preserve">BPBL-CUS-000119</t>
  </si>
  <si>
    <t xml:space="preserve">Abdul Hasan</t>
  </si>
  <si>
    <t xml:space="preserve">Rezaul Uddin</t>
  </si>
  <si>
    <t xml:space="preserve">BPBL-LN-2026-000119</t>
  </si>
  <si>
    <t xml:space="preserve">BPBL-CUS-000120</t>
  </si>
  <si>
    <t xml:space="preserve">Hossain Howlader</t>
  </si>
  <si>
    <t xml:space="preserve">Rakib Khan</t>
  </si>
  <si>
    <t xml:space="preserve">BPBL-LN-2026-000120</t>
  </si>
  <si>
    <t xml:space="preserve">BPBL-CUS-000121</t>
  </si>
  <si>
    <t xml:space="preserve">Shamim Sarkar</t>
  </si>
  <si>
    <t xml:space="preserve">Towhid Akand</t>
  </si>
  <si>
    <t xml:space="preserve">BPBL-LN-2026-000121</t>
  </si>
  <si>
    <t xml:space="preserve">BPBL-CUS-000122</t>
  </si>
  <si>
    <t xml:space="preserve">Shahidul Sikder</t>
  </si>
  <si>
    <t xml:space="preserve">Nayeem Gazi</t>
  </si>
  <si>
    <t xml:space="preserve">BPBL-LN-2026-000122</t>
  </si>
  <si>
    <t xml:space="preserve">BPBL-CUS-000123</t>
  </si>
  <si>
    <t xml:space="preserve">Mizanur Karim</t>
  </si>
  <si>
    <t xml:space="preserve">BPBL-LN-2026-000123</t>
  </si>
  <si>
    <t xml:space="preserve">BPBL-CUS-000124</t>
  </si>
  <si>
    <t xml:space="preserve">Monir Biswas</t>
  </si>
  <si>
    <t xml:space="preserve">Shafiqul Akand</t>
  </si>
  <si>
    <t xml:space="preserve">BPBL-LN-2026-000124</t>
  </si>
  <si>
    <t xml:space="preserve">BPBL-CUS-000125</t>
  </si>
  <si>
    <t xml:space="preserve">Riaz Das</t>
  </si>
  <si>
    <t xml:space="preserve">Iqbal Sheikh</t>
  </si>
  <si>
    <t xml:space="preserve">Netrokona</t>
  </si>
  <si>
    <t xml:space="preserve">BPBL-LN-2026-000125</t>
  </si>
  <si>
    <t xml:space="preserve">BPBL-CUS-000126</t>
  </si>
  <si>
    <t xml:space="preserve">Shafiqul Rahman</t>
  </si>
  <si>
    <t xml:space="preserve">Emdadul Miah</t>
  </si>
  <si>
    <t xml:space="preserve">BPBL-LN-2026-000126</t>
  </si>
  <si>
    <t xml:space="preserve">BPBL-CUS-000127</t>
  </si>
  <si>
    <t xml:space="preserve">Wahidul Miah</t>
  </si>
  <si>
    <t xml:space="preserve">Mustafizur Hossain</t>
  </si>
  <si>
    <t xml:space="preserve">BPBL-LN-2026-000127</t>
  </si>
  <si>
    <t xml:space="preserve">BPBL-CUS-000128</t>
  </si>
  <si>
    <t xml:space="preserve">Lima Mollah</t>
  </si>
  <si>
    <t xml:space="preserve">Nayeem Munshi</t>
  </si>
  <si>
    <t xml:space="preserve">BPBL-LN-2026-000128</t>
  </si>
  <si>
    <t xml:space="preserve">BPBL-CUS-000129</t>
  </si>
  <si>
    <t xml:space="preserve">Liton Khan</t>
  </si>
  <si>
    <t xml:space="preserve">BPBL-LN-2026-000129</t>
  </si>
  <si>
    <t xml:space="preserve">BPBL-CUS-000130</t>
  </si>
  <si>
    <t xml:space="preserve">Eti Sikder</t>
  </si>
  <si>
    <t xml:space="preserve">Monir Hasan</t>
  </si>
  <si>
    <t xml:space="preserve">BPBL-LN-2026-000130</t>
  </si>
  <si>
    <t xml:space="preserve">BPBL-CUS-000131</t>
  </si>
  <si>
    <t xml:space="preserve">Wahidul Das</t>
  </si>
  <si>
    <t xml:space="preserve">Jahangir Pramanik</t>
  </si>
  <si>
    <t xml:space="preserve">BPBL-LN-2026-000131</t>
  </si>
  <si>
    <t xml:space="preserve">BPBL-CUS-000132</t>
  </si>
  <si>
    <t xml:space="preserve">Mamunur Karim</t>
  </si>
  <si>
    <t xml:space="preserve">Iqbal Akand</t>
  </si>
  <si>
    <t xml:space="preserve">BPBL-LN-2026-000132</t>
  </si>
  <si>
    <t xml:space="preserve">BPBL-CUS-000133</t>
  </si>
  <si>
    <t xml:space="preserve">Golam Roy</t>
  </si>
  <si>
    <t xml:space="preserve">BPBL-LN-2026-000133</t>
  </si>
  <si>
    <t xml:space="preserve">BPBL-CUS-000134</t>
  </si>
  <si>
    <t xml:space="preserve">Iqbal Chowdhury</t>
  </si>
  <si>
    <t xml:space="preserve">Rafiqul Hawlader</t>
  </si>
  <si>
    <t xml:space="preserve">BPBL-LN-2026-000134</t>
  </si>
  <si>
    <t xml:space="preserve">BPBL-CUS-000135</t>
  </si>
  <si>
    <t xml:space="preserve">Nayeem Chowdhury</t>
  </si>
  <si>
    <t xml:space="preserve">Robiul Sheikh</t>
  </si>
  <si>
    <t xml:space="preserve">BPBL-LN-2026-000135</t>
  </si>
  <si>
    <t xml:space="preserve">BPBL-CUS-000136</t>
  </si>
  <si>
    <t xml:space="preserve">Joya Roy</t>
  </si>
  <si>
    <t xml:space="preserve">Zubayer Khan</t>
  </si>
  <si>
    <t xml:space="preserve">BPBL-LN-2026-000136</t>
  </si>
  <si>
    <t xml:space="preserve">BPBL-CUS-000137</t>
  </si>
  <si>
    <t xml:space="preserve">Eti Miah</t>
  </si>
  <si>
    <t xml:space="preserve">BPBL-LN-2026-000137</t>
  </si>
  <si>
    <t xml:space="preserve">BPBL-CUS-000138</t>
  </si>
  <si>
    <t xml:space="preserve">Sohel Rahman</t>
  </si>
  <si>
    <t xml:space="preserve">Touhidul Hawlader</t>
  </si>
  <si>
    <t xml:space="preserve">BPBL-LN-2026-000138</t>
  </si>
  <si>
    <t xml:space="preserve">BPBL-CUS-000139</t>
  </si>
  <si>
    <t xml:space="preserve">Tariqul Alam</t>
  </si>
  <si>
    <t xml:space="preserve">Nayeem Mondol</t>
  </si>
  <si>
    <t xml:space="preserve">BPBL-LN-2026-000139</t>
  </si>
  <si>
    <t xml:space="preserve">BPBL-CUS-000140</t>
  </si>
  <si>
    <t xml:space="preserve">Rehana Sikder</t>
  </si>
  <si>
    <t xml:space="preserve">BPBL-LN-2026-000140</t>
  </si>
  <si>
    <t xml:space="preserve">BPBL-CUS-000141</t>
  </si>
  <si>
    <t xml:space="preserve">Imran Khan</t>
  </si>
  <si>
    <t xml:space="preserve">Arif Pramanik</t>
  </si>
  <si>
    <t xml:space="preserve">BPBL-LN-2026-000141</t>
  </si>
  <si>
    <t xml:space="preserve">BPBL-CUS-000142</t>
  </si>
  <si>
    <t xml:space="preserve">Nasrin Miah</t>
  </si>
  <si>
    <t xml:space="preserve">Jasim Majumder</t>
  </si>
  <si>
    <t xml:space="preserve">BPBL-LN-2026-000142</t>
  </si>
  <si>
    <t xml:space="preserve">BPBL-CUS-000143</t>
  </si>
  <si>
    <t xml:space="preserve">Halima Hasan</t>
  </si>
  <si>
    <t xml:space="preserve">Tariqul Sardar</t>
  </si>
  <si>
    <t xml:space="preserve">BPBL-LN-2026-000143</t>
  </si>
  <si>
    <t xml:space="preserve">BPBL-CUS-000144</t>
  </si>
  <si>
    <t xml:space="preserve">Shafin Munshi</t>
  </si>
  <si>
    <t xml:space="preserve">Aktar Pramanik</t>
  </si>
  <si>
    <t xml:space="preserve">Joypurhat</t>
  </si>
  <si>
    <t xml:space="preserve">BPBL-LN-2026-000144</t>
  </si>
  <si>
    <t xml:space="preserve">BPBL-CUS-000145</t>
  </si>
  <si>
    <t xml:space="preserve">Robiul Miah</t>
  </si>
  <si>
    <t xml:space="preserve">Shamim Khondkar</t>
  </si>
  <si>
    <t xml:space="preserve">BPBL-LN-2026-000145</t>
  </si>
  <si>
    <t xml:space="preserve">BPBL-CUS-000146</t>
  </si>
  <si>
    <t xml:space="preserve">Rakib Sheikh</t>
  </si>
  <si>
    <t xml:space="preserve">BPBL-LN-2026-000146</t>
  </si>
  <si>
    <t xml:space="preserve">BPBL-CUS-000147</t>
  </si>
  <si>
    <t xml:space="preserve">Quamrul Patwary</t>
  </si>
  <si>
    <t xml:space="preserve">Anwar Chowdhury</t>
  </si>
  <si>
    <t xml:space="preserve">BPBL-LN-2026-000147</t>
  </si>
  <si>
    <t xml:space="preserve">BPBL-CUS-000148</t>
  </si>
  <si>
    <t xml:space="preserve">Towhid Chowdhury</t>
  </si>
  <si>
    <t xml:space="preserve">Nazrul Roy</t>
  </si>
  <si>
    <t xml:space="preserve">BPBL-LN-2026-000148</t>
  </si>
  <si>
    <t xml:space="preserve">BPBL-CUS-000149</t>
  </si>
  <si>
    <t xml:space="preserve">Hossain Islam</t>
  </si>
  <si>
    <t xml:space="preserve">Shahidul Mollah</t>
  </si>
  <si>
    <t xml:space="preserve">BPBL-LN-2026-000149</t>
  </si>
  <si>
    <t xml:space="preserve">BPBL-CUS-000150</t>
  </si>
  <si>
    <t xml:space="preserve">Quamrul Sheikh</t>
  </si>
  <si>
    <t xml:space="preserve">Ataur Munshi</t>
  </si>
  <si>
    <t xml:space="preserve">BPBL-LN-2026-000150</t>
  </si>
  <si>
    <t xml:space="preserve">BPBL-CUS-000151</t>
  </si>
  <si>
    <t xml:space="preserve">Rezaul Sarker</t>
  </si>
  <si>
    <t xml:space="preserve">Sirajganj</t>
  </si>
  <si>
    <t xml:space="preserve">BPBL-LN-2026-000151</t>
  </si>
  <si>
    <t xml:space="preserve">BPBL-CUS-000152</t>
  </si>
  <si>
    <t xml:space="preserve">Tasnim Sikder</t>
  </si>
  <si>
    <t xml:space="preserve">Nurul Karim</t>
  </si>
  <si>
    <t xml:space="preserve">BPBL-LN-2026-000152</t>
  </si>
  <si>
    <t xml:space="preserve">BPBL-CUS-000153</t>
  </si>
  <si>
    <t xml:space="preserve">Kohinoor Talukder</t>
  </si>
  <si>
    <t xml:space="preserve">Nayeem Sardar</t>
  </si>
  <si>
    <t xml:space="preserve">BPBL-LN-2026-000153</t>
  </si>
  <si>
    <t xml:space="preserve">BPBL-CUS-000154</t>
  </si>
  <si>
    <t xml:space="preserve">Monir Roy</t>
  </si>
  <si>
    <t xml:space="preserve">Rakib Sardar</t>
  </si>
  <si>
    <t xml:space="preserve">BPBL-LN-2026-000154</t>
  </si>
  <si>
    <t xml:space="preserve">BPBL-CUS-000155</t>
  </si>
  <si>
    <t xml:space="preserve">Shahnaz Munshi</t>
  </si>
  <si>
    <t xml:space="preserve">Towhid Akter</t>
  </si>
  <si>
    <t xml:space="preserve">BPBL-LN-2026-000155</t>
  </si>
  <si>
    <t xml:space="preserve">BPBL-CUS-000156</t>
  </si>
  <si>
    <t xml:space="preserve">Rakib Alam</t>
  </si>
  <si>
    <t xml:space="preserve">Aktar Faruqui</t>
  </si>
  <si>
    <t xml:space="preserve">BPBL-LN-2026-000156</t>
  </si>
  <si>
    <t xml:space="preserve">BPBL-CUS-000157</t>
  </si>
  <si>
    <t xml:space="preserve">Golam Saha</t>
  </si>
  <si>
    <t xml:space="preserve">Rakib Akter</t>
  </si>
  <si>
    <t xml:space="preserve">BPBL-LN-2026-000157</t>
  </si>
  <si>
    <t xml:space="preserve">BPBL-CUS-000158</t>
  </si>
  <si>
    <t xml:space="preserve">Munni Patwary</t>
  </si>
  <si>
    <t xml:space="preserve">Rakib Saha</t>
  </si>
  <si>
    <t xml:space="preserve">BPBL-LN-2026-000158</t>
  </si>
  <si>
    <t xml:space="preserve">BPBL-CUS-000159</t>
  </si>
  <si>
    <t xml:space="preserve">Joya Sarkar</t>
  </si>
  <si>
    <t xml:space="preserve">Shahidul Sheikh</t>
  </si>
  <si>
    <t xml:space="preserve">BPBL-LN-2026-000159</t>
  </si>
  <si>
    <t xml:space="preserve">BPBL-CUS-000160</t>
  </si>
  <si>
    <t xml:space="preserve">Nusrat Biswas</t>
  </si>
  <si>
    <t xml:space="preserve">Rashedul Mia</t>
  </si>
  <si>
    <t xml:space="preserve">BPBL-LN-2026-000160</t>
  </si>
  <si>
    <t xml:space="preserve">BPBL-CUS-000161</t>
  </si>
  <si>
    <t xml:space="preserve">Mizanur Sikder</t>
  </si>
  <si>
    <t xml:space="preserve">Touhidul Das</t>
  </si>
  <si>
    <t xml:space="preserve">BPBL-LN-2026-000161</t>
  </si>
  <si>
    <t xml:space="preserve">BPBL-CUS-000162</t>
  </si>
  <si>
    <t xml:space="preserve">Promi Faruqui</t>
  </si>
  <si>
    <t xml:space="preserve">Mehedi Sarkar</t>
  </si>
  <si>
    <t xml:space="preserve">BPBL-LN-2026-000162</t>
  </si>
  <si>
    <t xml:space="preserve">BPBL-CUS-000163</t>
  </si>
  <si>
    <t xml:space="preserve">Emdadul Biswas</t>
  </si>
  <si>
    <t xml:space="preserve">Nayeem Ahmed</t>
  </si>
  <si>
    <t xml:space="preserve">BPBL-LN-2026-000163</t>
  </si>
  <si>
    <t xml:space="preserve">BPBL-CUS-000164</t>
  </si>
  <si>
    <t xml:space="preserve">Touhidul Faruqui</t>
  </si>
  <si>
    <t xml:space="preserve">Bashir Mollah</t>
  </si>
  <si>
    <t xml:space="preserve">BPBL-LN-2026-000164</t>
  </si>
  <si>
    <t xml:space="preserve">BPBL-CUS-000165</t>
  </si>
  <si>
    <t xml:space="preserve">Ashraf Saha</t>
  </si>
  <si>
    <t xml:space="preserve">Masud Hasan</t>
  </si>
  <si>
    <t xml:space="preserve">BPBL-LN-2026-000165</t>
  </si>
  <si>
    <t xml:space="preserve">BPBL-CUS-000166</t>
  </si>
  <si>
    <t xml:space="preserve">Shafin Sikder</t>
  </si>
  <si>
    <t xml:space="preserve">Imran Mridha</t>
  </si>
  <si>
    <t xml:space="preserve">BPBL-LN-2026-000166</t>
  </si>
  <si>
    <t xml:space="preserve">BPBL-CUS-000167</t>
  </si>
  <si>
    <t xml:space="preserve">Yeasin Akand</t>
  </si>
  <si>
    <t xml:space="preserve">Faruk Sarkar</t>
  </si>
  <si>
    <t xml:space="preserve">BPBL-LN-2026-000167</t>
  </si>
  <si>
    <t xml:space="preserve">BPBL-CUS-000168</t>
  </si>
  <si>
    <t xml:space="preserve">Golam Islam</t>
  </si>
  <si>
    <t xml:space="preserve">BPBL-LN-2026-000168</t>
  </si>
  <si>
    <t xml:space="preserve">BPBL-CUS-000169</t>
  </si>
  <si>
    <t xml:space="preserve">Forhad Mia</t>
  </si>
  <si>
    <t xml:space="preserve">Jamal Hossain</t>
  </si>
  <si>
    <t xml:space="preserve">BPBL-LN-2026-000169</t>
  </si>
  <si>
    <t xml:space="preserve">BPBL-CUS-000170</t>
  </si>
  <si>
    <t xml:space="preserve">Yasmin Miah</t>
  </si>
  <si>
    <t xml:space="preserve">Kamal Miah</t>
  </si>
  <si>
    <t xml:space="preserve">BPBL-LN-2026-000170</t>
  </si>
  <si>
    <t xml:space="preserve">BPBL-CUS-000171</t>
  </si>
  <si>
    <t xml:space="preserve">Sadia Sarkar</t>
  </si>
  <si>
    <t xml:space="preserve">BPBL-LN-2026-000171</t>
  </si>
  <si>
    <t xml:space="preserve">BPBL-CUS-000172</t>
  </si>
  <si>
    <t xml:space="preserve">Mostafa Patwary</t>
  </si>
  <si>
    <t xml:space="preserve">Shafiqul Das</t>
  </si>
  <si>
    <t xml:space="preserve">BPBL-LN-2026-000172</t>
  </si>
  <si>
    <t xml:space="preserve">BPBL-CUS-000173</t>
  </si>
  <si>
    <t xml:space="preserve">Mukti Das</t>
  </si>
  <si>
    <t xml:space="preserve">Shakil Sarker</t>
  </si>
  <si>
    <t xml:space="preserve">BPBL-LN-2026-000173</t>
  </si>
  <si>
    <t xml:space="preserve">BPBL-CUS-000174</t>
  </si>
  <si>
    <t xml:space="preserve">Morsheda Mondol</t>
  </si>
  <si>
    <t xml:space="preserve">Hossain Khondkar</t>
  </si>
  <si>
    <t xml:space="preserve">BPBL-LN-2026-000174</t>
  </si>
  <si>
    <t xml:space="preserve">BPBL-CUS-000175</t>
  </si>
  <si>
    <t xml:space="preserve">Mizanur Faruqui</t>
  </si>
  <si>
    <t xml:space="preserve">Robiul Talukder</t>
  </si>
  <si>
    <t xml:space="preserve">BPBL-LN-2026-000175</t>
  </si>
  <si>
    <t xml:space="preserve">BPBL-CUS-000176</t>
  </si>
  <si>
    <t xml:space="preserve">Masud Patwary</t>
  </si>
  <si>
    <t xml:space="preserve">Shamim Akand</t>
  </si>
  <si>
    <t xml:space="preserve">BPBL-LN-2026-000176</t>
  </si>
  <si>
    <t xml:space="preserve">BPBL-CUS-000177</t>
  </si>
  <si>
    <t xml:space="preserve">Towhid Khan</t>
  </si>
  <si>
    <t xml:space="preserve">Liton Rahman</t>
  </si>
  <si>
    <t xml:space="preserve">BPBL-LN-2026-000177</t>
  </si>
  <si>
    <t xml:space="preserve">BPBL-CUS-000178</t>
  </si>
  <si>
    <t xml:space="preserve">Kulsum Mridha</t>
  </si>
  <si>
    <t xml:space="preserve">Saiful Miah</t>
  </si>
  <si>
    <t xml:space="preserve">BPBL-LN-2026-000178</t>
  </si>
  <si>
    <t xml:space="preserve">BPBL-CUS-000179</t>
  </si>
  <si>
    <t xml:space="preserve">Razia Karim</t>
  </si>
  <si>
    <t xml:space="preserve">Quamrul Bhuiyan</t>
  </si>
  <si>
    <t xml:space="preserve">BPBL-LN-2026-000179</t>
  </si>
  <si>
    <t xml:space="preserve">BPBL-CUS-000180</t>
  </si>
  <si>
    <t xml:space="preserve">Eti Rahman</t>
  </si>
  <si>
    <t xml:space="preserve">Liton Mia</t>
  </si>
  <si>
    <t xml:space="preserve">BPBL-LN-2026-000180</t>
  </si>
  <si>
    <t xml:space="preserve">BPBL-CUS-000181</t>
  </si>
  <si>
    <t xml:space="preserve">Selim Sarkar</t>
  </si>
  <si>
    <t xml:space="preserve">Abdul Islam</t>
  </si>
  <si>
    <t xml:space="preserve">BPBL-LN-2026-000181</t>
  </si>
  <si>
    <t xml:space="preserve">BPBL-CUS-000182</t>
  </si>
  <si>
    <t xml:space="preserve">Nusrat Pramanik</t>
  </si>
  <si>
    <t xml:space="preserve">BPBL-LN-2026-000182</t>
  </si>
  <si>
    <t xml:space="preserve">BPBL-CUS-000183</t>
  </si>
  <si>
    <t xml:space="preserve">Tahmina Karim</t>
  </si>
  <si>
    <t xml:space="preserve">Ashraf Das</t>
  </si>
  <si>
    <t xml:space="preserve">BPBL-LN-2026-000183</t>
  </si>
  <si>
    <t xml:space="preserve">BPBL-CUS-000184</t>
  </si>
  <si>
    <t xml:space="preserve">Lutfun Hawlader</t>
  </si>
  <si>
    <t xml:space="preserve">Jasim Islam</t>
  </si>
  <si>
    <t xml:space="preserve">BPBL-LN-2026-000184</t>
  </si>
  <si>
    <t xml:space="preserve">BPBL-CUS-000185</t>
  </si>
  <si>
    <t xml:space="preserve">Jahangir Patwary</t>
  </si>
  <si>
    <t xml:space="preserve">Jasim Karim</t>
  </si>
  <si>
    <t xml:space="preserve">BPBL-LN-2026-000185</t>
  </si>
  <si>
    <t xml:space="preserve">BPBL-CUS-000186</t>
  </si>
  <si>
    <t xml:space="preserve">Shahana Das</t>
  </si>
  <si>
    <t xml:space="preserve">Rashedul Talukder</t>
  </si>
  <si>
    <t xml:space="preserve">BPBL-LN-2026-000186</t>
  </si>
  <si>
    <t xml:space="preserve">BPBL-CUS-000187</t>
  </si>
  <si>
    <t xml:space="preserve">Delwar Bhuiyan</t>
  </si>
  <si>
    <t xml:space="preserve">Ataur Islam</t>
  </si>
  <si>
    <t xml:space="preserve">BPBL-LN-2026-000187</t>
  </si>
  <si>
    <t xml:space="preserve">BPBL-CUS-000188</t>
  </si>
  <si>
    <t xml:space="preserve">Anwar Akter</t>
  </si>
  <si>
    <t xml:space="preserve">Faruk Biswas</t>
  </si>
  <si>
    <t xml:space="preserve">BPBL-LN-2026-000188</t>
  </si>
  <si>
    <t xml:space="preserve">BPBL-CUS-000189</t>
  </si>
  <si>
    <t xml:space="preserve">Iqbal Majumder</t>
  </si>
  <si>
    <t xml:space="preserve">Shahidul Akand</t>
  </si>
  <si>
    <t xml:space="preserve">BPBL-LN-2026-000189</t>
  </si>
  <si>
    <t xml:space="preserve">BPBL-CUS-000190</t>
  </si>
  <si>
    <t xml:space="preserve">Mim Sarker</t>
  </si>
  <si>
    <t xml:space="preserve">Robiul Faruqui</t>
  </si>
  <si>
    <t xml:space="preserve">BPBL-LN-2026-000190</t>
  </si>
  <si>
    <t xml:space="preserve">BPBL-CUS-000191</t>
  </si>
  <si>
    <t xml:space="preserve">Zubayer Islam</t>
  </si>
  <si>
    <t xml:space="preserve">Shafin Alam</t>
  </si>
  <si>
    <t xml:space="preserve">BPBL-LN-2026-000191</t>
  </si>
  <si>
    <t xml:space="preserve">BPBL-CUS-000192</t>
  </si>
  <si>
    <t xml:space="preserve">Hasan Majumder</t>
  </si>
  <si>
    <t xml:space="preserve">Abdul Chowdhury</t>
  </si>
  <si>
    <t xml:space="preserve">BPBL-LN-2026-000192</t>
  </si>
  <si>
    <t xml:space="preserve">BPBL-CUS-000193</t>
  </si>
  <si>
    <t xml:space="preserve">Robiul Saha</t>
  </si>
  <si>
    <t xml:space="preserve">Masud Munshi</t>
  </si>
  <si>
    <t xml:space="preserve">BPBL-LN-2026-000193</t>
  </si>
  <si>
    <t xml:space="preserve">BPBL-CUS-000194</t>
  </si>
  <si>
    <t xml:space="preserve">Mukti Miah</t>
  </si>
  <si>
    <t xml:space="preserve">Arif Bhuiyan</t>
  </si>
  <si>
    <t xml:space="preserve">BPBL-LN-2026-000194</t>
  </si>
  <si>
    <t xml:space="preserve">BPBL-CUS-000195</t>
  </si>
  <si>
    <t xml:space="preserve">Naznin Mondol</t>
  </si>
  <si>
    <t xml:space="preserve">Nurul Roy</t>
  </si>
  <si>
    <t xml:space="preserve">BPBL-LN-2026-000195</t>
  </si>
  <si>
    <t xml:space="preserve">BPBL-CUS-000196</t>
  </si>
  <si>
    <t xml:space="preserve">Afsana Sheikh</t>
  </si>
  <si>
    <t xml:space="preserve">BPBL-LN-2026-000196</t>
  </si>
  <si>
    <t xml:space="preserve">BPBL-CUS-000197</t>
  </si>
  <si>
    <t xml:space="preserve">Towhid Karim</t>
  </si>
  <si>
    <t xml:space="preserve">Masud Sarkar</t>
  </si>
  <si>
    <t xml:space="preserve">BPBL-LN-2026-000197</t>
  </si>
  <si>
    <t xml:space="preserve">BPBL-CUS-000198</t>
  </si>
  <si>
    <t xml:space="preserve">Ayesha Patwary</t>
  </si>
  <si>
    <t xml:space="preserve">Shakil Alam</t>
  </si>
  <si>
    <t xml:space="preserve">BPBL-LN-2026-000198</t>
  </si>
  <si>
    <t xml:space="preserve">BPBL-CUS-000199</t>
  </si>
  <si>
    <t xml:space="preserve">Zahirul Sheikh</t>
  </si>
  <si>
    <t xml:space="preserve">Hossain Mridha</t>
  </si>
  <si>
    <t xml:space="preserve">BPBL-LN-2026-000199</t>
  </si>
  <si>
    <t xml:space="preserve">BPBL-CUS-000200</t>
  </si>
  <si>
    <t xml:space="preserve">Shafiqul Mollah</t>
  </si>
  <si>
    <t xml:space="preserve">Rashedul Munshi</t>
  </si>
  <si>
    <t xml:space="preserve">BPBL-LN-2026-000200</t>
  </si>
  <si>
    <t xml:space="preserve">BPBL-CUS-000201</t>
  </si>
  <si>
    <t xml:space="preserve">Mukta Bhuiyan</t>
  </si>
  <si>
    <t xml:space="preserve">Shafin Biswas</t>
  </si>
  <si>
    <t xml:space="preserve">BPBL-LN-2026-000201</t>
  </si>
  <si>
    <t xml:space="preserve">BPBL-CUS-000202</t>
  </si>
  <si>
    <t xml:space="preserve">Touhidul Roy</t>
  </si>
  <si>
    <t xml:space="preserve">BPBL-LN-2026-000202</t>
  </si>
  <si>
    <t xml:space="preserve">BPBL-CUS-000203</t>
  </si>
  <si>
    <t xml:space="preserve">Bashir Ahmed</t>
  </si>
  <si>
    <t xml:space="preserve">Kamal Howlader</t>
  </si>
  <si>
    <t xml:space="preserve">BPBL-LN-2026-000203</t>
  </si>
  <si>
    <t xml:space="preserve">BPBL-CUS-000204</t>
  </si>
  <si>
    <t xml:space="preserve">Ferdousi Roy</t>
  </si>
  <si>
    <t xml:space="preserve">Nayeem Das</t>
  </si>
  <si>
    <t xml:space="preserve">BPBL-LN-2026-000204</t>
  </si>
  <si>
    <t xml:space="preserve">BPBL-CUS-000205</t>
  </si>
  <si>
    <t xml:space="preserve">Rezaul Hawlader</t>
  </si>
  <si>
    <t xml:space="preserve">BPBL-LN-2026-000205</t>
  </si>
  <si>
    <t xml:space="preserve">BPBL-CUS-000206</t>
  </si>
  <si>
    <t xml:space="preserve">Naznin Khondkar</t>
  </si>
  <si>
    <t xml:space="preserve">Shamim Pramanik</t>
  </si>
  <si>
    <t xml:space="preserve">BPBL-LN-2026-000206</t>
  </si>
  <si>
    <t xml:space="preserve">BPBL-CUS-000207</t>
  </si>
  <si>
    <t xml:space="preserve">Nayeem Akand</t>
  </si>
  <si>
    <t xml:space="preserve">BPBL-LN-2026-000207</t>
  </si>
  <si>
    <t xml:space="preserve">BPBL-CUS-000208</t>
  </si>
  <si>
    <t xml:space="preserve">Nasrin Chowdhury</t>
  </si>
  <si>
    <t xml:space="preserve">BPBL-LN-2026-000208</t>
  </si>
  <si>
    <t xml:space="preserve">BPBL-CUS-000209</t>
  </si>
  <si>
    <t xml:space="preserve">Nurul Faruqui</t>
  </si>
  <si>
    <t xml:space="preserve">Tariqul Islam</t>
  </si>
  <si>
    <t xml:space="preserve">BPBL-LN-2026-000209</t>
  </si>
  <si>
    <t xml:space="preserve">BPBL-CUS-000210</t>
  </si>
  <si>
    <t xml:space="preserve">Mahmudul Mia</t>
  </si>
  <si>
    <t xml:space="preserve">Abdul Das</t>
  </si>
  <si>
    <t xml:space="preserve">BPBL-LN-2026-000210</t>
  </si>
  <si>
    <t xml:space="preserve">BPBL-CUS-000211</t>
  </si>
  <si>
    <t xml:space="preserve">Ataur Majumder</t>
  </si>
  <si>
    <t xml:space="preserve">BPBL-LN-2026-000211</t>
  </si>
  <si>
    <t xml:space="preserve">BPBL-CUS-000212</t>
  </si>
  <si>
    <t xml:space="preserve">Tariqul Roy</t>
  </si>
  <si>
    <t xml:space="preserve">Selim Hasan</t>
  </si>
  <si>
    <t xml:space="preserve">BPBL-LN-2026-000212</t>
  </si>
  <si>
    <t xml:space="preserve">BPBL-CUS-000213</t>
  </si>
  <si>
    <t xml:space="preserve">Jamal Mondol</t>
  </si>
  <si>
    <t xml:space="preserve">Hossain Roy</t>
  </si>
  <si>
    <t xml:space="preserve">BPBL-LN-2026-000213</t>
  </si>
  <si>
    <t xml:space="preserve">BPBL-CUS-000214</t>
  </si>
  <si>
    <t xml:space="preserve">Mukti Saha</t>
  </si>
  <si>
    <t xml:space="preserve">Sohel Hossain</t>
  </si>
  <si>
    <t xml:space="preserve">BPBL-LN-2026-000214</t>
  </si>
  <si>
    <t xml:space="preserve">BPBL-CUS-000215</t>
  </si>
  <si>
    <t xml:space="preserve">Shafiqul Bhuiyan</t>
  </si>
  <si>
    <t xml:space="preserve">Asaduzzaman Hawlader</t>
  </si>
  <si>
    <t xml:space="preserve">BPBL-LN-2026-000215</t>
  </si>
  <si>
    <t xml:space="preserve">BPBL-CUS-000216</t>
  </si>
  <si>
    <t xml:space="preserve">Yeasin Ahmed</t>
  </si>
  <si>
    <t xml:space="preserve">Hossain Karim</t>
  </si>
  <si>
    <t xml:space="preserve">BPBL-LN-2026-000216</t>
  </si>
  <si>
    <t xml:space="preserve">BPBL-CUS-000217</t>
  </si>
  <si>
    <t xml:space="preserve">Shathi Miah</t>
  </si>
  <si>
    <t xml:space="preserve">Tanvir Sheikh</t>
  </si>
  <si>
    <t xml:space="preserve">BPBL-LN-2026-000217</t>
  </si>
  <si>
    <t xml:space="preserve">BPBL-CUS-000218</t>
  </si>
  <si>
    <t xml:space="preserve">Mitu Mridha</t>
  </si>
  <si>
    <t xml:space="preserve">Imran Talukder</t>
  </si>
  <si>
    <t xml:space="preserve">BPBL-LN-2026-000218</t>
  </si>
  <si>
    <t xml:space="preserve">BPBL-CUS-000219</t>
  </si>
  <si>
    <t xml:space="preserve">Arif Hasan</t>
  </si>
  <si>
    <t xml:space="preserve">Anisur Sarker</t>
  </si>
  <si>
    <t xml:space="preserve">BPBL-LN-2026-000219</t>
  </si>
  <si>
    <t xml:space="preserve">BPBL-CUS-000220</t>
  </si>
  <si>
    <t xml:space="preserve">Zubayer Sikder</t>
  </si>
  <si>
    <t xml:space="preserve">Jahangir Miah</t>
  </si>
  <si>
    <t xml:space="preserve">BPBL-LN-2026-000220</t>
  </si>
  <si>
    <t xml:space="preserve">BPBL-CUS-000221</t>
  </si>
  <si>
    <t xml:space="preserve">Nusrat Ahmed</t>
  </si>
  <si>
    <t xml:space="preserve">Iqbal Sarker</t>
  </si>
  <si>
    <t xml:space="preserve">BPBL-LN-2026-000221</t>
  </si>
  <si>
    <t xml:space="preserve">BPBL-CUS-000222</t>
  </si>
  <si>
    <t xml:space="preserve">Monir Talukder</t>
  </si>
  <si>
    <t xml:space="preserve">Ekram Gazi</t>
  </si>
  <si>
    <t xml:space="preserve">BPBL-LN-2026-000222</t>
  </si>
  <si>
    <t xml:space="preserve">BPBL-CUS-000223</t>
  </si>
  <si>
    <t xml:space="preserve">Mizanur Khan</t>
  </si>
  <si>
    <t xml:space="preserve">Rezaul Roy</t>
  </si>
  <si>
    <t xml:space="preserve">BPBL-LN-2026-000223</t>
  </si>
  <si>
    <t xml:space="preserve">BPBL-CUS-000224</t>
  </si>
  <si>
    <t xml:space="preserve">Aktar Khondkar</t>
  </si>
  <si>
    <t xml:space="preserve">Jasim Sarker</t>
  </si>
  <si>
    <t xml:space="preserve">BPBL-LN-2026-000224</t>
  </si>
  <si>
    <t xml:space="preserve">BPBL-CUS-000225</t>
  </si>
  <si>
    <t xml:space="preserve">Nusrat Alam</t>
  </si>
  <si>
    <t xml:space="preserve">Imran Patwary</t>
  </si>
  <si>
    <t xml:space="preserve">BPBL-LN-2026-000225</t>
  </si>
  <si>
    <t xml:space="preserve">BPBL-CUS-000226</t>
  </si>
  <si>
    <t xml:space="preserve">Rafiqul Mollah</t>
  </si>
  <si>
    <t xml:space="preserve">Mamunur Mia</t>
  </si>
  <si>
    <t xml:space="preserve">BPBL-LN-2026-000226</t>
  </si>
  <si>
    <t xml:space="preserve">BPBL-CUS-000227</t>
  </si>
  <si>
    <t xml:space="preserve">Zahirul Faruqui</t>
  </si>
  <si>
    <t xml:space="preserve">Liton Sheikh</t>
  </si>
  <si>
    <t xml:space="preserve">BPBL-LN-2026-000227</t>
  </si>
  <si>
    <t xml:space="preserve">BPBL-CUS-000228</t>
  </si>
  <si>
    <t xml:space="preserve">Shahnaz Biswas</t>
  </si>
  <si>
    <t xml:space="preserve">Mahmudul Gazi</t>
  </si>
  <si>
    <t xml:space="preserve">BPBL-LN-2026-000228</t>
  </si>
  <si>
    <t xml:space="preserve">BPBL-CUS-000229</t>
  </si>
  <si>
    <t xml:space="preserve">Sohel Uddin</t>
  </si>
  <si>
    <t xml:space="preserve">Robiul Khan</t>
  </si>
  <si>
    <t xml:space="preserve">BPBL-LN-2026-000229</t>
  </si>
  <si>
    <t xml:space="preserve">BPBL-CUS-000230</t>
  </si>
  <si>
    <t xml:space="preserve">Rehana Faruqui</t>
  </si>
  <si>
    <t xml:space="preserve">Jamal Islam</t>
  </si>
  <si>
    <t xml:space="preserve">BPBL-LN-2026-000230</t>
  </si>
  <si>
    <t xml:space="preserve">BPBL-CUS-000231</t>
  </si>
  <si>
    <t xml:space="preserve">Faruk Bhuiyan</t>
  </si>
  <si>
    <t xml:space="preserve">Shahidul Gazi</t>
  </si>
  <si>
    <t xml:space="preserve">BPBL-LN-2026-000231</t>
  </si>
  <si>
    <t xml:space="preserve">BPBL-CUS-000232</t>
  </si>
  <si>
    <t xml:space="preserve">Towhid Mollah</t>
  </si>
  <si>
    <t xml:space="preserve">Emdadul Khan</t>
  </si>
  <si>
    <t xml:space="preserve">BPBL-LN-2026-000232</t>
  </si>
  <si>
    <t xml:space="preserve">BPBL-CUS-000233</t>
  </si>
  <si>
    <t xml:space="preserve">Jahangir Hawlader</t>
  </si>
  <si>
    <t xml:space="preserve">Anwar Pramanik</t>
  </si>
  <si>
    <t xml:space="preserve">BPBL-LN-2026-000233</t>
  </si>
  <si>
    <t xml:space="preserve">BPBL-CUS-000234</t>
  </si>
  <si>
    <t xml:space="preserve">Lutfun Munshi</t>
  </si>
  <si>
    <t xml:space="preserve">Faruk Gazi</t>
  </si>
  <si>
    <t xml:space="preserve">BPBL-LN-2026-000234</t>
  </si>
  <si>
    <t xml:space="preserve">BPBL-CUS-000235</t>
  </si>
  <si>
    <t xml:space="preserve">Delwar Mondol</t>
  </si>
  <si>
    <t xml:space="preserve">Selim Uddin</t>
  </si>
  <si>
    <t xml:space="preserve">BPBL-LN-2026-000235</t>
  </si>
  <si>
    <t xml:space="preserve">BPBL-CUS-000236</t>
  </si>
  <si>
    <t xml:space="preserve">Robiul Munshi</t>
  </si>
  <si>
    <t xml:space="preserve">Quamrul Sarker</t>
  </si>
  <si>
    <t xml:space="preserve">BPBL-LN-2026-000236</t>
  </si>
  <si>
    <t xml:space="preserve">BPBL-CUS-000237</t>
  </si>
  <si>
    <t xml:space="preserve">Saiful Uddin</t>
  </si>
  <si>
    <t xml:space="preserve">BPBL-LN-2026-000237</t>
  </si>
  <si>
    <t xml:space="preserve">BPBL-CUS-000238</t>
  </si>
  <si>
    <t xml:space="preserve">Ataur Hawlader</t>
  </si>
  <si>
    <t xml:space="preserve">Aktar Patwary</t>
  </si>
  <si>
    <t xml:space="preserve">BPBL-LN-2026-000238</t>
  </si>
  <si>
    <t xml:space="preserve">BPBL-CUS-000239</t>
  </si>
  <si>
    <t xml:space="preserve">Mostafa Ahmed</t>
  </si>
  <si>
    <t xml:space="preserve">Shafin Sarker</t>
  </si>
  <si>
    <t xml:space="preserve">BPBL-LN-2026-000239</t>
  </si>
  <si>
    <t xml:space="preserve">BPBL-CUS-000240</t>
  </si>
  <si>
    <t xml:space="preserve">Golam Munshi</t>
  </si>
  <si>
    <t xml:space="preserve">Anisur Miah</t>
  </si>
  <si>
    <t xml:space="preserve">BPBL-LN-2026-000240</t>
  </si>
  <si>
    <t xml:space="preserve">BPBL-CUS-000241</t>
  </si>
  <si>
    <t xml:space="preserve">Forhad Patwary</t>
  </si>
  <si>
    <t xml:space="preserve">BPBL-LN-2026-000241</t>
  </si>
  <si>
    <t xml:space="preserve">BPBL-CUS-000242</t>
  </si>
  <si>
    <t xml:space="preserve">Arif Mridha</t>
  </si>
  <si>
    <t xml:space="preserve">Rafiqul Karim</t>
  </si>
  <si>
    <t xml:space="preserve">BPBL-LN-2026-000242</t>
  </si>
  <si>
    <t xml:space="preserve">BPBL-CUS-000243</t>
  </si>
  <si>
    <t xml:space="preserve">Monir Rahman</t>
  </si>
  <si>
    <t xml:space="preserve">Mustafizur Saha</t>
  </si>
  <si>
    <t xml:space="preserve">BPBL-LN-2026-000243</t>
  </si>
  <si>
    <t xml:space="preserve">BPBL-CUS-000244</t>
  </si>
  <si>
    <t xml:space="preserve">Razia Akand</t>
  </si>
  <si>
    <t xml:space="preserve">Towhid Sardar</t>
  </si>
  <si>
    <t xml:space="preserve">BPBL-LN-2026-000244</t>
  </si>
  <si>
    <t xml:space="preserve">BPBL-CUS-000245</t>
  </si>
  <si>
    <t xml:space="preserve">Tonni Patwary</t>
  </si>
  <si>
    <t xml:space="preserve">Asaduzzaman Chowdhury</t>
  </si>
  <si>
    <t xml:space="preserve">BPBL-LN-2026-000245</t>
  </si>
  <si>
    <t xml:space="preserve">BPBL-CUS-000246</t>
  </si>
  <si>
    <t xml:space="preserve">Habibur Hawlader</t>
  </si>
  <si>
    <t xml:space="preserve">Touhidul Khan</t>
  </si>
  <si>
    <t xml:space="preserve">BPBL-LN-2026-000246</t>
  </si>
  <si>
    <t xml:space="preserve">BPBL-CUS-000247</t>
  </si>
  <si>
    <t xml:space="preserve">Anisur Faruqui</t>
  </si>
  <si>
    <t xml:space="preserve">BPBL-LN-2026-000247</t>
  </si>
  <si>
    <t xml:space="preserve">BPBL-CUS-000248</t>
  </si>
  <si>
    <t xml:space="preserve">Yeasin Hasan</t>
  </si>
  <si>
    <t xml:space="preserve">Jasim Munshi</t>
  </si>
  <si>
    <t xml:space="preserve">BPBL-LN-2026-000248</t>
  </si>
  <si>
    <t xml:space="preserve">BPBL-CUS-000249</t>
  </si>
  <si>
    <t xml:space="preserve">Kamal Khan</t>
  </si>
  <si>
    <t xml:space="preserve">Jahangir Rahman</t>
  </si>
  <si>
    <t xml:space="preserve">BPBL-LN-2026-000249</t>
  </si>
  <si>
    <t xml:space="preserve">BPBL-CUS-000250</t>
  </si>
  <si>
    <t xml:space="preserve">Fahmida Das</t>
  </si>
  <si>
    <t xml:space="preserve">Aktar Akter</t>
  </si>
  <si>
    <t xml:space="preserve">BPBL-LN-2026-000250</t>
  </si>
  <si>
    <t xml:space="preserve">BPBL-CUS-000251</t>
  </si>
  <si>
    <t xml:space="preserve">Jahangir Khan</t>
  </si>
  <si>
    <t xml:space="preserve">Arif Mollah</t>
  </si>
  <si>
    <t xml:space="preserve">BPBL-LN-2026-000251</t>
  </si>
  <si>
    <t xml:space="preserve">BPBL-CUS-000252</t>
  </si>
  <si>
    <t xml:space="preserve">Shahana Khondkar</t>
  </si>
  <si>
    <t xml:space="preserve">Hossain Biswas</t>
  </si>
  <si>
    <t xml:space="preserve">BPBL-LN-2026-000252</t>
  </si>
  <si>
    <t xml:space="preserve">BPBL-CUS-000253</t>
  </si>
  <si>
    <t xml:space="preserve">Naznin Majumder</t>
  </si>
  <si>
    <t xml:space="preserve">Monir Ahmed</t>
  </si>
  <si>
    <t xml:space="preserve">BPBL-LN-2026-000253</t>
  </si>
  <si>
    <t xml:space="preserve">BPBL-CUS-000254</t>
  </si>
  <si>
    <t xml:space="preserve">Rashedul Gazi</t>
  </si>
  <si>
    <t xml:space="preserve">Hossain Gazi</t>
  </si>
  <si>
    <t xml:space="preserve">BPBL-LN-2026-000254</t>
  </si>
  <si>
    <t xml:space="preserve">BPBL-CUS-000255</t>
  </si>
  <si>
    <t xml:space="preserve">Anwar Rahman</t>
  </si>
  <si>
    <t xml:space="preserve">BPBL-LN-2026-000255</t>
  </si>
  <si>
    <t xml:space="preserve">BPBL-CUS-000256</t>
  </si>
  <si>
    <t xml:space="preserve">Tariqul Ahmed</t>
  </si>
  <si>
    <t xml:space="preserve">Selim Akand</t>
  </si>
  <si>
    <t xml:space="preserve">BPBL-LN-2026-000256</t>
  </si>
  <si>
    <t xml:space="preserve">BPBL-CUS-000257</t>
  </si>
  <si>
    <t xml:space="preserve">Delwar Khondkar</t>
  </si>
  <si>
    <t xml:space="preserve">Habibur Karim</t>
  </si>
  <si>
    <t xml:space="preserve">BPBL-LN-2026-000257</t>
  </si>
  <si>
    <t xml:space="preserve">BPBL-CUS-000258</t>
  </si>
  <si>
    <t xml:space="preserve">Aminul Rahman</t>
  </si>
  <si>
    <t xml:space="preserve">Rafiqul Sikder</t>
  </si>
  <si>
    <t xml:space="preserve">BPBL-LN-2026-000258</t>
  </si>
  <si>
    <t xml:space="preserve">BPBL-CUS-000259</t>
  </si>
  <si>
    <t xml:space="preserve">Mitu Mollah</t>
  </si>
  <si>
    <t xml:space="preserve">Anisur Munshi</t>
  </si>
  <si>
    <t xml:space="preserve">BPBL-LN-2026-000259</t>
  </si>
  <si>
    <t xml:space="preserve">BPBL-CUS-000260</t>
  </si>
  <si>
    <t xml:space="preserve">Yasmin Bhuiyan</t>
  </si>
  <si>
    <t xml:space="preserve">BPBL-LN-2026-000260</t>
  </si>
  <si>
    <t xml:space="preserve">BPBL-CUS-000261</t>
  </si>
  <si>
    <t xml:space="preserve">Rokeya Munshi</t>
  </si>
  <si>
    <t xml:space="preserve">Wahidul Khan</t>
  </si>
  <si>
    <t xml:space="preserve">BPBL-LN-2026-000261</t>
  </si>
  <si>
    <t xml:space="preserve">BPBL-CUS-000262</t>
  </si>
  <si>
    <t xml:space="preserve">Golam Hasan</t>
  </si>
  <si>
    <t xml:space="preserve">Mehedi Sheikh</t>
  </si>
  <si>
    <t xml:space="preserve">BPBL-LN-2026-000262</t>
  </si>
  <si>
    <t xml:space="preserve">BPBL-CUS-000263</t>
  </si>
  <si>
    <t xml:space="preserve">Emdadul Hasan</t>
  </si>
  <si>
    <t xml:space="preserve">Golam Patwary</t>
  </si>
  <si>
    <t xml:space="preserve">BPBL-LN-2026-000263</t>
  </si>
  <si>
    <t xml:space="preserve">BPBL-CUS-000264</t>
  </si>
  <si>
    <t xml:space="preserve">Jamal Hawlader</t>
  </si>
  <si>
    <t xml:space="preserve">Towhid Mia</t>
  </si>
  <si>
    <t xml:space="preserve">BPBL-LN-2026-000264</t>
  </si>
  <si>
    <t xml:space="preserve">BPBL-CUS-000265</t>
  </si>
  <si>
    <t xml:space="preserve">Nasrin Hasan</t>
  </si>
  <si>
    <t xml:space="preserve">Shakil Pramanik</t>
  </si>
  <si>
    <t xml:space="preserve">BPBL-LN-2026-000265</t>
  </si>
  <si>
    <t xml:space="preserve">BPBL-CUS-000266</t>
  </si>
  <si>
    <t xml:space="preserve">Jasim Patwary</t>
  </si>
  <si>
    <t xml:space="preserve">Mamunur Faruqui</t>
  </si>
  <si>
    <t xml:space="preserve">BPBL-LN-2026-000266</t>
  </si>
  <si>
    <t xml:space="preserve">BPBL-CUS-000267</t>
  </si>
  <si>
    <t xml:space="preserve">Nusrat Patwary</t>
  </si>
  <si>
    <t xml:space="preserve">Ekram Mollah</t>
  </si>
  <si>
    <t xml:space="preserve">BPBL-LN-2026-000267</t>
  </si>
  <si>
    <t xml:space="preserve">BPBL-CUS-000268</t>
  </si>
  <si>
    <t xml:space="preserve">Jasim Faruqui</t>
  </si>
  <si>
    <t xml:space="preserve">Mamunur Hawlader</t>
  </si>
  <si>
    <t xml:space="preserve">BPBL-LN-2026-000268</t>
  </si>
  <si>
    <t xml:space="preserve">BPBL-CUS-000269</t>
  </si>
  <si>
    <t xml:space="preserve">Rakib Mia</t>
  </si>
  <si>
    <t xml:space="preserve">Delwar Majumder</t>
  </si>
  <si>
    <t xml:space="preserve">BPBL-LN-2026-000269</t>
  </si>
  <si>
    <t xml:space="preserve">BPBL-CUS-000270</t>
  </si>
  <si>
    <t xml:space="preserve">Monir Miah</t>
  </si>
  <si>
    <t xml:space="preserve">Abdul Majumder</t>
  </si>
  <si>
    <t xml:space="preserve">BPBL-LN-2026-000270</t>
  </si>
  <si>
    <t xml:space="preserve">BPBL-CUS-000271</t>
  </si>
  <si>
    <t xml:space="preserve">Rabeya Gazi</t>
  </si>
  <si>
    <t xml:space="preserve">Zahirul Hossain</t>
  </si>
  <si>
    <t xml:space="preserve">BPBL-LN-2026-000271</t>
  </si>
  <si>
    <t xml:space="preserve">BPBL-CUS-000272</t>
  </si>
  <si>
    <t xml:space="preserve">Ayesha Ahmed</t>
  </si>
  <si>
    <t xml:space="preserve">Jasim Bhuiyan</t>
  </si>
  <si>
    <t xml:space="preserve">BPBL-LN-2026-000272</t>
  </si>
  <si>
    <t xml:space="preserve">BPBL-CUS-000273</t>
  </si>
  <si>
    <t xml:space="preserve">Rokeya Gazi</t>
  </si>
  <si>
    <t xml:space="preserve">Emdadul Talukder</t>
  </si>
  <si>
    <t xml:space="preserve">BPBL-LN-2026-000273</t>
  </si>
  <si>
    <t xml:space="preserve">BPBL-CUS-000274</t>
  </si>
  <si>
    <t xml:space="preserve">Riaz Faruqui</t>
  </si>
  <si>
    <t xml:space="preserve">Touhidul Gazi</t>
  </si>
  <si>
    <t xml:space="preserve">BPBL-LN-2026-000274</t>
  </si>
  <si>
    <t xml:space="preserve">BPBL-CUS-000275</t>
  </si>
  <si>
    <t xml:space="preserve">Jahangir Talukder</t>
  </si>
  <si>
    <t xml:space="preserve">Riaz Talukder</t>
  </si>
  <si>
    <t xml:space="preserve">BPBL-LN-2026-000275</t>
  </si>
  <si>
    <t xml:space="preserve">BPBL-CUS-000276</t>
  </si>
  <si>
    <t xml:space="preserve">Hasan Sarkar</t>
  </si>
  <si>
    <t xml:space="preserve">BPBL-LN-2026-000276</t>
  </si>
  <si>
    <t xml:space="preserve">BPBL-CUS-000277</t>
  </si>
  <si>
    <t xml:space="preserve">Touhidul Rahman</t>
  </si>
  <si>
    <t xml:space="preserve">Mostafa Sardar</t>
  </si>
  <si>
    <t xml:space="preserve">BPBL-LN-2026-000277</t>
  </si>
  <si>
    <t xml:space="preserve">BPBL-CUS-000278</t>
  </si>
  <si>
    <t xml:space="preserve">Nasrin Mondol</t>
  </si>
  <si>
    <t xml:space="preserve">Zubayer Hawlader</t>
  </si>
  <si>
    <t xml:space="preserve">BPBL-LN-2026-000278</t>
  </si>
  <si>
    <t xml:space="preserve">BPBL-CUS-000279</t>
  </si>
  <si>
    <t xml:space="preserve">Sumaiya Uddin</t>
  </si>
  <si>
    <t xml:space="preserve">Rafiqul Hasan</t>
  </si>
  <si>
    <t xml:space="preserve">Chandpur</t>
  </si>
  <si>
    <t xml:space="preserve">BPBL-LN-2026-000279</t>
  </si>
  <si>
    <t xml:space="preserve">BPBL-CUS-000280</t>
  </si>
  <si>
    <t xml:space="preserve">Shahidul Chowdhury</t>
  </si>
  <si>
    <t xml:space="preserve">Faruk Hossain</t>
  </si>
  <si>
    <t xml:space="preserve">BPBL-LN-2026-000280</t>
  </si>
  <si>
    <t xml:space="preserve">BPBL-CUS-000281</t>
  </si>
  <si>
    <t xml:space="preserve">Jamal Talukder</t>
  </si>
  <si>
    <t xml:space="preserve">Anwar Hossain</t>
  </si>
  <si>
    <t xml:space="preserve">BPBL-LN-2026-000281</t>
  </si>
  <si>
    <t xml:space="preserve">BPBL-CUS-000282</t>
  </si>
  <si>
    <t xml:space="preserve">Rezaul Pramanik</t>
  </si>
  <si>
    <t xml:space="preserve">Anisur Mia</t>
  </si>
  <si>
    <t xml:space="preserve">BPBL-LN-2026-000282</t>
  </si>
  <si>
    <t xml:space="preserve">BPBL-CUS-000283</t>
  </si>
  <si>
    <t xml:space="preserve">Masud Mridha</t>
  </si>
  <si>
    <t xml:space="preserve">BPBL-LN-2026-000283</t>
  </si>
  <si>
    <t xml:space="preserve">BPBL-CUS-000284</t>
  </si>
  <si>
    <t xml:space="preserve">Riaz Majumder</t>
  </si>
  <si>
    <t xml:space="preserve">BPBL-LN-2026-000284</t>
  </si>
  <si>
    <t xml:space="preserve">BPBL-CUS-000285</t>
  </si>
  <si>
    <t xml:space="preserve">Rehana Uddin</t>
  </si>
  <si>
    <t xml:space="preserve">Wahidul Bhuiyan</t>
  </si>
  <si>
    <t xml:space="preserve">BPBL-LN-2026-000285</t>
  </si>
  <si>
    <t xml:space="preserve">BPBL-CUS-000286</t>
  </si>
  <si>
    <t xml:space="preserve">Monir Khan</t>
  </si>
  <si>
    <t xml:space="preserve">BPBL-LN-2026-000286</t>
  </si>
  <si>
    <t xml:space="preserve">BPBL-CUS-000287</t>
  </si>
  <si>
    <t xml:space="preserve">Ashraf Hawlader</t>
  </si>
  <si>
    <t xml:space="preserve">Riaz Sheikh</t>
  </si>
  <si>
    <t xml:space="preserve">BPBL-LN-2026-000287</t>
  </si>
  <si>
    <t xml:space="preserve">BPBL-CUS-000288</t>
  </si>
  <si>
    <t xml:space="preserve">Poly Islam</t>
  </si>
  <si>
    <t xml:space="preserve">BPBL-LN-2026-000288</t>
  </si>
  <si>
    <t xml:space="preserve">BPBL-CUS-000289</t>
  </si>
  <si>
    <t xml:space="preserve">Jesmin Sikder</t>
  </si>
  <si>
    <t xml:space="preserve">Masud Howlader</t>
  </si>
  <si>
    <t xml:space="preserve">BPBL-LN-2026-000289</t>
  </si>
  <si>
    <t xml:space="preserve">BPBL-CUS-000290</t>
  </si>
  <si>
    <t xml:space="preserve">Wahidul Hasan</t>
  </si>
  <si>
    <t xml:space="preserve">Aminul Sikder</t>
  </si>
  <si>
    <t xml:space="preserve">BPBL-LN-2026-000290</t>
  </si>
  <si>
    <t xml:space="preserve">BPBL-CUS-000291</t>
  </si>
  <si>
    <t xml:space="preserve">Shafin Rahman</t>
  </si>
  <si>
    <t xml:space="preserve">Bashir Hasan</t>
  </si>
  <si>
    <t xml:space="preserve">BPBL-LN-2026-000291</t>
  </si>
  <si>
    <t xml:space="preserve">BPBL-CUS-000292</t>
  </si>
  <si>
    <t xml:space="preserve">Nipa Ahmed</t>
  </si>
  <si>
    <t xml:space="preserve">Iqbal Das</t>
  </si>
  <si>
    <t xml:space="preserve">BPBL-LN-2026-000292</t>
  </si>
  <si>
    <t xml:space="preserve">BPBL-CUS-000293</t>
  </si>
  <si>
    <t xml:space="preserve">Imran Sarker</t>
  </si>
  <si>
    <t xml:space="preserve">Yeasin Akter</t>
  </si>
  <si>
    <t xml:space="preserve">BPBL-LN-2026-000293</t>
  </si>
  <si>
    <t xml:space="preserve">BPBL-CUS-000294</t>
  </si>
  <si>
    <t xml:space="preserve">Sadia Sardar</t>
  </si>
  <si>
    <t xml:space="preserve">Anwar Faruqui</t>
  </si>
  <si>
    <t xml:space="preserve">BPBL-LN-2026-000294</t>
  </si>
  <si>
    <t xml:space="preserve">BPBL-CUS-000295</t>
  </si>
  <si>
    <t xml:space="preserve">Quamrul Chowdhury</t>
  </si>
  <si>
    <t xml:space="preserve">BPBL-LN-2026-000295</t>
  </si>
  <si>
    <t xml:space="preserve">BPBL-CUS-000296</t>
  </si>
  <si>
    <t xml:space="preserve">Nipa Uddin</t>
  </si>
  <si>
    <t xml:space="preserve">BPBL-LN-2026-000296</t>
  </si>
  <si>
    <t xml:space="preserve">BPBL-CUS-000297</t>
  </si>
  <si>
    <t xml:space="preserve">Mahmuda Mollah</t>
  </si>
  <si>
    <t xml:space="preserve">Zahirul Akand</t>
  </si>
  <si>
    <t xml:space="preserve">BPBL-LN-2026-000297</t>
  </si>
  <si>
    <t xml:space="preserve">BPBL-CUS-000298</t>
  </si>
  <si>
    <t xml:space="preserve">Forhad Khan</t>
  </si>
  <si>
    <t xml:space="preserve">Saiful Khondkar</t>
  </si>
  <si>
    <t xml:space="preserve">BPBL-LN-2026-000298</t>
  </si>
  <si>
    <t xml:space="preserve">BPBL-CUS-000299</t>
  </si>
  <si>
    <t xml:space="preserve">Anisur Hossain</t>
  </si>
  <si>
    <t xml:space="preserve">BPBL-LN-2026-000299</t>
  </si>
  <si>
    <t xml:space="preserve">BPBL-CUS-000300</t>
  </si>
  <si>
    <t xml:space="preserve">Iqbal Sarkar</t>
  </si>
  <si>
    <t xml:space="preserve">Zubayer Chowdhury</t>
  </si>
  <si>
    <t xml:space="preserve">BPBL-LN-2026-000300</t>
  </si>
  <si>
    <t xml:space="preserve">BPBL-CUS-000301</t>
  </si>
  <si>
    <t xml:space="preserve">Lutfun Sarkar</t>
  </si>
  <si>
    <t xml:space="preserve">Nayeem Rahman</t>
  </si>
  <si>
    <t xml:space="preserve">BPBL-LN-2026-000301</t>
  </si>
  <si>
    <t xml:space="preserve">BPBL-CUS-000302</t>
  </si>
  <si>
    <t xml:space="preserve">Hasan Uddin</t>
  </si>
  <si>
    <t xml:space="preserve">BPBL-LN-2026-000302</t>
  </si>
  <si>
    <t xml:space="preserve">BPBL-CUS-000303</t>
  </si>
  <si>
    <t xml:space="preserve">Mustafizur Mollah</t>
  </si>
  <si>
    <t xml:space="preserve">Shafin Akand</t>
  </si>
  <si>
    <t xml:space="preserve">BPBL-LN-2026-000303</t>
  </si>
  <si>
    <t xml:space="preserve">BPBL-CUS-000304</t>
  </si>
  <si>
    <t xml:space="preserve">Delwar Mia</t>
  </si>
  <si>
    <t xml:space="preserve">BPBL-LN-2026-000304</t>
  </si>
  <si>
    <t xml:space="preserve">BPBL-CUS-000305</t>
  </si>
  <si>
    <t xml:space="preserve">Poly Sardar</t>
  </si>
  <si>
    <t xml:space="preserve">Hasan Hawlader</t>
  </si>
  <si>
    <t xml:space="preserve">BPBL-LN-2026-000305</t>
  </si>
  <si>
    <t xml:space="preserve">BPBL-CUS-000306</t>
  </si>
  <si>
    <t xml:space="preserve">Quamrul Mollah</t>
  </si>
  <si>
    <t xml:space="preserve">BPBL-LN-2026-000306</t>
  </si>
  <si>
    <t xml:space="preserve">BPBL-CUS-000307</t>
  </si>
  <si>
    <t xml:space="preserve">Sumaiya Khan</t>
  </si>
  <si>
    <t xml:space="preserve">Kamal Das</t>
  </si>
  <si>
    <t xml:space="preserve">BPBL-LN-2026-000307</t>
  </si>
  <si>
    <t xml:space="preserve">BPBL-CUS-000308</t>
  </si>
  <si>
    <t xml:space="preserve">Fahmida Hossain</t>
  </si>
  <si>
    <t xml:space="preserve">BPBL-LN-2026-000308</t>
  </si>
  <si>
    <t xml:space="preserve">BPBL-CUS-000309</t>
  </si>
  <si>
    <t xml:space="preserve">Marium Akter</t>
  </si>
  <si>
    <t xml:space="preserve">BPBL-LN-2026-000309</t>
  </si>
  <si>
    <t xml:space="preserve">BPBL-CUS-000310</t>
  </si>
  <si>
    <t xml:space="preserve">Jesmin Howlader</t>
  </si>
  <si>
    <t xml:space="preserve">Ekram Ahmed</t>
  </si>
  <si>
    <t xml:space="preserve">BPBL-LN-2026-000310</t>
  </si>
  <si>
    <t xml:space="preserve">BPBL-CUS-000311</t>
  </si>
  <si>
    <t xml:space="preserve">Rashedul Saha</t>
  </si>
  <si>
    <t xml:space="preserve">BPBL-LN-2026-000311</t>
  </si>
  <si>
    <t xml:space="preserve">BPBL-CUS-000312</t>
  </si>
  <si>
    <t xml:space="preserve">Shirin Majumder</t>
  </si>
  <si>
    <t xml:space="preserve">Asaduzzaman Pramanik</t>
  </si>
  <si>
    <t xml:space="preserve">BPBL-LN-2026-000312</t>
  </si>
  <si>
    <t xml:space="preserve">BPBL-CUS-000313</t>
  </si>
  <si>
    <t xml:space="preserve">Jasim Mondol</t>
  </si>
  <si>
    <t xml:space="preserve">BPBL-LN-2026-000313</t>
  </si>
  <si>
    <t xml:space="preserve">BPBL-CUS-000314</t>
  </si>
  <si>
    <t xml:space="preserve">Nazrul Mridha</t>
  </si>
  <si>
    <t xml:space="preserve">Mamunur Alam</t>
  </si>
  <si>
    <t xml:space="preserve">Jhalokati</t>
  </si>
  <si>
    <t xml:space="preserve">BPBL-LN-2026-000314</t>
  </si>
  <si>
    <t xml:space="preserve">BPBL-CUS-000315</t>
  </si>
  <si>
    <t xml:space="preserve">Aminul Pramanik</t>
  </si>
  <si>
    <t xml:space="preserve">Shamim Mollah</t>
  </si>
  <si>
    <t xml:space="preserve">BPBL-LN-2026-000315</t>
  </si>
  <si>
    <t xml:space="preserve">BPBL-CUS-000316</t>
  </si>
  <si>
    <t xml:space="preserve">Riaz Miah</t>
  </si>
  <si>
    <t xml:space="preserve">Rezaul Karim</t>
  </si>
  <si>
    <t xml:space="preserve">BPBL-LN-2026-000316</t>
  </si>
  <si>
    <t xml:space="preserve">BPBL-CUS-000317</t>
  </si>
  <si>
    <t xml:space="preserve">Faruk Mondol</t>
  </si>
  <si>
    <t xml:space="preserve">Masud Ahmed</t>
  </si>
  <si>
    <t xml:space="preserve">BPBL-LN-2026-000317</t>
  </si>
  <si>
    <t xml:space="preserve">BPBL-CUS-000318</t>
  </si>
  <si>
    <t xml:space="preserve">Suraiya Hossain</t>
  </si>
  <si>
    <t xml:space="preserve">Faruk Munshi</t>
  </si>
  <si>
    <t xml:space="preserve">BPBL-LN-2026-000318</t>
  </si>
  <si>
    <t xml:space="preserve">BPBL-CUS-000319</t>
  </si>
  <si>
    <t xml:space="preserve">Faruk Howlader</t>
  </si>
  <si>
    <t xml:space="preserve">BPBL-LN-2026-000319</t>
  </si>
  <si>
    <t xml:space="preserve">BPBL-CUS-000320</t>
  </si>
  <si>
    <t xml:space="preserve">Halima Rahman</t>
  </si>
  <si>
    <t xml:space="preserve">Arif Alam</t>
  </si>
  <si>
    <t xml:space="preserve">BPBL-LN-2026-000320</t>
  </si>
  <si>
    <t xml:space="preserve">BPBL-CUS-000321</t>
  </si>
  <si>
    <t xml:space="preserve">Tanvir Mollah</t>
  </si>
  <si>
    <t xml:space="preserve">Shafiqul Sarker</t>
  </si>
  <si>
    <t xml:space="preserve">BPBL-LN-2026-000321</t>
  </si>
  <si>
    <t xml:space="preserve">BPBL-CUS-000322</t>
  </si>
  <si>
    <t xml:space="preserve">Nazrul Saha</t>
  </si>
  <si>
    <t xml:space="preserve">Faruk Mridha</t>
  </si>
  <si>
    <t xml:space="preserve">BPBL-LN-2026-000322</t>
  </si>
  <si>
    <t xml:space="preserve">BPBL-CUS-000323</t>
  </si>
  <si>
    <t xml:space="preserve">Mehedi Pramanik</t>
  </si>
  <si>
    <t xml:space="preserve">Iqbal Karim</t>
  </si>
  <si>
    <t xml:space="preserve">BPBL-LN-2026-000323</t>
  </si>
  <si>
    <t xml:space="preserve">BPBL-CUS-000324</t>
  </si>
  <si>
    <t xml:space="preserve">Monir Das</t>
  </si>
  <si>
    <t xml:space="preserve">Robiul Uddin</t>
  </si>
  <si>
    <t xml:space="preserve">BPBL-LN-2026-000324</t>
  </si>
  <si>
    <t xml:space="preserve">BPBL-CUS-000325</t>
  </si>
  <si>
    <t xml:space="preserve">Naznin Biswas</t>
  </si>
  <si>
    <t xml:space="preserve">Riaz Chowdhury</t>
  </si>
  <si>
    <t xml:space="preserve">BPBL-LN-2026-000325</t>
  </si>
  <si>
    <t xml:space="preserve">BPBL-CUS-000326</t>
  </si>
  <si>
    <t xml:space="preserve">Mahmuda Majumder</t>
  </si>
  <si>
    <t xml:space="preserve">BPBL-LN-2026-000326</t>
  </si>
  <si>
    <t xml:space="preserve">BPBL-CUS-000327</t>
  </si>
  <si>
    <t xml:space="preserve">Wahidul Gazi</t>
  </si>
  <si>
    <t xml:space="preserve">BPBL-LN-2026-000327</t>
  </si>
  <si>
    <t xml:space="preserve">BPBL-CUS-000328</t>
  </si>
  <si>
    <t xml:space="preserve">Asaduzzaman Akand</t>
  </si>
  <si>
    <t xml:space="preserve">Imran Ahmed</t>
  </si>
  <si>
    <t xml:space="preserve">BPBL-LN-2026-000328</t>
  </si>
  <si>
    <t xml:space="preserve">BPBL-CUS-000329</t>
  </si>
  <si>
    <t xml:space="preserve">Shafiqul Sardar</t>
  </si>
  <si>
    <t xml:space="preserve">Hasan Gazi</t>
  </si>
  <si>
    <t xml:space="preserve">BPBL-LN-2026-000329</t>
  </si>
  <si>
    <t xml:space="preserve">BPBL-CUS-000330</t>
  </si>
  <si>
    <t xml:space="preserve">Mahmudul Munshi</t>
  </si>
  <si>
    <t xml:space="preserve">Asaduzzaman Saha</t>
  </si>
  <si>
    <t xml:space="preserve">BPBL-LN-2026-000330</t>
  </si>
  <si>
    <t xml:space="preserve">BPBL-CUS-000331</t>
  </si>
  <si>
    <t xml:space="preserve">Afsana Howlader</t>
  </si>
  <si>
    <t xml:space="preserve">Rakib Mridha</t>
  </si>
  <si>
    <t xml:space="preserve">BPBL-LN-2026-000331</t>
  </si>
  <si>
    <t xml:space="preserve">BPBL-CUS-000332</t>
  </si>
  <si>
    <t xml:space="preserve">Kohinoor Uddin</t>
  </si>
  <si>
    <t xml:space="preserve">Shafin Karim</t>
  </si>
  <si>
    <t xml:space="preserve">BPBL-LN-2026-000332</t>
  </si>
  <si>
    <t xml:space="preserve">BPBL-CUS-000333</t>
  </si>
  <si>
    <t xml:space="preserve">Masud Gazi</t>
  </si>
  <si>
    <t xml:space="preserve">BPBL-LN-2026-000333</t>
  </si>
  <si>
    <t xml:space="preserve">BPBL-CUS-000334</t>
  </si>
  <si>
    <t xml:space="preserve">Jahangir Biswas</t>
  </si>
  <si>
    <t xml:space="preserve">Shahidul Sardar</t>
  </si>
  <si>
    <t xml:space="preserve">BPBL-LN-2026-000334</t>
  </si>
  <si>
    <t xml:space="preserve">BPBL-CUS-000335</t>
  </si>
  <si>
    <t xml:space="preserve">Mehedi Mia</t>
  </si>
  <si>
    <t xml:space="preserve">Arif Hossain</t>
  </si>
  <si>
    <t xml:space="preserve">BPBL-LN-2026-000335</t>
  </si>
  <si>
    <t xml:space="preserve">BPBL-CUS-000336</t>
  </si>
  <si>
    <t xml:space="preserve">Tariqul Patwary</t>
  </si>
  <si>
    <t xml:space="preserve">Asaduzzaman Howlader</t>
  </si>
  <si>
    <t xml:space="preserve">BPBL-LN-2026-000336</t>
  </si>
  <si>
    <t xml:space="preserve">BPBL-CUS-000337</t>
  </si>
  <si>
    <t xml:space="preserve">Joya Saha</t>
  </si>
  <si>
    <t xml:space="preserve">BPBL-LN-2026-000337</t>
  </si>
  <si>
    <t xml:space="preserve">BPBL-CUS-000338</t>
  </si>
  <si>
    <t xml:space="preserve">Hasan Chowdhury</t>
  </si>
  <si>
    <t xml:space="preserve">BPBL-LN-2026-000338</t>
  </si>
  <si>
    <t xml:space="preserve">BPBL-CUS-000339</t>
  </si>
  <si>
    <t xml:space="preserve">Naznin Sarker</t>
  </si>
  <si>
    <t xml:space="preserve">Nurul Akter</t>
  </si>
  <si>
    <t xml:space="preserve">BPBL-LN-2026-000339</t>
  </si>
  <si>
    <t xml:space="preserve">BPBL-CUS-000340</t>
  </si>
  <si>
    <t xml:space="preserve">Tania Das</t>
  </si>
  <si>
    <t xml:space="preserve">Rafiqul Patwary</t>
  </si>
  <si>
    <t xml:space="preserve">BPBL-LN-2026-000340</t>
  </si>
  <si>
    <t xml:space="preserve">BPBL-CUS-000341</t>
  </si>
  <si>
    <t xml:space="preserve">Rakib Rahman</t>
  </si>
  <si>
    <t xml:space="preserve">Hasan Hasan</t>
  </si>
  <si>
    <t xml:space="preserve">BPBL-LN-2026-000341</t>
  </si>
  <si>
    <t xml:space="preserve">BPBL-CUS-000342</t>
  </si>
  <si>
    <t xml:space="preserve">Shakil Hossain</t>
  </si>
  <si>
    <t xml:space="preserve">BPBL-LN-2026-000342</t>
  </si>
  <si>
    <t xml:space="preserve">BPBL-CUS-000343</t>
  </si>
  <si>
    <t xml:space="preserve">Mustafizur Faruqui</t>
  </si>
  <si>
    <t xml:space="preserve">Liton Saha</t>
  </si>
  <si>
    <t xml:space="preserve">BPBL-LN-2026-000343</t>
  </si>
  <si>
    <t xml:space="preserve">BPBL-CUS-000344</t>
  </si>
  <si>
    <t xml:space="preserve">Selim Biswas</t>
  </si>
  <si>
    <t xml:space="preserve">Zahirul Khan</t>
  </si>
  <si>
    <t xml:space="preserve">BPBL-LN-2026-000344</t>
  </si>
  <si>
    <t xml:space="preserve">BPBL-CUS-000345</t>
  </si>
  <si>
    <t xml:space="preserve">Nurul Sikder</t>
  </si>
  <si>
    <t xml:space="preserve">Iqbal Roy</t>
  </si>
  <si>
    <t xml:space="preserve">BPBL-LN-2026-000345</t>
  </si>
  <si>
    <t xml:space="preserve">BPBL-CUS-000346</t>
  </si>
  <si>
    <t xml:space="preserve">Nurul Biswas</t>
  </si>
  <si>
    <t xml:space="preserve">Mizanur Sardar</t>
  </si>
  <si>
    <t xml:space="preserve">BPBL-LN-2026-000346</t>
  </si>
  <si>
    <t xml:space="preserve">BPBL-CUS-000347</t>
  </si>
  <si>
    <t xml:space="preserve">Rumana Biswas</t>
  </si>
  <si>
    <t xml:space="preserve">Rafiqul Rahman</t>
  </si>
  <si>
    <t xml:space="preserve">BPBL-LN-2026-000347</t>
  </si>
  <si>
    <t xml:space="preserve">BPBL-CUS-000348</t>
  </si>
  <si>
    <t xml:space="preserve">Shahidul Hasan</t>
  </si>
  <si>
    <t xml:space="preserve">Selim Sarker</t>
  </si>
  <si>
    <t xml:space="preserve">BPBL-LN-2026-000348</t>
  </si>
  <si>
    <t xml:space="preserve">BPBL-CUS-000349</t>
  </si>
  <si>
    <t xml:space="preserve">Selim Talukder</t>
  </si>
  <si>
    <t xml:space="preserve">BPBL-LN-2026-000349</t>
  </si>
  <si>
    <t xml:space="preserve">BPBL-CUS-000350</t>
  </si>
  <si>
    <t xml:space="preserve">Mizanur Patwary</t>
  </si>
  <si>
    <t xml:space="preserve">BPBL-LN-2026-000350</t>
  </si>
  <si>
    <t xml:space="preserve">BPBL-CUS-000351</t>
  </si>
  <si>
    <t xml:space="preserve">Ruma Akter</t>
  </si>
  <si>
    <t xml:space="preserve">BPBL-LN-2026-000351</t>
  </si>
  <si>
    <t xml:space="preserve">BPBL-CUS-000352</t>
  </si>
  <si>
    <t xml:space="preserve">Quamrul Akand</t>
  </si>
  <si>
    <t xml:space="preserve">Forhad Sheikh</t>
  </si>
  <si>
    <t xml:space="preserve">BPBL-LN-2026-000352</t>
  </si>
  <si>
    <t xml:space="preserve">BPBL-CUS-000353</t>
  </si>
  <si>
    <t xml:space="preserve">Aktar Uddin</t>
  </si>
  <si>
    <t xml:space="preserve">Faruk Saha</t>
  </si>
  <si>
    <t xml:space="preserve">BPBL-LN-2026-000353</t>
  </si>
  <si>
    <t xml:space="preserve">BPBL-CUS-000354</t>
  </si>
  <si>
    <t xml:space="preserve">Mim Chowdhury</t>
  </si>
  <si>
    <t xml:space="preserve">Mustafizur Sheikh</t>
  </si>
  <si>
    <t xml:space="preserve">BPBL-LN-2026-000354</t>
  </si>
  <si>
    <t xml:space="preserve">BPBL-CUS-000355</t>
  </si>
  <si>
    <t xml:space="preserve">Promi Miah</t>
  </si>
  <si>
    <t xml:space="preserve">BPBL-LN-2026-000355</t>
  </si>
  <si>
    <t xml:space="preserve">BPBL-CUS-000356</t>
  </si>
  <si>
    <t xml:space="preserve">Anika Islam</t>
  </si>
  <si>
    <t xml:space="preserve">Bashir Sarkar</t>
  </si>
  <si>
    <t xml:space="preserve">BPBL-LN-2026-000356</t>
  </si>
  <si>
    <t xml:space="preserve">BPBL-CUS-000357</t>
  </si>
  <si>
    <t xml:space="preserve">Tariqul Miah</t>
  </si>
  <si>
    <t xml:space="preserve">BPBL-LN-2026-000357</t>
  </si>
  <si>
    <t xml:space="preserve">BPBL-CUS-000358</t>
  </si>
  <si>
    <t xml:space="preserve">Nazrul Hasan</t>
  </si>
  <si>
    <t xml:space="preserve">Tanvir Gazi</t>
  </si>
  <si>
    <t xml:space="preserve">BPBL-LN-2026-000358</t>
  </si>
  <si>
    <t xml:space="preserve">BPBL-CUS-000359</t>
  </si>
  <si>
    <t xml:space="preserve">Jahangir Sikder</t>
  </si>
  <si>
    <t xml:space="preserve">Robiul Mondol</t>
  </si>
  <si>
    <t xml:space="preserve">BPBL-LN-2026-000359</t>
  </si>
  <si>
    <t xml:space="preserve">BPBL-CUS-000360</t>
  </si>
  <si>
    <t xml:space="preserve">Tonni Uddin</t>
  </si>
  <si>
    <t xml:space="preserve">Tanvir Mridha</t>
  </si>
  <si>
    <t xml:space="preserve">BPBL-LN-2026-000360</t>
  </si>
  <si>
    <t xml:space="preserve">BPBL-CUS-000361</t>
  </si>
  <si>
    <t xml:space="preserve">Masud Sikder</t>
  </si>
  <si>
    <t xml:space="preserve">BPBL-LN-2026-000361</t>
  </si>
  <si>
    <t xml:space="preserve">BPBL-CUS-000362</t>
  </si>
  <si>
    <t xml:space="preserve">Saiful Alam</t>
  </si>
  <si>
    <t xml:space="preserve">Hossain Das</t>
  </si>
  <si>
    <t xml:space="preserve">BPBL-LN-2026-000362</t>
  </si>
  <si>
    <t xml:space="preserve">BPBL-CUS-000363</t>
  </si>
  <si>
    <t xml:space="preserve">Aktar Sikder</t>
  </si>
  <si>
    <t xml:space="preserve">BPBL-LN-2026-000363</t>
  </si>
  <si>
    <t xml:space="preserve">BPBL-CUS-000364</t>
  </si>
  <si>
    <t xml:space="preserve">Mehedi Majumder</t>
  </si>
  <si>
    <t xml:space="preserve">BPBL-LN-2026-000364</t>
  </si>
  <si>
    <t xml:space="preserve">BPBL-CUS-000365</t>
  </si>
  <si>
    <t xml:space="preserve">Asaduzzaman Talukder</t>
  </si>
  <si>
    <t xml:space="preserve">Asaduzzaman Ahmed</t>
  </si>
  <si>
    <t xml:space="preserve">BPBL-LN-2026-000365</t>
  </si>
  <si>
    <t xml:space="preserve">BPBL-CUS-000366</t>
  </si>
  <si>
    <t xml:space="preserve">Rumana Pramanik</t>
  </si>
  <si>
    <t xml:space="preserve">Habibur Hasan</t>
  </si>
  <si>
    <t xml:space="preserve">BPBL-LN-2026-000366</t>
  </si>
  <si>
    <t xml:space="preserve">BPBL-CUS-000367</t>
  </si>
  <si>
    <t xml:space="preserve">Rashedul Faruqui</t>
  </si>
  <si>
    <t xml:space="preserve">BPBL-LN-2026-000367</t>
  </si>
  <si>
    <t xml:space="preserve">BPBL-CUS-000368</t>
  </si>
  <si>
    <t xml:space="preserve">Shahnaz Mridha</t>
  </si>
  <si>
    <t xml:space="preserve">Bashir Uddin</t>
  </si>
  <si>
    <t xml:space="preserve">BPBL-LN-2026-000368</t>
  </si>
  <si>
    <t xml:space="preserve">BPBL-CUS-000369</t>
  </si>
  <si>
    <t xml:space="preserve">Jannatul Sikder</t>
  </si>
  <si>
    <t xml:space="preserve">Forhad Munshi</t>
  </si>
  <si>
    <t xml:space="preserve">BPBL-LN-2026-000369</t>
  </si>
  <si>
    <t xml:space="preserve">BPBL-CUS-000370</t>
  </si>
  <si>
    <t xml:space="preserve">Jamal Sardar</t>
  </si>
  <si>
    <t xml:space="preserve">Shafiqul Sheikh</t>
  </si>
  <si>
    <t xml:space="preserve">BPBL-LN-2026-000370</t>
  </si>
  <si>
    <t xml:space="preserve">BPBL-CUS-000371</t>
  </si>
  <si>
    <t xml:space="preserve">Quamrul Mondol</t>
  </si>
  <si>
    <t xml:space="preserve">Shahidul Sarkar</t>
  </si>
  <si>
    <t xml:space="preserve">BPBL-LN-2026-000371</t>
  </si>
  <si>
    <t xml:space="preserve">BPBL-CUS-000372</t>
  </si>
  <si>
    <t xml:space="preserve">Rumana Sikder</t>
  </si>
  <si>
    <t xml:space="preserve">Mustafizur Hasan</t>
  </si>
  <si>
    <t xml:space="preserve">BPBL-LN-2026-000372</t>
  </si>
  <si>
    <t xml:space="preserve">BPBL-CUS-000373</t>
  </si>
  <si>
    <t xml:space="preserve">Shamima Hasan</t>
  </si>
  <si>
    <t xml:space="preserve">Riaz Mia</t>
  </si>
  <si>
    <t xml:space="preserve">BPBL-LN-2026-000373</t>
  </si>
  <si>
    <t xml:space="preserve">BPBL-CUS-000374</t>
  </si>
  <si>
    <t xml:space="preserve">Tanvir Majumder</t>
  </si>
  <si>
    <t xml:space="preserve">BPBL-LN-2026-000374</t>
  </si>
  <si>
    <t xml:space="preserve">BPBL-CUS-000375</t>
  </si>
  <si>
    <t xml:space="preserve">Sadia Das</t>
  </si>
  <si>
    <t xml:space="preserve">BPBL-LN-2026-000375</t>
  </si>
  <si>
    <t xml:space="preserve">BPBL-CUS-000376</t>
  </si>
  <si>
    <t xml:space="preserve">Tanvir Alam</t>
  </si>
  <si>
    <t xml:space="preserve">BPBL-LN-2026-000376</t>
  </si>
  <si>
    <t xml:space="preserve">BPBL-CUS-000377</t>
  </si>
  <si>
    <t xml:space="preserve">Forhad Alam</t>
  </si>
  <si>
    <t xml:space="preserve">BPBL-LN-2026-000377</t>
  </si>
  <si>
    <t xml:space="preserve">BPBL-CUS-000378</t>
  </si>
  <si>
    <t xml:space="preserve">Kohinoor Alam</t>
  </si>
  <si>
    <t xml:space="preserve">Shahidul Roy</t>
  </si>
  <si>
    <t xml:space="preserve">BPBL-LN-2026-000378</t>
  </si>
  <si>
    <t xml:space="preserve">BPBL-CUS-000379</t>
  </si>
  <si>
    <t xml:space="preserve">Mamunur Khan</t>
  </si>
  <si>
    <t xml:space="preserve">Masud Islam</t>
  </si>
  <si>
    <t xml:space="preserve">BPBL-LN-2026-000379</t>
  </si>
  <si>
    <t xml:space="preserve">BPBL-CUS-000380</t>
  </si>
  <si>
    <t xml:space="preserve">Salma Mridha</t>
  </si>
  <si>
    <t xml:space="preserve">Masud Majumder</t>
  </si>
  <si>
    <t xml:space="preserve">BPBL-LN-2026-000380</t>
  </si>
  <si>
    <t xml:space="preserve">BPBL-CUS-000381</t>
  </si>
  <si>
    <t xml:space="preserve">Ashraf Mridha</t>
  </si>
  <si>
    <t xml:space="preserve">BPBL-LN-2026-000381</t>
  </si>
  <si>
    <t xml:space="preserve">BPBL-CUS-000382</t>
  </si>
  <si>
    <t xml:space="preserve">Habibur Ahmed</t>
  </si>
  <si>
    <t xml:space="preserve">BPBL-LN-2026-000382</t>
  </si>
  <si>
    <t xml:space="preserve">BPBL-CUS-000383</t>
  </si>
  <si>
    <t xml:space="preserve">Yeasin Gazi</t>
  </si>
  <si>
    <t xml:space="preserve">BPBL-LN-2026-000383</t>
  </si>
  <si>
    <t xml:space="preserve">BPBL-CUS-000384</t>
  </si>
  <si>
    <t xml:space="preserve">Jannatul Hossain</t>
  </si>
  <si>
    <t xml:space="preserve">Mustafizur Biswas</t>
  </si>
  <si>
    <t xml:space="preserve">BPBL-LN-2026-000384</t>
  </si>
  <si>
    <t xml:space="preserve">BPBL-CUS-000385</t>
  </si>
  <si>
    <t xml:space="preserve">Mustafizur Bhuiyan</t>
  </si>
  <si>
    <t xml:space="preserve">Aminul Sardar</t>
  </si>
  <si>
    <t xml:space="preserve">BPBL-LN-2026-000385</t>
  </si>
  <si>
    <t xml:space="preserve">BPBL-CUS-000386</t>
  </si>
  <si>
    <t xml:space="preserve">Mukta Faruqui</t>
  </si>
  <si>
    <t xml:space="preserve">Masud Hawlader</t>
  </si>
  <si>
    <t xml:space="preserve">BPBL-LN-2026-000386</t>
  </si>
  <si>
    <t xml:space="preserve">BPBL-CUS-000387</t>
  </si>
  <si>
    <t xml:space="preserve">Shafiqul Miah</t>
  </si>
  <si>
    <t xml:space="preserve">Imran Akter</t>
  </si>
  <si>
    <t xml:space="preserve">BPBL-LN-2026-000387</t>
  </si>
  <si>
    <t xml:space="preserve">BPBL-CUS-000388</t>
  </si>
  <si>
    <t xml:space="preserve">Hasan Miah</t>
  </si>
  <si>
    <t xml:space="preserve">Emdadul Alam</t>
  </si>
  <si>
    <t xml:space="preserve">BPBL-LN-2026-000388</t>
  </si>
  <si>
    <t xml:space="preserve">BPBL-CUS-000389</t>
  </si>
  <si>
    <t xml:space="preserve">Kamal Chowdhury</t>
  </si>
  <si>
    <t xml:space="preserve">BPBL-LN-2026-000389</t>
  </si>
  <si>
    <t xml:space="preserve">BPBL-CUS-000390</t>
  </si>
  <si>
    <t xml:space="preserve">Emdadul Das</t>
  </si>
  <si>
    <t xml:space="preserve">Shafin Chowdhury</t>
  </si>
  <si>
    <t xml:space="preserve">BPBL-LN-2026-000390</t>
  </si>
  <si>
    <t xml:space="preserve">BPBL-CUS-000391</t>
  </si>
  <si>
    <t xml:space="preserve">Habibur Pramanik</t>
  </si>
  <si>
    <t xml:space="preserve">Imran Miah</t>
  </si>
  <si>
    <t xml:space="preserve">BPBL-LN-2026-000391</t>
  </si>
  <si>
    <t xml:space="preserve">BPBL-CUS-000392</t>
  </si>
  <si>
    <t xml:space="preserve">Bashir Chowdhury</t>
  </si>
  <si>
    <t xml:space="preserve">BPBL-LN-2026-000392</t>
  </si>
  <si>
    <t xml:space="preserve">BPBL-CUS-000393</t>
  </si>
  <si>
    <t xml:space="preserve">Shathi Majumder</t>
  </si>
  <si>
    <t xml:space="preserve">Imran Hawlader</t>
  </si>
  <si>
    <t xml:space="preserve">BPBL-LN-2026-000393</t>
  </si>
  <si>
    <t xml:space="preserve">BPBL-CUS-000394</t>
  </si>
  <si>
    <t xml:space="preserve">Afsana Alam</t>
  </si>
  <si>
    <t xml:space="preserve">Rakib Pramanik</t>
  </si>
  <si>
    <t xml:space="preserve">BPBL-LN-2026-000394</t>
  </si>
  <si>
    <t xml:space="preserve">BPBL-CUS-000395</t>
  </si>
  <si>
    <t xml:space="preserve">Asaduzzaman Sheikh</t>
  </si>
  <si>
    <t xml:space="preserve">Hasan Roy</t>
  </si>
  <si>
    <t xml:space="preserve">BPBL-LN-2026-000395</t>
  </si>
  <si>
    <t xml:space="preserve">BPBL-CUS-000396</t>
  </si>
  <si>
    <t xml:space="preserve">Aminul Gazi</t>
  </si>
  <si>
    <t xml:space="preserve">BPBL-LN-2026-000396</t>
  </si>
  <si>
    <t xml:space="preserve">BPBL-CUS-000397</t>
  </si>
  <si>
    <t xml:space="preserve">Golam Majumder</t>
  </si>
  <si>
    <t xml:space="preserve">BPBL-LN-2026-000397</t>
  </si>
  <si>
    <t xml:space="preserve">BPBL-CUS-000398</t>
  </si>
  <si>
    <t xml:space="preserve">Mukti Hawlader</t>
  </si>
  <si>
    <t xml:space="preserve">Iqbal Rahman</t>
  </si>
  <si>
    <t xml:space="preserve">BPBL-LN-2026-000398</t>
  </si>
  <si>
    <t xml:space="preserve">BPBL-CUS-000399</t>
  </si>
  <si>
    <t xml:space="preserve">Nipa Biswas</t>
  </si>
  <si>
    <t xml:space="preserve">Tanvir Karim</t>
  </si>
  <si>
    <t xml:space="preserve">BPBL-LN-2026-000399</t>
  </si>
  <si>
    <t xml:space="preserve">BPBL-CUS-000400</t>
  </si>
  <si>
    <t xml:space="preserve">Mitu Majumder</t>
  </si>
  <si>
    <t xml:space="preserve">BPBL-LN-2026-000400</t>
  </si>
  <si>
    <t xml:space="preserve">BPBL-CUS-000401</t>
  </si>
  <si>
    <t xml:space="preserve">Sohel Mia</t>
  </si>
  <si>
    <t xml:space="preserve">BPBL-LN-2026-000401</t>
  </si>
  <si>
    <t xml:space="preserve">BPBL-CUS-000402</t>
  </si>
  <si>
    <t xml:space="preserve">Towhid Faruqui</t>
  </si>
  <si>
    <t xml:space="preserve">BPBL-LN-2026-000402</t>
  </si>
  <si>
    <t xml:space="preserve">BPBL-CUS-000403</t>
  </si>
  <si>
    <t xml:space="preserve">Yeasin Mondol</t>
  </si>
  <si>
    <t xml:space="preserve">BPBL-LN-2026-000403</t>
  </si>
  <si>
    <t xml:space="preserve">BPBL-CUS-000404</t>
  </si>
  <si>
    <t xml:space="preserve">Abdul Ahmed</t>
  </si>
  <si>
    <t xml:space="preserve">Monir Mia</t>
  </si>
  <si>
    <t xml:space="preserve">BPBL-LN-2026-000404</t>
  </si>
  <si>
    <t xml:space="preserve">BPBL-CUS-000405</t>
  </si>
  <si>
    <t xml:space="preserve">Rashida Bhuiyan</t>
  </si>
  <si>
    <t xml:space="preserve">Aminul Khan</t>
  </si>
  <si>
    <t xml:space="preserve">BPBL-LN-2026-000405</t>
  </si>
  <si>
    <t xml:space="preserve">BPBL-CUS-000406</t>
  </si>
  <si>
    <t xml:space="preserve">Zahirul Pramanik</t>
  </si>
  <si>
    <t xml:space="preserve">Yeasin Rahman</t>
  </si>
  <si>
    <t xml:space="preserve">BPBL-LN-2026-000406</t>
  </si>
  <si>
    <t xml:space="preserve">BPBL-CUS-000407</t>
  </si>
  <si>
    <t xml:space="preserve">Ataur Akand</t>
  </si>
  <si>
    <t xml:space="preserve">Ataur Sikder</t>
  </si>
  <si>
    <t xml:space="preserve">BPBL-LN-2026-000407</t>
  </si>
  <si>
    <t xml:space="preserve">BPBL-CUS-000408</t>
  </si>
  <si>
    <t xml:space="preserve">Munni Faruqui</t>
  </si>
  <si>
    <t xml:space="preserve">Jamal Roy</t>
  </si>
  <si>
    <t xml:space="preserve">BPBL-LN-2026-000408</t>
  </si>
  <si>
    <t xml:space="preserve">BPBL-CUS-000409</t>
  </si>
  <si>
    <t xml:space="preserve">Habibur Saha</t>
  </si>
  <si>
    <t xml:space="preserve">BPBL-LN-2026-000409</t>
  </si>
  <si>
    <t xml:space="preserve">BPBL-CUS-000410</t>
  </si>
  <si>
    <t xml:space="preserve">Razia Mondol</t>
  </si>
  <si>
    <t xml:space="preserve">Mamunur Biswas</t>
  </si>
  <si>
    <t xml:space="preserve">BPBL-LN-2026-000410</t>
  </si>
  <si>
    <t xml:space="preserve">BPBL-CUS-000411</t>
  </si>
  <si>
    <t xml:space="preserve">Forhad Akand</t>
  </si>
  <si>
    <t xml:space="preserve">BPBL-LN-2026-000411</t>
  </si>
  <si>
    <t xml:space="preserve">BPBL-CUS-000412</t>
  </si>
  <si>
    <t xml:space="preserve">Yeasin Bhuiyan</t>
  </si>
  <si>
    <t xml:space="preserve">BPBL-LN-2026-000412</t>
  </si>
  <si>
    <t xml:space="preserve">BPBL-CUS-000413</t>
  </si>
  <si>
    <t xml:space="preserve">Faruk Alam</t>
  </si>
  <si>
    <t xml:space="preserve">BPBL-LN-2026-000413</t>
  </si>
  <si>
    <t xml:space="preserve">BPBL-CUS-000414</t>
  </si>
  <si>
    <t xml:space="preserve">Mukta Mia</t>
  </si>
  <si>
    <t xml:space="preserve">Tariqul Hawlader</t>
  </si>
  <si>
    <t xml:space="preserve">BPBL-LN-2026-000414</t>
  </si>
  <si>
    <t xml:space="preserve">BPBL-CUS-000415</t>
  </si>
  <si>
    <t xml:space="preserve">Bashir Roy</t>
  </si>
  <si>
    <t xml:space="preserve">Faruk Das</t>
  </si>
  <si>
    <t xml:space="preserve">BPBL-LN-2026-000415</t>
  </si>
  <si>
    <t xml:space="preserve">BPBL-CUS-000416</t>
  </si>
  <si>
    <t xml:space="preserve">Aminul Khondkar</t>
  </si>
  <si>
    <t xml:space="preserve">Rezaul Sardar</t>
  </si>
  <si>
    <t xml:space="preserve">BPBL-LN-2026-000416</t>
  </si>
  <si>
    <t xml:space="preserve">BPBL-CUS-000417</t>
  </si>
  <si>
    <t xml:space="preserve">Forhad Das</t>
  </si>
  <si>
    <t xml:space="preserve">Abdul Patwary</t>
  </si>
  <si>
    <t xml:space="preserve">BPBL-LN-2026-000417</t>
  </si>
  <si>
    <t xml:space="preserve">BPBL-CUS-000418</t>
  </si>
  <si>
    <t xml:space="preserve">Mitu Patwary</t>
  </si>
  <si>
    <t xml:space="preserve">Anisur Karim</t>
  </si>
  <si>
    <t xml:space="preserve">BPBL-LN-2026-000418</t>
  </si>
  <si>
    <t xml:space="preserve">BPBL-CUS-000419</t>
  </si>
  <si>
    <t xml:space="preserve">Anwar Talukder</t>
  </si>
  <si>
    <t xml:space="preserve">BPBL-LN-2026-000419</t>
  </si>
  <si>
    <t xml:space="preserve">BPBL-CUS-000420</t>
  </si>
  <si>
    <t xml:space="preserve">Nusrat Das</t>
  </si>
  <si>
    <t xml:space="preserve">Forhad Howlader</t>
  </si>
  <si>
    <t xml:space="preserve">BPBL-LN-2026-000420</t>
  </si>
  <si>
    <t xml:space="preserve">BPBL-CUS-000421</t>
  </si>
  <si>
    <t xml:space="preserve">Rabeya Talukder</t>
  </si>
  <si>
    <t xml:space="preserve">BPBL-LN-2026-000421</t>
  </si>
  <si>
    <t xml:space="preserve">BPBL-CUS-000422</t>
  </si>
  <si>
    <t xml:space="preserve">Zahirul Mridha</t>
  </si>
  <si>
    <t xml:space="preserve">BPBL-LN-2026-000422</t>
  </si>
  <si>
    <t xml:space="preserve">BPBL-CUS-000423</t>
  </si>
  <si>
    <t xml:space="preserve">Emdadul Saha</t>
  </si>
  <si>
    <t xml:space="preserve">BPBL-LN-2026-000423</t>
  </si>
  <si>
    <t xml:space="preserve">BPBL-CUS-000424</t>
  </si>
  <si>
    <t xml:space="preserve">Iqbal Hossain</t>
  </si>
  <si>
    <t xml:space="preserve">BPBL-LN-2026-000424</t>
  </si>
  <si>
    <t xml:space="preserve">BPBL-CUS-000425</t>
  </si>
  <si>
    <t xml:space="preserve">Marium Faruqui</t>
  </si>
  <si>
    <t xml:space="preserve">Arif Khondkar</t>
  </si>
  <si>
    <t xml:space="preserve">BPBL-LN-2026-000425</t>
  </si>
  <si>
    <t xml:space="preserve">BPBL-CUS-000426</t>
  </si>
  <si>
    <t xml:space="preserve">Abdul Miah</t>
  </si>
  <si>
    <t xml:space="preserve">Nayeem Alam</t>
  </si>
  <si>
    <t xml:space="preserve">BPBL-LN-2026-000426</t>
  </si>
  <si>
    <t xml:space="preserve">BPBL-CUS-000427</t>
  </si>
  <si>
    <t xml:space="preserve">Ataur Das</t>
  </si>
  <si>
    <t xml:space="preserve">Ataur Rahman</t>
  </si>
  <si>
    <t xml:space="preserve">BPBL-LN-2026-000427</t>
  </si>
  <si>
    <t xml:space="preserve">BPBL-CUS-000428</t>
  </si>
  <si>
    <t xml:space="preserve">Naznin Howlader</t>
  </si>
  <si>
    <t xml:space="preserve">Shahidul Talukder</t>
  </si>
  <si>
    <t xml:space="preserve">BPBL-LN-2026-000428</t>
  </si>
  <si>
    <t xml:space="preserve">BPBL-CUS-000429</t>
  </si>
  <si>
    <t xml:space="preserve">Imran Hasan</t>
  </si>
  <si>
    <t xml:space="preserve">BPBL-LN-2026-000429</t>
  </si>
  <si>
    <t xml:space="preserve">BPBL-CUS-000430</t>
  </si>
  <si>
    <t xml:space="preserve">Mahmuda Khondkar</t>
  </si>
  <si>
    <t xml:space="preserve">BPBL-LN-2026-000430</t>
  </si>
  <si>
    <t xml:space="preserve">BPBL-CUS-000431</t>
  </si>
  <si>
    <t xml:space="preserve">Arif Hawlader</t>
  </si>
  <si>
    <t xml:space="preserve">BPBL-LN-2026-000431</t>
  </si>
  <si>
    <t xml:space="preserve">BPBL-CUS-000432</t>
  </si>
  <si>
    <t xml:space="preserve">Rashedul Majumder</t>
  </si>
  <si>
    <t xml:space="preserve">Zahirul Roy</t>
  </si>
  <si>
    <t xml:space="preserve">BPBL-LN-2026-000432</t>
  </si>
  <si>
    <t xml:space="preserve">BPBL-CUS-000433</t>
  </si>
  <si>
    <t xml:space="preserve">Bashir Hossain</t>
  </si>
  <si>
    <t xml:space="preserve">Aminul Majumder</t>
  </si>
  <si>
    <t xml:space="preserve">BPBL-LN-2026-000433</t>
  </si>
  <si>
    <t xml:space="preserve">BPBL-CUS-000434</t>
  </si>
  <si>
    <t xml:space="preserve">Nazrul Akand</t>
  </si>
  <si>
    <t xml:space="preserve">BPBL-LN-2026-000434</t>
  </si>
  <si>
    <t xml:space="preserve">BPBL-CUS-000435</t>
  </si>
  <si>
    <t xml:space="preserve">Suraiya Sardar</t>
  </si>
  <si>
    <t xml:space="preserve">Mizanur Mia</t>
  </si>
  <si>
    <t xml:space="preserve">BPBL-LN-2026-000435</t>
  </si>
  <si>
    <t xml:space="preserve">BPBL-CUS-000436</t>
  </si>
  <si>
    <t xml:space="preserve">Shakil Uddin</t>
  </si>
  <si>
    <t xml:space="preserve">BPBL-LN-2026-000436</t>
  </si>
  <si>
    <t xml:space="preserve">BPBL-CUS-000437</t>
  </si>
  <si>
    <t xml:space="preserve">Razia Mia</t>
  </si>
  <si>
    <t xml:space="preserve">BPBL-LN-2026-000437</t>
  </si>
  <si>
    <t xml:space="preserve">BPBL-CUS-000438</t>
  </si>
  <si>
    <t xml:space="preserve">Shakil Sikder</t>
  </si>
  <si>
    <t xml:space="preserve">BPBL-LN-2026-000438</t>
  </si>
  <si>
    <t xml:space="preserve">BPBL-CUS-000439</t>
  </si>
  <si>
    <t xml:space="preserve">Faruk Hasan</t>
  </si>
  <si>
    <t xml:space="preserve">Riaz Uddin</t>
  </si>
  <si>
    <t xml:space="preserve">BPBL-LN-2026-000439</t>
  </si>
  <si>
    <t xml:space="preserve">BPBL-CUS-000440</t>
  </si>
  <si>
    <t xml:space="preserve">Yeasin Sikder</t>
  </si>
  <si>
    <t xml:space="preserve">BPBL-LN-2026-000440</t>
  </si>
  <si>
    <t xml:space="preserve">BPBL-CUS-000441</t>
  </si>
  <si>
    <t xml:space="preserve">Shafin Khan</t>
  </si>
  <si>
    <t xml:space="preserve">BPBL-LN-2026-000441</t>
  </si>
  <si>
    <t xml:space="preserve">BPBL-CUS-000442</t>
  </si>
  <si>
    <t xml:space="preserve">Mukti Sarkar</t>
  </si>
  <si>
    <t xml:space="preserve">BPBL-LN-2026-000442</t>
  </si>
  <si>
    <t xml:space="preserve">BPBL-CUS-000443</t>
  </si>
  <si>
    <t xml:space="preserve">Anika Ahmed</t>
  </si>
  <si>
    <t xml:space="preserve">Nurul Hossain</t>
  </si>
  <si>
    <t xml:space="preserve">BPBL-LN-2026-000443</t>
  </si>
  <si>
    <t xml:space="preserve">BPBL-CUS-000444</t>
  </si>
  <si>
    <t xml:space="preserve">Emdadul Sheikh</t>
  </si>
  <si>
    <t xml:space="preserve">Faruk Khondkar</t>
  </si>
  <si>
    <t xml:space="preserve">BPBL-LN-2026-000444</t>
  </si>
  <si>
    <t xml:space="preserve">BPBL-CUS-000445</t>
  </si>
  <si>
    <t xml:space="preserve">Nodi Saha</t>
  </si>
  <si>
    <t xml:space="preserve">Hossain Miah</t>
  </si>
  <si>
    <t xml:space="preserve">BPBL-LN-2026-000445</t>
  </si>
  <si>
    <t xml:space="preserve">BPBL-CUS-000446</t>
  </si>
  <si>
    <t xml:space="preserve">Anwar Akand</t>
  </si>
  <si>
    <t xml:space="preserve">BPBL-LN-2026-000446</t>
  </si>
  <si>
    <t xml:space="preserve">BPBL-CUS-000447</t>
  </si>
  <si>
    <t xml:space="preserve">Arif Sikder</t>
  </si>
  <si>
    <t xml:space="preserve">BPBL-LN-2026-000447</t>
  </si>
  <si>
    <t xml:space="preserve">BPBL-CUS-000448</t>
  </si>
  <si>
    <t xml:space="preserve">Nipa Rahman</t>
  </si>
  <si>
    <t xml:space="preserve">BPBL-LN-2026-000448</t>
  </si>
  <si>
    <t xml:space="preserve">BPBL-CUS-000449</t>
  </si>
  <si>
    <t xml:space="preserve">Lima Ahmed</t>
  </si>
  <si>
    <t xml:space="preserve">Mostafa Islam</t>
  </si>
  <si>
    <t xml:space="preserve">Panchagarh</t>
  </si>
  <si>
    <t xml:space="preserve">BPBL-LN-2026-000449</t>
  </si>
  <si>
    <t xml:space="preserve">BPBL-CUS-000450</t>
  </si>
  <si>
    <t xml:space="preserve">Ataur Uddin</t>
  </si>
  <si>
    <t xml:space="preserve">Mamunur Mridha</t>
  </si>
  <si>
    <t xml:space="preserve">BPBL-LN-2026-000450</t>
  </si>
  <si>
    <t xml:space="preserve">BPBL-CUS-000451</t>
  </si>
  <si>
    <t xml:space="preserve">Riaz Islam</t>
  </si>
  <si>
    <t xml:space="preserve">BPBL-LN-2026-000451</t>
  </si>
  <si>
    <t xml:space="preserve">BPBL-CUS-000452</t>
  </si>
  <si>
    <t xml:space="preserve">Halima Mia</t>
  </si>
  <si>
    <t xml:space="preserve">Riaz Gazi</t>
  </si>
  <si>
    <t xml:space="preserve">BPBL-LN-2026-000452</t>
  </si>
  <si>
    <t xml:space="preserve">BPBL-CUS-000453</t>
  </si>
  <si>
    <t xml:space="preserve">Poly Ahmed</t>
  </si>
  <si>
    <t xml:space="preserve">Faruk Faruqui</t>
  </si>
  <si>
    <t xml:space="preserve">BPBL-LN-2026-000453</t>
  </si>
  <si>
    <t xml:space="preserve">BPBL-CUS-000454</t>
  </si>
  <si>
    <t xml:space="preserve">Asaduzzaman Sikder</t>
  </si>
  <si>
    <t xml:space="preserve">BPBL-LN-2026-000454</t>
  </si>
  <si>
    <t xml:space="preserve">BPBL-CUS-000455</t>
  </si>
  <si>
    <t xml:space="preserve">Rafiqul Majumder</t>
  </si>
  <si>
    <t xml:space="preserve">BPBL-LN-2026-000455</t>
  </si>
  <si>
    <t xml:space="preserve">BPBL-CUS-000456</t>
  </si>
  <si>
    <t xml:space="preserve">BPBL-LN-2026-000456</t>
  </si>
  <si>
    <t xml:space="preserve">BPBL-CUS-000457</t>
  </si>
  <si>
    <t xml:space="preserve">Forhad Pramanik</t>
  </si>
  <si>
    <t xml:space="preserve">BPBL-LN-2026-000457</t>
  </si>
  <si>
    <t xml:space="preserve">BPBL-CUS-000458</t>
  </si>
  <si>
    <t xml:space="preserve">BPBL-LN-2026-000458</t>
  </si>
  <si>
    <t xml:space="preserve">BPBL-CUS-000459</t>
  </si>
  <si>
    <t xml:space="preserve">BPBL-LN-2026-000459</t>
  </si>
  <si>
    <t xml:space="preserve">BPBL-CUS-000460</t>
  </si>
  <si>
    <t xml:space="preserve">Selim Mia</t>
  </si>
  <si>
    <t xml:space="preserve">BPBL-LN-2026-000460</t>
  </si>
  <si>
    <t xml:space="preserve">BPBL-CUS-000461</t>
  </si>
  <si>
    <t xml:space="preserve">Selim Akter</t>
  </si>
  <si>
    <t xml:space="preserve">BPBL-LN-2026-000461</t>
  </si>
  <si>
    <t xml:space="preserve">BPBL-CUS-000462</t>
  </si>
  <si>
    <t xml:space="preserve">Wahidul Mridha</t>
  </si>
  <si>
    <t xml:space="preserve">BPBL-LN-2026-000462</t>
  </si>
  <si>
    <t xml:space="preserve">BPBL-CUS-000463</t>
  </si>
  <si>
    <t xml:space="preserve">Rakib Munshi</t>
  </si>
  <si>
    <t xml:space="preserve">BPBL-LN-2026-000463</t>
  </si>
  <si>
    <t xml:space="preserve">BPBL-CUS-000464</t>
  </si>
  <si>
    <t xml:space="preserve">Parvin Akter</t>
  </si>
  <si>
    <t xml:space="preserve">BPBL-LN-2026-000464</t>
  </si>
  <si>
    <t xml:space="preserve">BPBL-CUS-000465</t>
  </si>
  <si>
    <t xml:space="preserve">Shafin Mia</t>
  </si>
  <si>
    <t xml:space="preserve">Rashedul Ahmed</t>
  </si>
  <si>
    <t xml:space="preserve">BPBL-LN-2026-000465</t>
  </si>
  <si>
    <t xml:space="preserve">BPBL-CUS-000466</t>
  </si>
  <si>
    <t xml:space="preserve">Rakib Sikder</t>
  </si>
  <si>
    <t xml:space="preserve">Hasan Akand</t>
  </si>
  <si>
    <t xml:space="preserve">BPBL-LN-2026-000466</t>
  </si>
  <si>
    <t xml:space="preserve">BPBL-CUS-000467</t>
  </si>
  <si>
    <t xml:space="preserve">Poly Roy</t>
  </si>
  <si>
    <t xml:space="preserve">Emdadul Hossain</t>
  </si>
  <si>
    <t xml:space="preserve">BPBL-LN-2026-000467</t>
  </si>
  <si>
    <t xml:space="preserve">BPBL-CUS-000468</t>
  </si>
  <si>
    <t xml:space="preserve">Jahangir Roy</t>
  </si>
  <si>
    <t xml:space="preserve">Zubayer Uddin</t>
  </si>
  <si>
    <t xml:space="preserve">BPBL-LN-2026-000468</t>
  </si>
  <si>
    <t xml:space="preserve">BPBL-CUS-000469</t>
  </si>
  <si>
    <t xml:space="preserve">Salma Karim</t>
  </si>
  <si>
    <t xml:space="preserve">Sohel Sikder</t>
  </si>
  <si>
    <t xml:space="preserve">BPBL-LN-2026-000469</t>
  </si>
  <si>
    <t xml:space="preserve">BPBL-CUS-000470</t>
  </si>
  <si>
    <t xml:space="preserve">BPBL-LN-2026-000470</t>
  </si>
  <si>
    <t xml:space="preserve">BPBL-CUS-000471</t>
  </si>
  <si>
    <t xml:space="preserve">Rashida Sikder</t>
  </si>
  <si>
    <t xml:space="preserve">Mamunur Ahmed</t>
  </si>
  <si>
    <t xml:space="preserve">BPBL-LN-2026-000471</t>
  </si>
  <si>
    <t xml:space="preserve">BPBL-CUS-000472</t>
  </si>
  <si>
    <t xml:space="preserve">Shamim Mia</t>
  </si>
  <si>
    <t xml:space="preserve">BPBL-LN-2026-000472</t>
  </si>
  <si>
    <t xml:space="preserve">BPBL-CUS-000473</t>
  </si>
  <si>
    <t xml:space="preserve">Yasmin Sardar</t>
  </si>
  <si>
    <t xml:space="preserve">Riaz Mollah</t>
  </si>
  <si>
    <t xml:space="preserve">BPBL-LN-2026-000473</t>
  </si>
  <si>
    <t xml:space="preserve">BPBL-CUS-000474</t>
  </si>
  <si>
    <t xml:space="preserve">Rokeya Khan</t>
  </si>
  <si>
    <t xml:space="preserve">BPBL-LN-2026-000474</t>
  </si>
  <si>
    <t xml:space="preserve">BPBL-CUS-000475</t>
  </si>
  <si>
    <t xml:space="preserve">Rezaul Akand</t>
  </si>
  <si>
    <t xml:space="preserve">BPBL-LN-2026-000475</t>
  </si>
  <si>
    <t xml:space="preserve">BPBL-CUS-000476</t>
  </si>
  <si>
    <t xml:space="preserve">Habibur Hossain</t>
  </si>
  <si>
    <t xml:space="preserve">Jamal Mia</t>
  </si>
  <si>
    <t xml:space="preserve">BPBL-LN-2026-000476</t>
  </si>
  <si>
    <t xml:space="preserve">BPBL-CUS-000477</t>
  </si>
  <si>
    <t xml:space="preserve">Tonni Hasan</t>
  </si>
  <si>
    <t xml:space="preserve">BPBL-LN-2026-000477</t>
  </si>
  <si>
    <t xml:space="preserve">BPBL-CUS-000478</t>
  </si>
  <si>
    <t xml:space="preserve">Iqbal Talukder</t>
  </si>
  <si>
    <t xml:space="preserve">BPBL-LN-2026-000478</t>
  </si>
  <si>
    <t xml:space="preserve">BPBL-CUS-000479</t>
  </si>
  <si>
    <t xml:space="preserve">Yeasin Patwary</t>
  </si>
  <si>
    <t xml:space="preserve">Aktar Karim</t>
  </si>
  <si>
    <t xml:space="preserve">BPBL-LN-2026-000479</t>
  </si>
  <si>
    <t xml:space="preserve">BPBL-CUS-000480</t>
  </si>
  <si>
    <t xml:space="preserve">Tasnim Ahmed</t>
  </si>
  <si>
    <t xml:space="preserve">Emdadul Howlader</t>
  </si>
  <si>
    <t xml:space="preserve">BPBL-LN-2026-000480</t>
  </si>
  <si>
    <t xml:space="preserve">BPBL-CUS-000481</t>
  </si>
  <si>
    <t xml:space="preserve">Selim Khondkar</t>
  </si>
  <si>
    <t xml:space="preserve">Habibur Majumder</t>
  </si>
  <si>
    <t xml:space="preserve">BPBL-LN-2026-000481</t>
  </si>
  <si>
    <t xml:space="preserve">BPBL-CUS-000482</t>
  </si>
  <si>
    <t xml:space="preserve">Mim Mia</t>
  </si>
  <si>
    <t xml:space="preserve">BPBL-LN-2026-000482</t>
  </si>
  <si>
    <t xml:space="preserve">BPBL-CUS-000483</t>
  </si>
  <si>
    <t xml:space="preserve">BPBL-LN-2026-000483</t>
  </si>
  <si>
    <t xml:space="preserve">BPBL-CUS-000484</t>
  </si>
  <si>
    <t xml:space="preserve">Sadia Khan</t>
  </si>
  <si>
    <t xml:space="preserve">Mustafizur Mridha</t>
  </si>
  <si>
    <t xml:space="preserve">BPBL-LN-2026-000484</t>
  </si>
  <si>
    <t xml:space="preserve">BPBL-CUS-000485</t>
  </si>
  <si>
    <t xml:space="preserve">Kamal Mollah</t>
  </si>
  <si>
    <t xml:space="preserve">BPBL-LN-2026-000485</t>
  </si>
  <si>
    <t xml:space="preserve">BPBL-CUS-000486</t>
  </si>
  <si>
    <t xml:space="preserve">Rafiqul Das</t>
  </si>
  <si>
    <t xml:space="preserve">BPBL-LN-2026-000486</t>
  </si>
  <si>
    <t xml:space="preserve">BPBL-CUS-000487</t>
  </si>
  <si>
    <t xml:space="preserve">Shamima Faruqui</t>
  </si>
  <si>
    <t xml:space="preserve">Shamim Patwary</t>
  </si>
  <si>
    <t xml:space="preserve">BPBL-LN-2026-000487</t>
  </si>
  <si>
    <t xml:space="preserve">BPBL-CUS-000488</t>
  </si>
  <si>
    <t xml:space="preserve">Zahirul Akter</t>
  </si>
  <si>
    <t xml:space="preserve">BPBL-LN-2026-000488</t>
  </si>
  <si>
    <t xml:space="preserve">BPBL-CUS-000489</t>
  </si>
  <si>
    <t xml:space="preserve">Shathi Gazi</t>
  </si>
  <si>
    <t xml:space="preserve">Aktar Miah</t>
  </si>
  <si>
    <t xml:space="preserve">BPBL-LN-2026-000489</t>
  </si>
  <si>
    <t xml:space="preserve">BPBL-CUS-000490</t>
  </si>
  <si>
    <t xml:space="preserve">Morsheda Uddin</t>
  </si>
  <si>
    <t xml:space="preserve">Imran Sheikh</t>
  </si>
  <si>
    <t xml:space="preserve">BPBL-LN-2026-000490</t>
  </si>
  <si>
    <t xml:space="preserve">BPBL-CUS-000491</t>
  </si>
  <si>
    <t xml:space="preserve">BPBL-LN-2026-000491</t>
  </si>
  <si>
    <t xml:space="preserve">BPBL-CUS-000492</t>
  </si>
  <si>
    <t xml:space="preserve">Monir Islam</t>
  </si>
  <si>
    <t xml:space="preserve">BPBL-LN-2026-000492</t>
  </si>
  <si>
    <t xml:space="preserve">BPBL-CUS-000493</t>
  </si>
  <si>
    <t xml:space="preserve">Rashida Hasan</t>
  </si>
  <si>
    <t xml:space="preserve">Aminul Mridha</t>
  </si>
  <si>
    <t xml:space="preserve">BPBL-LN-2026-000493</t>
  </si>
  <si>
    <t xml:space="preserve">BPBL-CUS-000494</t>
  </si>
  <si>
    <t xml:space="preserve">Shafin Howlader</t>
  </si>
  <si>
    <t xml:space="preserve">BPBL-LN-2026-000494</t>
  </si>
  <si>
    <t xml:space="preserve">BPBL-CUS-000495</t>
  </si>
  <si>
    <t xml:space="preserve">Liton Hossain</t>
  </si>
  <si>
    <t xml:space="preserve">Delwar Alam</t>
  </si>
  <si>
    <t xml:space="preserve">BPBL-LN-2026-000495</t>
  </si>
  <si>
    <t xml:space="preserve">BPBL-CUS-000496</t>
  </si>
  <si>
    <t xml:space="preserve">Rashida Mridha</t>
  </si>
  <si>
    <t xml:space="preserve">Faruk Sikder</t>
  </si>
  <si>
    <t xml:space="preserve">BPBL-LN-2026-000496</t>
  </si>
  <si>
    <t xml:space="preserve">BPBL-CUS-000497</t>
  </si>
  <si>
    <t xml:space="preserve">Forhad Akter</t>
  </si>
  <si>
    <t xml:space="preserve">Hasan Khan</t>
  </si>
  <si>
    <t xml:space="preserve">BPBL-LN-2026-000497</t>
  </si>
  <si>
    <t xml:space="preserve">BPBL-CUS-000498</t>
  </si>
  <si>
    <t xml:space="preserve">BPBL-LN-2026-000498</t>
  </si>
  <si>
    <t xml:space="preserve">BPBL-CUS-000499</t>
  </si>
  <si>
    <t xml:space="preserve">Mehedi Islam</t>
  </si>
  <si>
    <t xml:space="preserve">BPBL-LN-2026-000499</t>
  </si>
  <si>
    <t xml:space="preserve">BPBL-CUS-000500</t>
  </si>
  <si>
    <t xml:space="preserve">Marium Khan</t>
  </si>
  <si>
    <t xml:space="preserve">Rashedul Khondkar</t>
  </si>
  <si>
    <t xml:space="preserve">BPBL-LN-2026-000500</t>
  </si>
  <si>
    <t xml:space="preserve">BPBL-CUS-000501</t>
  </si>
  <si>
    <t xml:space="preserve">Mamunur Akand</t>
  </si>
  <si>
    <t xml:space="preserve">BPBL-LN-2026-000501</t>
  </si>
  <si>
    <t xml:space="preserve">BPBL-CUS-000502</t>
  </si>
  <si>
    <t xml:space="preserve">Nurul Bhuiyan</t>
  </si>
  <si>
    <t xml:space="preserve">Shahidul Islam</t>
  </si>
  <si>
    <t xml:space="preserve">BPBL-LN-2026-000502</t>
  </si>
  <si>
    <t xml:space="preserve">BPBL-CUS-000503</t>
  </si>
  <si>
    <t xml:space="preserve">Shahana Mia</t>
  </si>
  <si>
    <t xml:space="preserve">BPBL-LN-2026-000503</t>
  </si>
  <si>
    <t xml:space="preserve">BPBL-CUS-000504</t>
  </si>
  <si>
    <t xml:space="preserve">Joya Karim</t>
  </si>
  <si>
    <t xml:space="preserve">Selim Majumder</t>
  </si>
  <si>
    <t xml:space="preserve">BPBL-LN-2026-000504</t>
  </si>
  <si>
    <t xml:space="preserve">BPBL-CUS-000505</t>
  </si>
  <si>
    <t xml:space="preserve">Emdadul Chowdhury</t>
  </si>
  <si>
    <t xml:space="preserve">BPBL-LN-2026-000505</t>
  </si>
  <si>
    <t xml:space="preserve">BPBL-CUS-000506</t>
  </si>
  <si>
    <t xml:space="preserve">Mustafizur Sikder</t>
  </si>
  <si>
    <t xml:space="preserve">BPBL-LN-2026-000506</t>
  </si>
  <si>
    <t xml:space="preserve">BPBL-CUS-000507</t>
  </si>
  <si>
    <t xml:space="preserve">Shapla Hawlader</t>
  </si>
  <si>
    <t xml:space="preserve">Arif Majumder</t>
  </si>
  <si>
    <t xml:space="preserve">BPBL-LN-2026-000507</t>
  </si>
  <si>
    <t xml:space="preserve">BPBL-CUS-000508</t>
  </si>
  <si>
    <t xml:space="preserve">Rashedul Mondol</t>
  </si>
  <si>
    <t xml:space="preserve">Ekram Khondkar</t>
  </si>
  <si>
    <t xml:space="preserve">BPBL-LN-2026-000508</t>
  </si>
  <si>
    <t xml:space="preserve">BPBL-CUS-000509</t>
  </si>
  <si>
    <t xml:space="preserve">BPBL-LN-2026-000509</t>
  </si>
  <si>
    <t xml:space="preserve">BPBL-CUS-000510</t>
  </si>
  <si>
    <t xml:space="preserve">Jahangir Alam</t>
  </si>
  <si>
    <t xml:space="preserve">BPBL-LN-2026-000510</t>
  </si>
  <si>
    <t xml:space="preserve">BPBL-CUS-000511</t>
  </si>
  <si>
    <t xml:space="preserve">BPBL-LN-2026-000511</t>
  </si>
  <si>
    <t xml:space="preserve">BPBL-CUS-000512</t>
  </si>
  <si>
    <t xml:space="preserve">Promi Bhuiyan</t>
  </si>
  <si>
    <t xml:space="preserve">Nurul Islam</t>
  </si>
  <si>
    <t xml:space="preserve">BPBL-LN-2026-000512</t>
  </si>
  <si>
    <t xml:space="preserve">BPBL-CUS-000513</t>
  </si>
  <si>
    <t xml:space="preserve">Ekram Rahman</t>
  </si>
  <si>
    <t xml:space="preserve">BPBL-LN-2026-000513</t>
  </si>
  <si>
    <t xml:space="preserve">BPBL-CUS-000514</t>
  </si>
  <si>
    <t xml:space="preserve">Shamima Biswas</t>
  </si>
  <si>
    <t xml:space="preserve">Sohel Saha</t>
  </si>
  <si>
    <t xml:space="preserve">BPBL-LN-2026-000514</t>
  </si>
  <si>
    <t xml:space="preserve">BPBL-CUS-000515</t>
  </si>
  <si>
    <t xml:space="preserve">Nazrul Akter</t>
  </si>
  <si>
    <t xml:space="preserve">Anwar Karim</t>
  </si>
  <si>
    <t xml:space="preserve">BPBL-LN-2026-000515</t>
  </si>
  <si>
    <t xml:space="preserve">BPBL-CUS-000516</t>
  </si>
  <si>
    <t xml:space="preserve">Touhidul Sardar</t>
  </si>
  <si>
    <t xml:space="preserve">Mizanur Talukder</t>
  </si>
  <si>
    <t xml:space="preserve">BPBL-LN-2026-000516</t>
  </si>
  <si>
    <t xml:space="preserve">BPBL-CUS-000517</t>
  </si>
  <si>
    <t xml:space="preserve">Delwar Sarker</t>
  </si>
  <si>
    <t xml:space="preserve">BPBL-LN-2026-000517</t>
  </si>
  <si>
    <t xml:space="preserve">BPBL-CUS-000518</t>
  </si>
  <si>
    <t xml:space="preserve">Suraiya Faruqui</t>
  </si>
  <si>
    <t xml:space="preserve">BPBL-LN-2026-000518</t>
  </si>
  <si>
    <t xml:space="preserve">BPBL-CUS-000519</t>
  </si>
  <si>
    <t xml:space="preserve">BPBL-LN-2026-000519</t>
  </si>
  <si>
    <t xml:space="preserve">BPBL-CUS-000520</t>
  </si>
  <si>
    <t xml:space="preserve">Mustafizur Sarker</t>
  </si>
  <si>
    <t xml:space="preserve">Mehedi Biswas</t>
  </si>
  <si>
    <t xml:space="preserve">BPBL-LN-2026-000520</t>
  </si>
  <si>
    <t xml:space="preserve">BPBL-CUS-000521</t>
  </si>
  <si>
    <t xml:space="preserve">Rumana Hasan</t>
  </si>
  <si>
    <t xml:space="preserve">BPBL-LN-2026-000521</t>
  </si>
  <si>
    <t xml:space="preserve">BPBL-CUS-000522</t>
  </si>
  <si>
    <t xml:space="preserve">Aktar Islam</t>
  </si>
  <si>
    <t xml:space="preserve">Saiful Hossain</t>
  </si>
  <si>
    <t xml:space="preserve">BPBL-LN-2026-000522</t>
  </si>
  <si>
    <t xml:space="preserve">BPBL-CUS-000523</t>
  </si>
  <si>
    <t xml:space="preserve">Shakil Miah</t>
  </si>
  <si>
    <t xml:space="preserve">BPBL-LN-2026-000523</t>
  </si>
  <si>
    <t xml:space="preserve">BPBL-CUS-000524</t>
  </si>
  <si>
    <t xml:space="preserve">Liza Talukder</t>
  </si>
  <si>
    <t xml:space="preserve">BPBL-LN-2026-000524</t>
  </si>
  <si>
    <t xml:space="preserve">BPBL-CUS-000525</t>
  </si>
  <si>
    <t xml:space="preserve">Shakil Sardar</t>
  </si>
  <si>
    <t xml:space="preserve">Masud Mondol</t>
  </si>
  <si>
    <t xml:space="preserve">BPBL-LN-2026-000525</t>
  </si>
  <si>
    <t xml:space="preserve">BPBL-CUS-000526</t>
  </si>
  <si>
    <t xml:space="preserve">Arif Chowdhury</t>
  </si>
  <si>
    <t xml:space="preserve">Aminul Hasan</t>
  </si>
  <si>
    <t xml:space="preserve">BPBL-LN-2026-000526</t>
  </si>
  <si>
    <t xml:space="preserve">BPBL-CUS-000527</t>
  </si>
  <si>
    <t xml:space="preserve">Arif Islam</t>
  </si>
  <si>
    <t xml:space="preserve">Bashir Akand</t>
  </si>
  <si>
    <t xml:space="preserve">BPBL-LN-2026-000527</t>
  </si>
  <si>
    <t xml:space="preserve">BPBL-CUS-000528</t>
  </si>
  <si>
    <t xml:space="preserve">Mustafizur Khan</t>
  </si>
  <si>
    <t xml:space="preserve">BPBL-LN-2026-000528</t>
  </si>
  <si>
    <t xml:space="preserve">BPBL-CUS-000529</t>
  </si>
  <si>
    <t xml:space="preserve">Anwar Ahmed</t>
  </si>
  <si>
    <t xml:space="preserve">Arif Sarkar</t>
  </si>
  <si>
    <t xml:space="preserve">BPBL-LN-2026-000529</t>
  </si>
  <si>
    <t xml:space="preserve">BPBL-CUS-000530</t>
  </si>
  <si>
    <t xml:space="preserve">Lutfun Rahman</t>
  </si>
  <si>
    <t xml:space="preserve">Mizanur Ahmed</t>
  </si>
  <si>
    <t xml:space="preserve">BPBL-LN-2026-000530</t>
  </si>
  <si>
    <t xml:space="preserve">BPBL-CUS-000531</t>
  </si>
  <si>
    <t xml:space="preserve">Sohel Hawlader</t>
  </si>
  <si>
    <t xml:space="preserve">Saiful Das</t>
  </si>
  <si>
    <t xml:space="preserve">BPBL-LN-2026-000531</t>
  </si>
  <si>
    <t xml:space="preserve">BPBL-CUS-000532</t>
  </si>
  <si>
    <t xml:space="preserve">Tariqul Mollah</t>
  </si>
  <si>
    <t xml:space="preserve">Nurul Uddin</t>
  </si>
  <si>
    <t xml:space="preserve">BPBL-LN-2026-000532</t>
  </si>
  <si>
    <t xml:space="preserve">BPBL-CUS-000533</t>
  </si>
  <si>
    <t xml:space="preserve">Ruma Sarker</t>
  </si>
  <si>
    <t xml:space="preserve">Shahidul Bhuiyan</t>
  </si>
  <si>
    <t xml:space="preserve">BPBL-LN-2026-000533</t>
  </si>
  <si>
    <t xml:space="preserve">BPBL-CUS-000534</t>
  </si>
  <si>
    <t xml:space="preserve">Touhidul Howlader</t>
  </si>
  <si>
    <t xml:space="preserve">Delwar Chowdhury</t>
  </si>
  <si>
    <t xml:space="preserve">BPBL-LN-2026-000534</t>
  </si>
  <si>
    <t xml:space="preserve">BPBL-CUS-000535</t>
  </si>
  <si>
    <t xml:space="preserve">Jesmin Ahmed</t>
  </si>
  <si>
    <t xml:space="preserve">Shamim Howlader</t>
  </si>
  <si>
    <t xml:space="preserve">BPBL-LN-2026-000535</t>
  </si>
  <si>
    <t xml:space="preserve">BPBL-CUS-000536</t>
  </si>
  <si>
    <t xml:space="preserve">Mehedi Saha</t>
  </si>
  <si>
    <t xml:space="preserve">Aktar Howlader</t>
  </si>
  <si>
    <t xml:space="preserve">BPBL-LN-2026-000536</t>
  </si>
  <si>
    <t xml:space="preserve">BPBL-CUS-000537</t>
  </si>
  <si>
    <t xml:space="preserve">Golam Mia</t>
  </si>
  <si>
    <t xml:space="preserve">BPBL-LN-2026-000537</t>
  </si>
  <si>
    <t xml:space="preserve">BPBL-CUS-000538</t>
  </si>
  <si>
    <t xml:space="preserve">Ekram Miah</t>
  </si>
  <si>
    <t xml:space="preserve">Ataur Hasan</t>
  </si>
  <si>
    <t xml:space="preserve">BPBL-LN-2026-000538</t>
  </si>
  <si>
    <t xml:space="preserve">BPBL-CUS-000539</t>
  </si>
  <si>
    <t xml:space="preserve">Shafin Mondol</t>
  </si>
  <si>
    <t xml:space="preserve">Forhad Sarker</t>
  </si>
  <si>
    <t xml:space="preserve">BPBL-LN-2026-000539</t>
  </si>
  <si>
    <t xml:space="preserve">BPBL-CUS-000540</t>
  </si>
  <si>
    <t xml:space="preserve">Towhid Roy</t>
  </si>
  <si>
    <t xml:space="preserve">Quamrul Islam</t>
  </si>
  <si>
    <t xml:space="preserve">BPBL-LN-2026-000540</t>
  </si>
  <si>
    <t xml:space="preserve">BPBL-CUS-000541</t>
  </si>
  <si>
    <t xml:space="preserve">Nipa Chowdhury</t>
  </si>
  <si>
    <t xml:space="preserve">BPBL-LN-2026-000541</t>
  </si>
  <si>
    <t xml:space="preserve">BPBL-CUS-000542</t>
  </si>
  <si>
    <t xml:space="preserve">Shahidul Uddin</t>
  </si>
  <si>
    <t xml:space="preserve">BPBL-LN-2026-000542</t>
  </si>
  <si>
    <t xml:space="preserve">BPBL-CUS-000543</t>
  </si>
  <si>
    <t xml:space="preserve">Emdadul Sikder</t>
  </si>
  <si>
    <t xml:space="preserve">BPBL-LN-2026-000543</t>
  </si>
  <si>
    <t xml:space="preserve">BPBL-CUS-000544</t>
  </si>
  <si>
    <t xml:space="preserve">Rafiqul Ahmed</t>
  </si>
  <si>
    <t xml:space="preserve">Mizanur Howlader</t>
  </si>
  <si>
    <t xml:space="preserve">BPBL-LN-2026-000544</t>
  </si>
  <si>
    <t xml:space="preserve">BPBL-CUS-000545</t>
  </si>
  <si>
    <t xml:space="preserve">Shathi Saha</t>
  </si>
  <si>
    <t xml:space="preserve">Zahirul Saha</t>
  </si>
  <si>
    <t xml:space="preserve">BPBL-LN-2026-000545</t>
  </si>
  <si>
    <t xml:space="preserve">BPBL-CUS-000546</t>
  </si>
  <si>
    <t xml:space="preserve">Razia Pramanik</t>
  </si>
  <si>
    <t xml:space="preserve">BPBL-LN-2026-000546</t>
  </si>
  <si>
    <t xml:space="preserve">BPBL-CUS-000547</t>
  </si>
  <si>
    <t xml:space="preserve">Abdul Khan</t>
  </si>
  <si>
    <t xml:space="preserve">BPBL-LN-2026-000547</t>
  </si>
  <si>
    <t xml:space="preserve">BPBL-CUS-000548</t>
  </si>
  <si>
    <t xml:space="preserve">Ayesha Akter</t>
  </si>
  <si>
    <t xml:space="preserve">Asaduzzaman Hasan</t>
  </si>
  <si>
    <t xml:space="preserve">BPBL-LN-2026-000548</t>
  </si>
  <si>
    <t xml:space="preserve">BPBL-CUS-000549</t>
  </si>
  <si>
    <t xml:space="preserve">Ferdousi Howlader</t>
  </si>
  <si>
    <t xml:space="preserve">Sohel Gazi</t>
  </si>
  <si>
    <t xml:space="preserve">BPBL-LN-2026-000549</t>
  </si>
  <si>
    <t xml:space="preserve">BPBL-CUS-000550</t>
  </si>
  <si>
    <t xml:space="preserve">Saiful Akand</t>
  </si>
  <si>
    <t xml:space="preserve">BPBL-LN-2026-000550</t>
  </si>
  <si>
    <t xml:space="preserve">BPBL-CUS-000551</t>
  </si>
  <si>
    <t xml:space="preserve">Saiful Hasan</t>
  </si>
  <si>
    <t xml:space="preserve">BPBL-LN-2026-000551</t>
  </si>
  <si>
    <t xml:space="preserve">BPBL-CUS-000552</t>
  </si>
  <si>
    <t xml:space="preserve">Borsha Hossain</t>
  </si>
  <si>
    <t xml:space="preserve">BPBL-LN-2026-000552</t>
  </si>
  <si>
    <t xml:space="preserve">BPBL-CUS-000553</t>
  </si>
  <si>
    <t xml:space="preserve">Farzana Mia</t>
  </si>
  <si>
    <t xml:space="preserve">Mustafizur Akand</t>
  </si>
  <si>
    <t xml:space="preserve">Dinajpur</t>
  </si>
  <si>
    <t xml:space="preserve">BPBL-LN-2026-000553</t>
  </si>
  <si>
    <t xml:space="preserve">BPBL-CUS-000554</t>
  </si>
  <si>
    <t xml:space="preserve">Anisur Biswas</t>
  </si>
  <si>
    <t xml:space="preserve">BPBL-LN-2026-000554</t>
  </si>
  <si>
    <t xml:space="preserve">BPBL-CUS-000555</t>
  </si>
  <si>
    <t xml:space="preserve">Yeasin Sheikh</t>
  </si>
  <si>
    <t xml:space="preserve">Delwar Karim</t>
  </si>
  <si>
    <t xml:space="preserve">BPBL-LN-2026-000555</t>
  </si>
  <si>
    <t xml:space="preserve">BPBL-CUS-000556</t>
  </si>
  <si>
    <t xml:space="preserve">Abdul Hawlader</t>
  </si>
  <si>
    <t xml:space="preserve">Hossain Khan</t>
  </si>
  <si>
    <t xml:space="preserve">BPBL-LN-2026-000556</t>
  </si>
  <si>
    <t xml:space="preserve">BPBL-CUS-000557</t>
  </si>
  <si>
    <t xml:space="preserve">BPBL-LN-2026-000557</t>
  </si>
  <si>
    <t xml:space="preserve">BPBL-CUS-000558</t>
  </si>
  <si>
    <t xml:space="preserve">Mehedi Mollah</t>
  </si>
  <si>
    <t xml:space="preserve">BPBL-LN-2026-000558</t>
  </si>
  <si>
    <t xml:space="preserve">BPBL-CUS-000559</t>
  </si>
  <si>
    <t xml:space="preserve">Tonni Islam</t>
  </si>
  <si>
    <t xml:space="preserve">BPBL-LN-2026-000559</t>
  </si>
  <si>
    <t xml:space="preserve">BPBL-CUS-000560</t>
  </si>
  <si>
    <t xml:space="preserve">Rokeya Akter</t>
  </si>
  <si>
    <t xml:space="preserve">Aminul Hawlader</t>
  </si>
  <si>
    <t xml:space="preserve">BPBL-LN-2026-000560</t>
  </si>
  <si>
    <t xml:space="preserve">BPBL-CUS-000561</t>
  </si>
  <si>
    <t xml:space="preserve">Sadia Howlader</t>
  </si>
  <si>
    <t xml:space="preserve">Liton Gazi</t>
  </si>
  <si>
    <t xml:space="preserve">BPBL-LN-2026-000561</t>
  </si>
  <si>
    <t xml:space="preserve">BPBL-CUS-000562</t>
  </si>
  <si>
    <t xml:space="preserve">Bashir Islam</t>
  </si>
  <si>
    <t xml:space="preserve">Nazrul Chowdhury</t>
  </si>
  <si>
    <t xml:space="preserve">BPBL-LN-2026-000562</t>
  </si>
  <si>
    <t xml:space="preserve">BPBL-CUS-000563</t>
  </si>
  <si>
    <t xml:space="preserve">Mamunur Sheikh</t>
  </si>
  <si>
    <t xml:space="preserve">BPBL-LN-2026-000563</t>
  </si>
  <si>
    <t xml:space="preserve">BPBL-CUS-000564</t>
  </si>
  <si>
    <t xml:space="preserve">Delwar Hasan</t>
  </si>
  <si>
    <t xml:space="preserve">Mizanur Munshi</t>
  </si>
  <si>
    <t xml:space="preserve">BPBL-LN-2026-000564</t>
  </si>
  <si>
    <t xml:space="preserve">BPBL-CUS-000565</t>
  </si>
  <si>
    <t xml:space="preserve">Mahmudul Mollah</t>
  </si>
  <si>
    <t xml:space="preserve">BPBL-LN-2026-000565</t>
  </si>
  <si>
    <t xml:space="preserve">BPBL-CUS-000566</t>
  </si>
  <si>
    <t xml:space="preserve">Parvin Chowdhury</t>
  </si>
  <si>
    <t xml:space="preserve">BPBL-LN-2026-000566</t>
  </si>
  <si>
    <t xml:space="preserve">BPBL-CUS-000567</t>
  </si>
  <si>
    <t xml:space="preserve">Aktar Hawlader</t>
  </si>
  <si>
    <t xml:space="preserve">Aminul Miah</t>
  </si>
  <si>
    <t xml:space="preserve">BPBL-LN-2026-000567</t>
  </si>
  <si>
    <t xml:space="preserve">BPBL-CUS-000568</t>
  </si>
  <si>
    <t xml:space="preserve">Zubayer Sarkar</t>
  </si>
  <si>
    <t xml:space="preserve">BPBL-LN-2026-000568</t>
  </si>
  <si>
    <t xml:space="preserve">BPBL-CUS-000569</t>
  </si>
  <si>
    <t xml:space="preserve">Shahnaz Gazi</t>
  </si>
  <si>
    <t xml:space="preserve">BPBL-LN-2026-000569</t>
  </si>
  <si>
    <t xml:space="preserve">BPBL-CUS-000570</t>
  </si>
  <si>
    <t xml:space="preserve">Delwar Saha</t>
  </si>
  <si>
    <t xml:space="preserve">Riaz Karim</t>
  </si>
  <si>
    <t xml:space="preserve">BPBL-LN-2026-000570</t>
  </si>
  <si>
    <t xml:space="preserve">BPBL-CUS-000571</t>
  </si>
  <si>
    <t xml:space="preserve">Zubayer Sarker</t>
  </si>
  <si>
    <t xml:space="preserve">BPBL-LN-2026-000571</t>
  </si>
  <si>
    <t xml:space="preserve">BPBL-CUS-000572</t>
  </si>
  <si>
    <t xml:space="preserve">Nayeem Mollah</t>
  </si>
  <si>
    <t xml:space="preserve">BPBL-LN-2026-000572</t>
  </si>
  <si>
    <t xml:space="preserve">BPBL-CUS-000573</t>
  </si>
  <si>
    <t xml:space="preserve">Munni Hawlader</t>
  </si>
  <si>
    <t xml:space="preserve">Mustafizur Mia</t>
  </si>
  <si>
    <t xml:space="preserve">BPBL-LN-2026-000573</t>
  </si>
  <si>
    <t xml:space="preserve">BPBL-CUS-000574</t>
  </si>
  <si>
    <t xml:space="preserve">Kamal Majumder</t>
  </si>
  <si>
    <t xml:space="preserve">BPBL-LN-2026-000574</t>
  </si>
  <si>
    <t xml:space="preserve">BPBL-CUS-000575</t>
  </si>
  <si>
    <t xml:space="preserve">Munni Hossain</t>
  </si>
  <si>
    <t xml:space="preserve">BPBL-LN-2026-000575</t>
  </si>
  <si>
    <t xml:space="preserve">BPBL-CUS-000576</t>
  </si>
  <si>
    <t xml:space="preserve">Marium Das</t>
  </si>
  <si>
    <t xml:space="preserve">BPBL-LN-2026-000576</t>
  </si>
  <si>
    <t xml:space="preserve">BPBL-CUS-000577</t>
  </si>
  <si>
    <t xml:space="preserve">Aminul Howlader</t>
  </si>
  <si>
    <t xml:space="preserve">Liton Sarker</t>
  </si>
  <si>
    <t xml:space="preserve">BPBL-LN-2026-000577</t>
  </si>
  <si>
    <t xml:space="preserve">BPBL-CUS-000578</t>
  </si>
  <si>
    <t xml:space="preserve">Parvin Sheikh</t>
  </si>
  <si>
    <t xml:space="preserve">BPBL-LN-2026-000578</t>
  </si>
  <si>
    <t xml:space="preserve">BPBL-CUS-000579</t>
  </si>
  <si>
    <t xml:space="preserve">Touhidul Miah</t>
  </si>
  <si>
    <t xml:space="preserve">Rakib Gazi</t>
  </si>
  <si>
    <t xml:space="preserve">BPBL-LN-2026-000579</t>
  </si>
  <si>
    <t xml:space="preserve">BPBL-CUS-000580</t>
  </si>
  <si>
    <t xml:space="preserve">Mustafizur Talukder</t>
  </si>
  <si>
    <t xml:space="preserve">Robiul Chowdhury</t>
  </si>
  <si>
    <t xml:space="preserve">BPBL-LN-2026-000580</t>
  </si>
  <si>
    <t xml:space="preserve">BPBL-CUS-000581</t>
  </si>
  <si>
    <t xml:space="preserve">Mizanur Hawlader</t>
  </si>
  <si>
    <t xml:space="preserve">Monir Mollah</t>
  </si>
  <si>
    <t xml:space="preserve">BPBL-LN-2026-000581</t>
  </si>
  <si>
    <t xml:space="preserve">BPBL-CUS-000582</t>
  </si>
  <si>
    <t xml:space="preserve">Nazrul Sheikh</t>
  </si>
  <si>
    <t xml:space="preserve">Mehedi Patwary</t>
  </si>
  <si>
    <t xml:space="preserve">BPBL-LN-2026-000582</t>
  </si>
  <si>
    <t xml:space="preserve">BPBL-CUS-000583</t>
  </si>
  <si>
    <t xml:space="preserve">Anisur Sardar</t>
  </si>
  <si>
    <t xml:space="preserve">BPBL-LN-2026-000583</t>
  </si>
  <si>
    <t xml:space="preserve">BPBL-CUS-000584</t>
  </si>
  <si>
    <t xml:space="preserve">Aminul Akand</t>
  </si>
  <si>
    <t xml:space="preserve">Tanvir Das</t>
  </si>
  <si>
    <t xml:space="preserve">BPBL-LN-2026-000584</t>
  </si>
  <si>
    <t xml:space="preserve">BPBL-CUS-000585</t>
  </si>
  <si>
    <t xml:space="preserve">Rezaul Das</t>
  </si>
  <si>
    <t xml:space="preserve">BPBL-LN-2026-000585</t>
  </si>
  <si>
    <t xml:space="preserve">BPBL-CUS-000586</t>
  </si>
  <si>
    <t xml:space="preserve">Shafin Patwary</t>
  </si>
  <si>
    <t xml:space="preserve">BPBL-LN-2026-000586</t>
  </si>
  <si>
    <t xml:space="preserve">BPBL-CUS-000587</t>
  </si>
  <si>
    <t xml:space="preserve">Mizanur Sarker</t>
  </si>
  <si>
    <t xml:space="preserve">BPBL-LN-2026-000587</t>
  </si>
  <si>
    <t xml:space="preserve">BPBL-CUS-000588</t>
  </si>
  <si>
    <t xml:space="preserve">Towhid Patwary</t>
  </si>
  <si>
    <t xml:space="preserve">BPBL-LN-2026-000588</t>
  </si>
  <si>
    <t xml:space="preserve">BPBL-CUS-000589</t>
  </si>
  <si>
    <t xml:space="preserve">Tariqul Karim</t>
  </si>
  <si>
    <t xml:space="preserve">BPBL-LN-2026-000589</t>
  </si>
  <si>
    <t xml:space="preserve">BPBL-CUS-000590</t>
  </si>
  <si>
    <t xml:space="preserve">Yeasin Mollah</t>
  </si>
  <si>
    <t xml:space="preserve">BPBL-LN-2026-000590</t>
  </si>
  <si>
    <t xml:space="preserve">BPBL-CUS-000591</t>
  </si>
  <si>
    <t xml:space="preserve">Rafiqul Sarkar</t>
  </si>
  <si>
    <t xml:space="preserve">Saiful Faruqui</t>
  </si>
  <si>
    <t xml:space="preserve">BPBL-LN-2026-000591</t>
  </si>
  <si>
    <t xml:space="preserve">BPBL-CUS-000592</t>
  </si>
  <si>
    <t xml:space="preserve">Jasim Uddin</t>
  </si>
  <si>
    <t xml:space="preserve">Habibur Alam</t>
  </si>
  <si>
    <t xml:space="preserve">BPBL-LN-2026-000592</t>
  </si>
  <si>
    <t xml:space="preserve">BPBL-CUS-000593</t>
  </si>
  <si>
    <t xml:space="preserve">Jesmin Sarker</t>
  </si>
  <si>
    <t xml:space="preserve">Abdul Sarker</t>
  </si>
  <si>
    <t xml:space="preserve">BPBL-LN-2026-000593</t>
  </si>
  <si>
    <t xml:space="preserve">BPBL-CUS-000594</t>
  </si>
  <si>
    <t xml:space="preserve">Kohinoor Sikder</t>
  </si>
  <si>
    <t xml:space="preserve">Rezaul Gazi</t>
  </si>
  <si>
    <t xml:space="preserve">BPBL-LN-2026-000594</t>
  </si>
  <si>
    <t xml:space="preserve">BPBL-CUS-000595</t>
  </si>
  <si>
    <t xml:space="preserve">Rashedul Bhuiyan</t>
  </si>
  <si>
    <t xml:space="preserve">Hossain Ahmed</t>
  </si>
  <si>
    <t xml:space="preserve">BPBL-LN-2026-000595</t>
  </si>
  <si>
    <t xml:space="preserve">BPBL-CUS-000596</t>
  </si>
  <si>
    <t xml:space="preserve">Bashir Hawlader</t>
  </si>
  <si>
    <t xml:space="preserve">BPBL-LN-2026-000596</t>
  </si>
  <si>
    <t xml:space="preserve">BPBL-CUS-000597</t>
  </si>
  <si>
    <t xml:space="preserve">Farzana Biswas</t>
  </si>
  <si>
    <t xml:space="preserve">Shafiqul Pramanik</t>
  </si>
  <si>
    <t xml:space="preserve">BPBL-LN-2026-000597</t>
  </si>
  <si>
    <t xml:space="preserve">BPBL-CUS-000598</t>
  </si>
  <si>
    <t xml:space="preserve">Riaz Roy</t>
  </si>
  <si>
    <t xml:space="preserve">Ekram Sarkar</t>
  </si>
  <si>
    <t xml:space="preserve">BPBL-LN-2026-000598</t>
  </si>
  <si>
    <t xml:space="preserve">BPBL-CUS-000599</t>
  </si>
  <si>
    <t xml:space="preserve">Robiul Alam</t>
  </si>
  <si>
    <t xml:space="preserve">Touhidul Ahmed</t>
  </si>
  <si>
    <t xml:space="preserve">BPBL-LN-2026-000599</t>
  </si>
  <si>
    <t xml:space="preserve">BPBL-CUS-000600</t>
  </si>
  <si>
    <t xml:space="preserve">Rafiqul Mia</t>
  </si>
  <si>
    <t xml:space="preserve">Shahidul Mridha</t>
  </si>
  <si>
    <t xml:space="preserve">BPBL-LN-2026-000600</t>
  </si>
  <si>
    <t xml:space="preserve">BPBL-CUS-000601</t>
  </si>
  <si>
    <t xml:space="preserve">Towhid Mridha</t>
  </si>
  <si>
    <t xml:space="preserve">Rezaul Biswas</t>
  </si>
  <si>
    <t xml:space="preserve">BPBL-LN-2026-000601</t>
  </si>
  <si>
    <t xml:space="preserve">BPBL-CUS-000602</t>
  </si>
  <si>
    <t xml:space="preserve">Asaduzzaman Hossain</t>
  </si>
  <si>
    <t xml:space="preserve">BPBL-LN-2026-000602</t>
  </si>
  <si>
    <t xml:space="preserve">BPBL-CUS-000603</t>
  </si>
  <si>
    <t xml:space="preserve">Riaz Sikder</t>
  </si>
  <si>
    <t xml:space="preserve">Anwar Khondkar</t>
  </si>
  <si>
    <t xml:space="preserve">BPBL-LN-2026-000603</t>
  </si>
  <si>
    <t xml:space="preserve">BPBL-CUS-000604</t>
  </si>
  <si>
    <t xml:space="preserve">BPBL-LN-2026-000604</t>
  </si>
  <si>
    <t xml:space="preserve">BPBL-CUS-000605</t>
  </si>
  <si>
    <t xml:space="preserve">Anisur Sarkar</t>
  </si>
  <si>
    <t xml:space="preserve">BPBL-LN-2026-000605</t>
  </si>
  <si>
    <t xml:space="preserve">BPBL-CUS-000606</t>
  </si>
  <si>
    <t xml:space="preserve">Shathi Mondol</t>
  </si>
  <si>
    <t xml:space="preserve">Masud Sheikh</t>
  </si>
  <si>
    <t xml:space="preserve">BPBL-LN-2026-000606</t>
  </si>
  <si>
    <t xml:space="preserve">BPBL-CUS-000607</t>
  </si>
  <si>
    <t xml:space="preserve">Nazrul Sarkar</t>
  </si>
  <si>
    <t xml:space="preserve">BPBL-LN-2026-000607</t>
  </si>
  <si>
    <t xml:space="preserve">BPBL-CUS-000608</t>
  </si>
  <si>
    <t xml:space="preserve">Habibur Mridha</t>
  </si>
  <si>
    <t xml:space="preserve">Mostafa Akand</t>
  </si>
  <si>
    <t xml:space="preserve">BPBL-LN-2026-000608</t>
  </si>
  <si>
    <t xml:space="preserve">BPBL-CUS-000609</t>
  </si>
  <si>
    <t xml:space="preserve">Abdul Karim</t>
  </si>
  <si>
    <t xml:space="preserve">BPBL-LN-2026-000609</t>
  </si>
  <si>
    <t xml:space="preserve">BPBL-CUS-000610</t>
  </si>
  <si>
    <t xml:space="preserve">Hossain Munshi</t>
  </si>
  <si>
    <t xml:space="preserve">BPBL-LN-2026-000610</t>
  </si>
  <si>
    <t xml:space="preserve">BPBL-CUS-000611</t>
  </si>
  <si>
    <t xml:space="preserve">Shamim Islam</t>
  </si>
  <si>
    <t xml:space="preserve">Ataur Mridha</t>
  </si>
  <si>
    <t xml:space="preserve">BPBL-LN-2026-000611</t>
  </si>
  <si>
    <t xml:space="preserve">BPBL-CUS-000612</t>
  </si>
  <si>
    <t xml:space="preserve">Selim Hossain</t>
  </si>
  <si>
    <t xml:space="preserve">Mamunur Chowdhury</t>
  </si>
  <si>
    <t xml:space="preserve">BPBL-LN-2026-000612</t>
  </si>
  <si>
    <t xml:space="preserve">BPBL-CUS-000613</t>
  </si>
  <si>
    <t xml:space="preserve">Rashedul Sarker</t>
  </si>
  <si>
    <t xml:space="preserve">Iqbal Mondol</t>
  </si>
  <si>
    <t xml:space="preserve">BPBL-LN-2026-000613</t>
  </si>
  <si>
    <t xml:space="preserve">BPBL-CUS-000614</t>
  </si>
  <si>
    <t xml:space="preserve">Shafiqul Sikder</t>
  </si>
  <si>
    <t xml:space="preserve">BPBL-LN-2026-000614</t>
  </si>
  <si>
    <t xml:space="preserve">BPBL-CUS-000615</t>
  </si>
  <si>
    <t xml:space="preserve">Rokeya Roy</t>
  </si>
  <si>
    <t xml:space="preserve">BPBL-LN-2026-000615</t>
  </si>
  <si>
    <t xml:space="preserve">BPBL-CUS-000616</t>
  </si>
  <si>
    <t xml:space="preserve">Nazrul Rahman</t>
  </si>
  <si>
    <t xml:space="preserve">Jasim Mridha</t>
  </si>
  <si>
    <t xml:space="preserve">BPBL-LN-2026-000616</t>
  </si>
  <si>
    <t xml:space="preserve">BPBL-CUS-000617</t>
  </si>
  <si>
    <t xml:space="preserve">Fahmida Hawlader</t>
  </si>
  <si>
    <t xml:space="preserve">Riaz Alam</t>
  </si>
  <si>
    <t xml:space="preserve">BPBL-LN-2026-000617</t>
  </si>
  <si>
    <t xml:space="preserve">BPBL-CUS-000618</t>
  </si>
  <si>
    <t xml:space="preserve">Lima Sikder</t>
  </si>
  <si>
    <t xml:space="preserve">Ekram Hasan</t>
  </si>
  <si>
    <t xml:space="preserve">BPBL-LN-2026-000618</t>
  </si>
  <si>
    <t xml:space="preserve">BPBL-CUS-000619</t>
  </si>
  <si>
    <t xml:space="preserve">Robiul Khondkar</t>
  </si>
  <si>
    <t xml:space="preserve">BPBL-LN-2026-000619</t>
  </si>
  <si>
    <t xml:space="preserve">BPBL-CUS-000620</t>
  </si>
  <si>
    <t xml:space="preserve">Aktar Sarkar</t>
  </si>
  <si>
    <t xml:space="preserve">Barguna</t>
  </si>
  <si>
    <t xml:space="preserve">BPBL-LN-2026-000620</t>
  </si>
  <si>
    <t xml:space="preserve">BPBL-CUS-000621</t>
  </si>
  <si>
    <t xml:space="preserve">Ferdousi Akter</t>
  </si>
  <si>
    <t xml:space="preserve">BPBL-LN-2026-000621</t>
  </si>
  <si>
    <t xml:space="preserve">BPBL-CUS-000622</t>
  </si>
  <si>
    <t xml:space="preserve">Anwar Sheikh</t>
  </si>
  <si>
    <t xml:space="preserve">Shahidul Saha</t>
  </si>
  <si>
    <t xml:space="preserve">BPBL-LN-2026-000622</t>
  </si>
  <si>
    <t xml:space="preserve">BPBL-CUS-000623</t>
  </si>
  <si>
    <t xml:space="preserve">Forhad Biswas</t>
  </si>
  <si>
    <t xml:space="preserve">Wahidul Alam</t>
  </si>
  <si>
    <t xml:space="preserve">BPBL-LN-2026-000623</t>
  </si>
  <si>
    <t xml:space="preserve">BPBL-CUS-000624</t>
  </si>
  <si>
    <t xml:space="preserve">Riya Hasan</t>
  </si>
  <si>
    <t xml:space="preserve">Nayeem Saha</t>
  </si>
  <si>
    <t xml:space="preserve">BPBL-LN-2026-000624</t>
  </si>
  <si>
    <t xml:space="preserve">BPBL-CUS-000625</t>
  </si>
  <si>
    <t xml:space="preserve">Faruk Miah</t>
  </si>
  <si>
    <t xml:space="preserve">BPBL-LN-2026-000625</t>
  </si>
  <si>
    <t xml:space="preserve">BPBL-CUS-000626</t>
  </si>
  <si>
    <t xml:space="preserve">Iqbal Patwary</t>
  </si>
  <si>
    <t xml:space="preserve">BPBL-LN-2026-000626</t>
  </si>
  <si>
    <t xml:space="preserve">BPBL-CUS-000627</t>
  </si>
  <si>
    <t xml:space="preserve">BPBL-LN-2026-000627</t>
  </si>
  <si>
    <t xml:space="preserve">BPBL-CUS-000628</t>
  </si>
  <si>
    <t xml:space="preserve">Mukta Roy</t>
  </si>
  <si>
    <t xml:space="preserve">BPBL-LN-2026-000628</t>
  </si>
  <si>
    <t xml:space="preserve">BPBL-CUS-000629</t>
  </si>
  <si>
    <t xml:space="preserve">Bashir Mia</t>
  </si>
  <si>
    <t xml:space="preserve">BPBL-LN-2026-000629</t>
  </si>
  <si>
    <t xml:space="preserve">BPBL-CUS-000630</t>
  </si>
  <si>
    <t xml:space="preserve">Joya Hawlader</t>
  </si>
  <si>
    <t xml:space="preserve">Wahidul Akter</t>
  </si>
  <si>
    <t xml:space="preserve">BPBL-LN-2026-000630</t>
  </si>
  <si>
    <t xml:space="preserve">BPBL-CUS-000631</t>
  </si>
  <si>
    <t xml:space="preserve">Zubayer Karim</t>
  </si>
  <si>
    <t xml:space="preserve">BPBL-LN-2026-000631</t>
  </si>
  <si>
    <t xml:space="preserve">BPBL-CUS-000632</t>
  </si>
  <si>
    <t xml:space="preserve">Mamunur Das</t>
  </si>
  <si>
    <t xml:space="preserve">BPBL-LN-2026-000632</t>
  </si>
  <si>
    <t xml:space="preserve">BPBL-CUS-000633</t>
  </si>
  <si>
    <t xml:space="preserve">Saiful Hawlader</t>
  </si>
  <si>
    <t xml:space="preserve">BPBL-LN-2026-000633</t>
  </si>
  <si>
    <t xml:space="preserve">BPBL-CUS-000634</t>
  </si>
  <si>
    <t xml:space="preserve">Mahmuda Sarkar</t>
  </si>
  <si>
    <t xml:space="preserve">Anisur Khan</t>
  </si>
  <si>
    <t xml:space="preserve">BPBL-LN-2026-000634</t>
  </si>
  <si>
    <t xml:space="preserve">BPBL-CUS-000635</t>
  </si>
  <si>
    <t xml:space="preserve">Jahangir Saha</t>
  </si>
  <si>
    <t xml:space="preserve">BPBL-LN-2026-000635</t>
  </si>
  <si>
    <t xml:space="preserve">BPBL-CUS-000636</t>
  </si>
  <si>
    <t xml:space="preserve">Shakil Khondkar</t>
  </si>
  <si>
    <t xml:space="preserve">BPBL-LN-2026-000636</t>
  </si>
  <si>
    <t xml:space="preserve">BPBL-CUS-000637</t>
  </si>
  <si>
    <t xml:space="preserve">Mukti Mia</t>
  </si>
  <si>
    <t xml:space="preserve">Forhad Talukder</t>
  </si>
  <si>
    <t xml:space="preserve">BPBL-LN-2026-000637</t>
  </si>
  <si>
    <t xml:space="preserve">BPBL-CUS-000638</t>
  </si>
  <si>
    <t xml:space="preserve">BPBL-LN-2026-000638</t>
  </si>
  <si>
    <t xml:space="preserve">BPBL-CUS-000639</t>
  </si>
  <si>
    <t xml:space="preserve">Imran Majumder</t>
  </si>
  <si>
    <t xml:space="preserve">BPBL-LN-2026-000639</t>
  </si>
  <si>
    <t xml:space="preserve">BPBL-CUS-000640</t>
  </si>
  <si>
    <t xml:space="preserve">Anisur Bhuiyan</t>
  </si>
  <si>
    <t xml:space="preserve">BPBL-LN-2026-000640</t>
  </si>
  <si>
    <t xml:space="preserve">BPBL-CUS-000641</t>
  </si>
  <si>
    <t xml:space="preserve">Tonni Hawlader</t>
  </si>
  <si>
    <t xml:space="preserve">Hasan Mridha</t>
  </si>
  <si>
    <t xml:space="preserve">BPBL-LN-2026-000641</t>
  </si>
  <si>
    <t xml:space="preserve">BPBL-CUS-000642</t>
  </si>
  <si>
    <t xml:space="preserve">BPBL-LN-2026-000642</t>
  </si>
  <si>
    <t xml:space="preserve">BPBL-CUS-000643</t>
  </si>
  <si>
    <t xml:space="preserve">BPBL-LN-2026-000643</t>
  </si>
  <si>
    <t xml:space="preserve">BPBL-CUS-000644</t>
  </si>
  <si>
    <t xml:space="preserve">Sumaiya Pramanik</t>
  </si>
  <si>
    <t xml:space="preserve">Wahidul Pramanik</t>
  </si>
  <si>
    <t xml:space="preserve">BPBL-LN-2026-000644</t>
  </si>
  <si>
    <t xml:space="preserve">BPBL-CUS-000645</t>
  </si>
  <si>
    <t xml:space="preserve">Wahidul Talukder</t>
  </si>
  <si>
    <t xml:space="preserve">BPBL-LN-2026-000645</t>
  </si>
  <si>
    <t xml:space="preserve">BPBL-CUS-000646</t>
  </si>
  <si>
    <t xml:space="preserve">Imran Roy</t>
  </si>
  <si>
    <t xml:space="preserve">BPBL-LN-2026-000646</t>
  </si>
  <si>
    <t xml:space="preserve">BPBL-CUS-000647</t>
  </si>
  <si>
    <t xml:space="preserve">Yeasin Saha</t>
  </si>
  <si>
    <t xml:space="preserve">BPBL-LN-2026-000647</t>
  </si>
  <si>
    <t xml:space="preserve">BPBL-CUS-000648</t>
  </si>
  <si>
    <t xml:space="preserve">BPBL-LN-2026-000648</t>
  </si>
  <si>
    <t xml:space="preserve">BPBL-CUS-000649</t>
  </si>
  <si>
    <t xml:space="preserve">Beauty Bhuiyan</t>
  </si>
  <si>
    <t xml:space="preserve">Jasim Pramanik</t>
  </si>
  <si>
    <t xml:space="preserve">BPBL-LN-2026-000649</t>
  </si>
  <si>
    <t xml:space="preserve">BPBL-CUS-000650</t>
  </si>
  <si>
    <t xml:space="preserve">Sumaiya Chowdhury</t>
  </si>
  <si>
    <t xml:space="preserve">Liton Mondol</t>
  </si>
  <si>
    <t xml:space="preserve">BPBL-LN-2026-000650</t>
  </si>
  <si>
    <t xml:space="preserve">BPBL-CUS-000651</t>
  </si>
  <si>
    <t xml:space="preserve">Rumana Saha</t>
  </si>
  <si>
    <t xml:space="preserve">Hasan Faruqui</t>
  </si>
  <si>
    <t xml:space="preserve">BPBL-LN-2026-000651</t>
  </si>
  <si>
    <t xml:space="preserve">BPBL-CUS-000652</t>
  </si>
  <si>
    <t xml:space="preserve">Jahangir Faruqui</t>
  </si>
  <si>
    <t xml:space="preserve">BPBL-LN-2026-000652</t>
  </si>
  <si>
    <t xml:space="preserve">BPBL-CUS-000653</t>
  </si>
  <si>
    <t xml:space="preserve">Shafin Faruqui</t>
  </si>
  <si>
    <t xml:space="preserve">BPBL-LN-2026-000653</t>
  </si>
  <si>
    <t xml:space="preserve">BPBL-CUS-000654</t>
  </si>
  <si>
    <t xml:space="preserve">Robiul Gazi</t>
  </si>
  <si>
    <t xml:space="preserve">BPBL-LN-2026-000654</t>
  </si>
  <si>
    <t xml:space="preserve">BPBL-CUS-000655</t>
  </si>
  <si>
    <t xml:space="preserve">Jesmin Majumder</t>
  </si>
  <si>
    <t xml:space="preserve">Shamim Gazi</t>
  </si>
  <si>
    <t xml:space="preserve">BPBL-LN-2026-000655</t>
  </si>
  <si>
    <t xml:space="preserve">BPBL-CUS-000656</t>
  </si>
  <si>
    <t xml:space="preserve">Mahmuda Munshi</t>
  </si>
  <si>
    <t xml:space="preserve">BPBL-LN-2026-000656</t>
  </si>
  <si>
    <t xml:space="preserve">BPBL-CUS-000657</t>
  </si>
  <si>
    <t xml:space="preserve">Ataur Pramanik</t>
  </si>
  <si>
    <t xml:space="preserve">BPBL-LN-2026-000657</t>
  </si>
  <si>
    <t xml:space="preserve">BPBL-CUS-000658</t>
  </si>
  <si>
    <t xml:space="preserve">Touhidul Alam</t>
  </si>
  <si>
    <t xml:space="preserve">BPBL-LN-2026-000658</t>
  </si>
  <si>
    <t xml:space="preserve">BPBL-CUS-000659</t>
  </si>
  <si>
    <t xml:space="preserve">Nazrul Majumder</t>
  </si>
  <si>
    <t xml:space="preserve">BPBL-LN-2026-000659</t>
  </si>
  <si>
    <t xml:space="preserve">BPBL-CUS-000660</t>
  </si>
  <si>
    <t xml:space="preserve">Shakil Mridha</t>
  </si>
  <si>
    <t xml:space="preserve">BPBL-LN-2026-000660</t>
  </si>
  <si>
    <t xml:space="preserve">BPBL-CUS-000661</t>
  </si>
  <si>
    <t xml:space="preserve">Tania Patwary</t>
  </si>
  <si>
    <t xml:space="preserve">Zubayer Bhuiyan</t>
  </si>
  <si>
    <t xml:space="preserve">BPBL-LN-2026-000661</t>
  </si>
  <si>
    <t xml:space="preserve">BPBL-CUS-000662</t>
  </si>
  <si>
    <t xml:space="preserve">Kulsum Gazi</t>
  </si>
  <si>
    <t xml:space="preserve">BPBL-LN-2026-000662</t>
  </si>
  <si>
    <t xml:space="preserve">BPBL-CUS-000663</t>
  </si>
  <si>
    <t xml:space="preserve">Masud Hossain</t>
  </si>
  <si>
    <t xml:space="preserve">BPBL-LN-2026-000663</t>
  </si>
  <si>
    <t xml:space="preserve">BPBL-CUS-000664</t>
  </si>
  <si>
    <t xml:space="preserve">Tariqul Bhuiyan</t>
  </si>
  <si>
    <t xml:space="preserve">Sohel Howlader</t>
  </si>
  <si>
    <t xml:space="preserve">BPBL-LN-2026-000664</t>
  </si>
  <si>
    <t xml:space="preserve">BPBL-CUS-000665</t>
  </si>
  <si>
    <t xml:space="preserve">Shakil Howlader</t>
  </si>
  <si>
    <t xml:space="preserve">Robiul Sarkar</t>
  </si>
  <si>
    <t xml:space="preserve">BPBL-LN-2026-000665</t>
  </si>
  <si>
    <t xml:space="preserve">BPBL-CUS-000666</t>
  </si>
  <si>
    <t xml:space="preserve">Tariqul Das</t>
  </si>
  <si>
    <t xml:space="preserve">Sohel Biswas</t>
  </si>
  <si>
    <t xml:space="preserve">BPBL-LN-2026-000666</t>
  </si>
  <si>
    <t xml:space="preserve">BPBL-CUS-000667</t>
  </si>
  <si>
    <t xml:space="preserve">BPBL-LN-2026-000667</t>
  </si>
  <si>
    <t xml:space="preserve">BPBL-CUS-000668</t>
  </si>
  <si>
    <t xml:space="preserve">Aminul Mollah</t>
  </si>
  <si>
    <t xml:space="preserve">BPBL-LN-2026-000668</t>
  </si>
  <si>
    <t xml:space="preserve">BPBL-CUS-000669</t>
  </si>
  <si>
    <t xml:space="preserve">BPBL-LN-2026-000669</t>
  </si>
  <si>
    <t xml:space="preserve">BPBL-CUS-000670</t>
  </si>
  <si>
    <t xml:space="preserve">Shirin Hawlader</t>
  </si>
  <si>
    <t xml:space="preserve">Asaduzzaman Karim</t>
  </si>
  <si>
    <t xml:space="preserve">BPBL-LN-2026-000670</t>
  </si>
  <si>
    <t xml:space="preserve">BPBL-CUS-000671</t>
  </si>
  <si>
    <t xml:space="preserve">Mizanur Hasan</t>
  </si>
  <si>
    <t xml:space="preserve">BPBL-LN-2026-000671</t>
  </si>
  <si>
    <t xml:space="preserve">BPBL-CUS-000672</t>
  </si>
  <si>
    <t xml:space="preserve">Naznin Sardar</t>
  </si>
  <si>
    <t xml:space="preserve">Mustafizur Sardar</t>
  </si>
  <si>
    <t xml:space="preserve">BPBL-LN-2026-000672</t>
  </si>
  <si>
    <t xml:space="preserve">BPBL-CUS-000673</t>
  </si>
  <si>
    <t xml:space="preserve">Tania Mia</t>
  </si>
  <si>
    <t xml:space="preserve">BPBL-LN-2026-000673</t>
  </si>
  <si>
    <t xml:space="preserve">BPBL-CUS-000674</t>
  </si>
  <si>
    <t xml:space="preserve">Ruma Bhuiyan</t>
  </si>
  <si>
    <t xml:space="preserve">Hasan Akter</t>
  </si>
  <si>
    <t xml:space="preserve">BPBL-LN-2026-000674</t>
  </si>
  <si>
    <t xml:space="preserve">BPBL-CUS-000675</t>
  </si>
  <si>
    <t xml:space="preserve">Jahangir Ahmed</t>
  </si>
  <si>
    <t xml:space="preserve">Shafin Pramanik</t>
  </si>
  <si>
    <t xml:space="preserve">BPBL-LN-2026-000675</t>
  </si>
  <si>
    <t xml:space="preserve">BPBL-CUS-000676</t>
  </si>
  <si>
    <t xml:space="preserve">Riya Sarkar</t>
  </si>
  <si>
    <t xml:space="preserve">Hossain Uddin</t>
  </si>
  <si>
    <t xml:space="preserve">BPBL-LN-2026-000676</t>
  </si>
  <si>
    <t xml:space="preserve">BPBL-CUS-000677</t>
  </si>
  <si>
    <t xml:space="preserve">Hasan Mia</t>
  </si>
  <si>
    <t xml:space="preserve">Mamunur Uddin</t>
  </si>
  <si>
    <t xml:space="preserve">BPBL-LN-2026-000677</t>
  </si>
  <si>
    <t xml:space="preserve">BPBL-CUS-000678</t>
  </si>
  <si>
    <t xml:space="preserve">Beauty Khan</t>
  </si>
  <si>
    <t xml:space="preserve">Tariqul Sarker</t>
  </si>
  <si>
    <t xml:space="preserve">BPBL-LN-2026-000678</t>
  </si>
  <si>
    <t xml:space="preserve">BPBL-CUS-000679</t>
  </si>
  <si>
    <t xml:space="preserve">BPBL-LN-2026-000679</t>
  </si>
  <si>
    <t xml:space="preserve">BPBL-CUS-000680</t>
  </si>
  <si>
    <t xml:space="preserve">Mustafizur Sarkar</t>
  </si>
  <si>
    <t xml:space="preserve">Bashir Pramanik</t>
  </si>
  <si>
    <t xml:space="preserve">BPBL-LN-2026-000680</t>
  </si>
  <si>
    <t xml:space="preserve">BPBL-CUS-000681</t>
  </si>
  <si>
    <t xml:space="preserve">Sumaiya Talukder</t>
  </si>
  <si>
    <t xml:space="preserve">Hasan Talukder</t>
  </si>
  <si>
    <t xml:space="preserve">BPBL-LN-2026-000681</t>
  </si>
  <si>
    <t xml:space="preserve">BPBL-CUS-000682</t>
  </si>
  <si>
    <t xml:space="preserve">Shahnaz Hossain</t>
  </si>
  <si>
    <t xml:space="preserve">Habibur Uddin</t>
  </si>
  <si>
    <t xml:space="preserve">BPBL-LN-2026-000682</t>
  </si>
  <si>
    <t xml:space="preserve">BPBL-CUS-000683</t>
  </si>
  <si>
    <t xml:space="preserve">Ayesha Das</t>
  </si>
  <si>
    <t xml:space="preserve">BPBL-LN-2026-000683</t>
  </si>
  <si>
    <t xml:space="preserve">BPBL-CUS-000684</t>
  </si>
  <si>
    <t xml:space="preserve">Sathi Khondkar</t>
  </si>
  <si>
    <t xml:space="preserve">BPBL-LN-2026-000684</t>
  </si>
  <si>
    <t xml:space="preserve">BPBL-CUS-000685</t>
  </si>
  <si>
    <t xml:space="preserve">Shakil Rahman</t>
  </si>
  <si>
    <t xml:space="preserve">BPBL-LN-2026-000685</t>
  </si>
  <si>
    <t xml:space="preserve">BPBL-CUS-000686</t>
  </si>
  <si>
    <t xml:space="preserve">Beauty Sarkar</t>
  </si>
  <si>
    <t xml:space="preserve">Sohel Mondol</t>
  </si>
  <si>
    <t xml:space="preserve">BPBL-LN-2026-000686</t>
  </si>
  <si>
    <t xml:space="preserve">BPBL-CUS-000687</t>
  </si>
  <si>
    <t xml:space="preserve">Golam Alam</t>
  </si>
  <si>
    <t xml:space="preserve">Habibur Gazi</t>
  </si>
  <si>
    <t xml:space="preserve">BPBL-LN-2026-000687</t>
  </si>
  <si>
    <t xml:space="preserve">BPBL-CUS-000688</t>
  </si>
  <si>
    <t xml:space="preserve">BPBL-LN-2026-000688</t>
  </si>
  <si>
    <t xml:space="preserve">BPBL-CUS-000689</t>
  </si>
  <si>
    <t xml:space="preserve">Morsheda Mollah</t>
  </si>
  <si>
    <t xml:space="preserve">BPBL-LN-2026-000689</t>
  </si>
  <si>
    <t xml:space="preserve">BPBL-CUS-000690</t>
  </si>
  <si>
    <t xml:space="preserve">Taslima Howlader</t>
  </si>
  <si>
    <t xml:space="preserve">Rezaul Khondkar</t>
  </si>
  <si>
    <t xml:space="preserve">BPBL-LN-2026-000690</t>
  </si>
  <si>
    <t xml:space="preserve">BPBL-CUS-000691</t>
  </si>
  <si>
    <t xml:space="preserve">Faruk Sardar</t>
  </si>
  <si>
    <t xml:space="preserve">BPBL-LN-2026-000691</t>
  </si>
  <si>
    <t xml:space="preserve">BPBL-CUS-000692</t>
  </si>
  <si>
    <t xml:space="preserve">Nayeem Hasan</t>
  </si>
  <si>
    <t xml:space="preserve">BPBL-LN-2026-000692</t>
  </si>
  <si>
    <t xml:space="preserve">BPBL-CUS-000693</t>
  </si>
  <si>
    <t xml:space="preserve">Quamrul Hossain</t>
  </si>
  <si>
    <t xml:space="preserve">BPBL-LN-2026-000693</t>
  </si>
  <si>
    <t xml:space="preserve">BPBL-CUS-000694</t>
  </si>
  <si>
    <t xml:space="preserve">Liton Biswas</t>
  </si>
  <si>
    <t xml:space="preserve">BPBL-LN-2026-000694</t>
  </si>
  <si>
    <t xml:space="preserve">BPBL-CUS-000695</t>
  </si>
  <si>
    <t xml:space="preserve">Nasrin Majumder</t>
  </si>
  <si>
    <t xml:space="preserve">BPBL-LN-2026-000695</t>
  </si>
  <si>
    <t xml:space="preserve">BPBL-CUS-000696</t>
  </si>
  <si>
    <t xml:space="preserve">BPBL-LN-2026-000696</t>
  </si>
  <si>
    <t xml:space="preserve">BPBL-CUS-000697</t>
  </si>
  <si>
    <t xml:space="preserve">BPBL-LN-2026-000697</t>
  </si>
  <si>
    <t xml:space="preserve">BPBL-CUS-000698</t>
  </si>
  <si>
    <t xml:space="preserve">Nurul Mondol</t>
  </si>
  <si>
    <t xml:space="preserve">BPBL-LN-2026-000698</t>
  </si>
  <si>
    <t xml:space="preserve">BPBL-CUS-000699</t>
  </si>
  <si>
    <t xml:space="preserve">Tonni Sikder</t>
  </si>
  <si>
    <t xml:space="preserve">BPBL-LN-2026-000699</t>
  </si>
  <si>
    <t xml:space="preserve">BPBL-CUS-000700</t>
  </si>
  <si>
    <t xml:space="preserve">Arif Sheikh</t>
  </si>
  <si>
    <t xml:space="preserve">BPBL-LN-2026-000700</t>
  </si>
  <si>
    <t xml:space="preserve">BPBL-CUS-000701</t>
  </si>
  <si>
    <t xml:space="preserve">Rashida Khan</t>
  </si>
  <si>
    <t xml:space="preserve">Jasim Chowdhury</t>
  </si>
  <si>
    <t xml:space="preserve">BPBL-LN-2026-000701</t>
  </si>
  <si>
    <t xml:space="preserve">BPBL-CUS-000702</t>
  </si>
  <si>
    <t xml:space="preserve">Mamunur Sarkar</t>
  </si>
  <si>
    <t xml:space="preserve">BPBL-LN-2026-000702</t>
  </si>
  <si>
    <t xml:space="preserve">BPBL-CUS-000703</t>
  </si>
  <si>
    <t xml:space="preserve">Shahidul Pramanik</t>
  </si>
  <si>
    <t xml:space="preserve">BPBL-LN-2026-000703</t>
  </si>
  <si>
    <t xml:space="preserve">BPBL-CUS-000704</t>
  </si>
  <si>
    <t xml:space="preserve">Mim Bhuiyan</t>
  </si>
  <si>
    <t xml:space="preserve">BPBL-LN-2026-000704</t>
  </si>
  <si>
    <t xml:space="preserve">BPBL-CUS-000705</t>
  </si>
  <si>
    <t xml:space="preserve">Mim Rahman</t>
  </si>
  <si>
    <t xml:space="preserve">Iqbal Bhuiyan</t>
  </si>
  <si>
    <t xml:space="preserve">BPBL-LN-2026-000705</t>
  </si>
  <si>
    <t xml:space="preserve">BPBL-CUS-000706</t>
  </si>
  <si>
    <t xml:space="preserve">Abdul Khondkar</t>
  </si>
  <si>
    <t xml:space="preserve">Ataur Mondol</t>
  </si>
  <si>
    <t xml:space="preserve">BPBL-LN-2026-000706</t>
  </si>
  <si>
    <t xml:space="preserve">BPBL-CUS-000707</t>
  </si>
  <si>
    <t xml:space="preserve">Habibur Sarkar</t>
  </si>
  <si>
    <t xml:space="preserve">Rezaul Khan</t>
  </si>
  <si>
    <t xml:space="preserve">BPBL-LN-2026-000707</t>
  </si>
  <si>
    <t xml:space="preserve">BPBL-CUS-000708</t>
  </si>
  <si>
    <t xml:space="preserve">Rakib Howlader</t>
  </si>
  <si>
    <t xml:space="preserve">Arif Rahman</t>
  </si>
  <si>
    <t xml:space="preserve">BPBL-LN-2026-000708</t>
  </si>
  <si>
    <t xml:space="preserve">BPBL-CUS-000709</t>
  </si>
  <si>
    <t xml:space="preserve">Jamal Sarker</t>
  </si>
  <si>
    <t xml:space="preserve">Delwar Biswas</t>
  </si>
  <si>
    <t xml:space="preserve">BPBL-LN-2026-000709</t>
  </si>
  <si>
    <t xml:space="preserve">BPBL-CUS-000710</t>
  </si>
  <si>
    <t xml:space="preserve">Abdul Saha</t>
  </si>
  <si>
    <t xml:space="preserve">Touhidul Patwary</t>
  </si>
  <si>
    <t xml:space="preserve">BPBL-LN-2026-000710</t>
  </si>
  <si>
    <t xml:space="preserve">BPBL-CUS-000711</t>
  </si>
  <si>
    <t xml:space="preserve">Rabeya Uddin</t>
  </si>
  <si>
    <t xml:space="preserve">BPBL-LN-2026-000711</t>
  </si>
  <si>
    <t xml:space="preserve">BPBL-CUS-000712</t>
  </si>
  <si>
    <t xml:space="preserve">Habibur Patwary</t>
  </si>
  <si>
    <t xml:space="preserve">BPBL-LN-2026-000712</t>
  </si>
  <si>
    <t xml:space="preserve">BPBL-CUS-000713</t>
  </si>
  <si>
    <t xml:space="preserve">Tanvir Hasan</t>
  </si>
  <si>
    <t xml:space="preserve">BPBL-LN-2026-000713</t>
  </si>
  <si>
    <t xml:space="preserve">BPBL-CUS-000714</t>
  </si>
  <si>
    <t xml:space="preserve">BPBL-LN-2026-000714</t>
  </si>
  <si>
    <t xml:space="preserve">BPBL-CUS-000715</t>
  </si>
  <si>
    <t xml:space="preserve">Lima Faruqui</t>
  </si>
  <si>
    <t xml:space="preserve">Mehedi Roy</t>
  </si>
  <si>
    <t xml:space="preserve">BPBL-LN-2026-000715</t>
  </si>
  <si>
    <t xml:space="preserve">BPBL-CUS-000716</t>
  </si>
  <si>
    <t xml:space="preserve">Rakib Sarker</t>
  </si>
  <si>
    <t xml:space="preserve">BPBL-LN-2026-000716</t>
  </si>
  <si>
    <t xml:space="preserve">BPBL-CUS-000717</t>
  </si>
  <si>
    <t xml:space="preserve">Mehedi Hossain</t>
  </si>
  <si>
    <t xml:space="preserve">BPBL-LN-2026-000717</t>
  </si>
  <si>
    <t xml:space="preserve">BPBL-CUS-000718</t>
  </si>
  <si>
    <t xml:space="preserve">Nazrul Das</t>
  </si>
  <si>
    <t xml:space="preserve">BPBL-LN-2026-000718</t>
  </si>
  <si>
    <t xml:space="preserve">BPBL-CUS-000719</t>
  </si>
  <si>
    <t xml:space="preserve">Saiful Biswas</t>
  </si>
  <si>
    <t xml:space="preserve">Anisur Pramanik</t>
  </si>
  <si>
    <t xml:space="preserve">BPBL-LN-2026-000719</t>
  </si>
  <si>
    <t xml:space="preserve">BPBL-CUS-000720</t>
  </si>
  <si>
    <t xml:space="preserve">Quamrul Sardar</t>
  </si>
  <si>
    <t xml:space="preserve">BPBL-LN-2026-000720</t>
  </si>
  <si>
    <t xml:space="preserve">BPBL-CUS-000721</t>
  </si>
  <si>
    <t xml:space="preserve">BPBL-LN-2026-000721</t>
  </si>
  <si>
    <t xml:space="preserve">BPBL-CUS-000722</t>
  </si>
  <si>
    <t xml:space="preserve">BPBL-LN-2026-000722</t>
  </si>
  <si>
    <t xml:space="preserve">BPBL-CUS-000723</t>
  </si>
  <si>
    <t xml:space="preserve">Beauty Talukder</t>
  </si>
  <si>
    <t xml:space="preserve">Kamal Hasan</t>
  </si>
  <si>
    <t xml:space="preserve">BPBL-LN-2026-000723</t>
  </si>
  <si>
    <t xml:space="preserve">BPBL-CUS-000724</t>
  </si>
  <si>
    <t xml:space="preserve">Mehedi Das</t>
  </si>
  <si>
    <t xml:space="preserve">BPBL-LN-2026-000724</t>
  </si>
  <si>
    <t xml:space="preserve">BPBL-CUS-000725</t>
  </si>
  <si>
    <t xml:space="preserve">Mehedi Faruqui</t>
  </si>
  <si>
    <t xml:space="preserve">BPBL-LN-2026-000725</t>
  </si>
  <si>
    <t xml:space="preserve">BPBL-CUS-000726</t>
  </si>
  <si>
    <t xml:space="preserve">Kohinoor Miah</t>
  </si>
  <si>
    <t xml:space="preserve">Shahidul Khondkar</t>
  </si>
  <si>
    <t xml:space="preserve">BPBL-LN-2026-000726</t>
  </si>
  <si>
    <t xml:space="preserve">BPBL-CUS-000727</t>
  </si>
  <si>
    <t xml:space="preserve">BPBL-LN-2026-000727</t>
  </si>
  <si>
    <t xml:space="preserve">BPBL-CUS-000728</t>
  </si>
  <si>
    <t xml:space="preserve">Arif Faruqui</t>
  </si>
  <si>
    <t xml:space="preserve">BPBL-LN-2026-000728</t>
  </si>
  <si>
    <t xml:space="preserve">BPBL-CUS-000729</t>
  </si>
  <si>
    <t xml:space="preserve">Suraiya Uddin</t>
  </si>
  <si>
    <t xml:space="preserve">Shafiqul Mia</t>
  </si>
  <si>
    <t xml:space="preserve">BPBL-LN-2026-000729</t>
  </si>
  <si>
    <t xml:space="preserve">BPBL-CUS-000730</t>
  </si>
  <si>
    <t xml:space="preserve">Rezaul Sarkar</t>
  </si>
  <si>
    <t xml:space="preserve">Emdadul Rahman</t>
  </si>
  <si>
    <t xml:space="preserve">BPBL-LN-2026-000730</t>
  </si>
  <si>
    <t xml:space="preserve">BPBL-CUS-000731</t>
  </si>
  <si>
    <t xml:space="preserve">Kulsum Hossain</t>
  </si>
  <si>
    <t xml:space="preserve">Hasan Pramanik</t>
  </si>
  <si>
    <t xml:space="preserve">BPBL-LN-2026-000731</t>
  </si>
  <si>
    <t xml:space="preserve">BPBL-CUS-000732</t>
  </si>
  <si>
    <t xml:space="preserve">Tania Khan</t>
  </si>
  <si>
    <t xml:space="preserve">BPBL-LN-2026-000732</t>
  </si>
  <si>
    <t xml:space="preserve">BPBL-CUS-000733</t>
  </si>
  <si>
    <t xml:space="preserve">Aktar Roy</t>
  </si>
  <si>
    <t xml:space="preserve">BPBL-LN-2026-000733</t>
  </si>
  <si>
    <t xml:space="preserve">BPBL-CUS-000734</t>
  </si>
  <si>
    <t xml:space="preserve">Ashraf Sikder</t>
  </si>
  <si>
    <t xml:space="preserve">Kamal Uddin</t>
  </si>
  <si>
    <t xml:space="preserve">BPBL-LN-2026-000734</t>
  </si>
  <si>
    <t xml:space="preserve">BPBL-CUS-000735</t>
  </si>
  <si>
    <t xml:space="preserve">Forhad Chowdhury</t>
  </si>
  <si>
    <t xml:space="preserve">BPBL-LN-2026-000735</t>
  </si>
  <si>
    <t xml:space="preserve">BPBL-CUS-000736</t>
  </si>
  <si>
    <t xml:space="preserve">Tahmina Gazi</t>
  </si>
  <si>
    <t xml:space="preserve">BPBL-LN-2026-000736</t>
  </si>
  <si>
    <t xml:space="preserve">BPBL-CUS-000737</t>
  </si>
  <si>
    <t xml:space="preserve">Golam Bhuiyan</t>
  </si>
  <si>
    <t xml:space="preserve">BPBL-LN-2026-000737</t>
  </si>
  <si>
    <t xml:space="preserve">BPBL-CUS-000738</t>
  </si>
  <si>
    <t xml:space="preserve">Rafiqul Sarker</t>
  </si>
  <si>
    <t xml:space="preserve">Shafin Sardar</t>
  </si>
  <si>
    <t xml:space="preserve">BPBL-LN-2026-000738</t>
  </si>
  <si>
    <t xml:space="preserve">BPBL-CUS-000739</t>
  </si>
  <si>
    <t xml:space="preserve">Habibur Rahman</t>
  </si>
  <si>
    <t xml:space="preserve">BPBL-LN-2026-000739</t>
  </si>
  <si>
    <t xml:space="preserve">BPBL-CUS-000740</t>
  </si>
  <si>
    <t xml:space="preserve">Nurul Munshi</t>
  </si>
  <si>
    <t xml:space="preserve">BPBL-LN-2026-000740</t>
  </si>
  <si>
    <t xml:space="preserve">BPBL-CUS-000741</t>
  </si>
  <si>
    <t xml:space="preserve">Riya Uddin</t>
  </si>
  <si>
    <t xml:space="preserve">Robiul Hossain</t>
  </si>
  <si>
    <t xml:space="preserve">BPBL-LN-2026-000741</t>
  </si>
  <si>
    <t xml:space="preserve">BPBL-CUS-000742</t>
  </si>
  <si>
    <t xml:space="preserve">Sathi Gazi</t>
  </si>
  <si>
    <t xml:space="preserve">BPBL-LN-2026-000742</t>
  </si>
  <si>
    <t xml:space="preserve">BPBL-CUS-000743</t>
  </si>
  <si>
    <t xml:space="preserve">Sohel Sardar</t>
  </si>
  <si>
    <t xml:space="preserve">BPBL-LN-2026-000743</t>
  </si>
  <si>
    <t xml:space="preserve">BPBL-CUS-000744</t>
  </si>
  <si>
    <t xml:space="preserve">Selim Sheikh</t>
  </si>
  <si>
    <t xml:space="preserve">BPBL-LN-2026-000744</t>
  </si>
  <si>
    <t xml:space="preserve">BPBL-CUS-000745</t>
  </si>
  <si>
    <t xml:space="preserve">Zahirul Gazi</t>
  </si>
  <si>
    <t xml:space="preserve">BPBL-LN-2026-000745</t>
  </si>
  <si>
    <t xml:space="preserve">BPBL-CUS-000746</t>
  </si>
  <si>
    <t xml:space="preserve">Liton Sikder</t>
  </si>
  <si>
    <t xml:space="preserve">BPBL-LN-2026-000746</t>
  </si>
  <si>
    <t xml:space="preserve">BPBL-CUS-000747</t>
  </si>
  <si>
    <t xml:space="preserve">Tahmina Talukder</t>
  </si>
  <si>
    <t xml:space="preserve">BPBL-LN-2026-000747</t>
  </si>
  <si>
    <t xml:space="preserve">BPBL-CUS-000748</t>
  </si>
  <si>
    <t xml:space="preserve">Salma Akand</t>
  </si>
  <si>
    <t xml:space="preserve">BPBL-LN-2026-000748</t>
  </si>
  <si>
    <t xml:space="preserve">BPBL-CUS-000749</t>
  </si>
  <si>
    <t xml:space="preserve">Shafin Sheikh</t>
  </si>
  <si>
    <t xml:space="preserve">Nurul Sardar</t>
  </si>
  <si>
    <t xml:space="preserve">BPBL-LN-2026-000749</t>
  </si>
  <si>
    <t xml:space="preserve">BPBL-CUS-000750</t>
  </si>
  <si>
    <t xml:space="preserve">Shamim Sarker</t>
  </si>
  <si>
    <t xml:space="preserve">BPBL-LN-2026-000750</t>
  </si>
  <si>
    <t xml:space="preserve">BPBL-CUS-000751</t>
  </si>
  <si>
    <t xml:space="preserve">Mamunur Saha</t>
  </si>
  <si>
    <t xml:space="preserve">BPBL-LN-2026-000751</t>
  </si>
  <si>
    <t xml:space="preserve">BPBL-CUS-000752</t>
  </si>
  <si>
    <t xml:space="preserve">Liton Alam</t>
  </si>
  <si>
    <t xml:space="preserve">BPBL-LN-2026-000752</t>
  </si>
  <si>
    <t xml:space="preserve">BPBL-CUS-000753</t>
  </si>
  <si>
    <t xml:space="preserve">Naznin Uddin</t>
  </si>
  <si>
    <t xml:space="preserve">Delwar Uddin</t>
  </si>
  <si>
    <t xml:space="preserve">BPBL-LN-2026-000753</t>
  </si>
  <si>
    <t xml:space="preserve">BPBL-CUS-000754</t>
  </si>
  <si>
    <t xml:space="preserve">BPBL-LN-2026-000754</t>
  </si>
  <si>
    <t xml:space="preserve">BPBL-CUS-000755</t>
  </si>
  <si>
    <t xml:space="preserve">Nasrin Hawlader</t>
  </si>
  <si>
    <t xml:space="preserve">BPBL-LN-2026-000755</t>
  </si>
  <si>
    <t xml:space="preserve">BPBL-CUS-000756</t>
  </si>
  <si>
    <t xml:space="preserve">Rafiqul Mondol</t>
  </si>
  <si>
    <t xml:space="preserve">Aminul Mondol</t>
  </si>
  <si>
    <t xml:space="preserve">BPBL-LN-2026-000756</t>
  </si>
  <si>
    <t xml:space="preserve">BPBL-CUS-000757</t>
  </si>
  <si>
    <t xml:space="preserve">Yasmin Mondol</t>
  </si>
  <si>
    <t xml:space="preserve">Bashir Sarker</t>
  </si>
  <si>
    <t xml:space="preserve">BPBL-LN-2026-000757</t>
  </si>
  <si>
    <t xml:space="preserve">BPBL-CUS-000758</t>
  </si>
  <si>
    <t xml:space="preserve">BPBL-LN-2026-000758</t>
  </si>
  <si>
    <t xml:space="preserve">BPBL-CUS-000759</t>
  </si>
  <si>
    <t xml:space="preserve">BPBL-LN-2026-000759</t>
  </si>
  <si>
    <t xml:space="preserve">BPBL-CUS-000760</t>
  </si>
  <si>
    <t xml:space="preserve">Rashedul Akand</t>
  </si>
  <si>
    <t xml:space="preserve">BPBL-LN-2026-000760</t>
  </si>
  <si>
    <t xml:space="preserve">BPBL-CUS-000761</t>
  </si>
  <si>
    <t xml:space="preserve">Rafiqul Islam</t>
  </si>
  <si>
    <t xml:space="preserve">BPBL-LN-2026-000761</t>
  </si>
  <si>
    <t xml:space="preserve">BPBL-CUS-000762</t>
  </si>
  <si>
    <t xml:space="preserve">Shakil Das</t>
  </si>
  <si>
    <t xml:space="preserve">BPBL-LN-2026-000762</t>
  </si>
  <si>
    <t xml:space="preserve">BPBL-CUS-000763</t>
  </si>
  <si>
    <t xml:space="preserve">Imran Akand</t>
  </si>
  <si>
    <t xml:space="preserve">BPBL-LN-2026-000763</t>
  </si>
  <si>
    <t xml:space="preserve">BPBL-CUS-000764</t>
  </si>
  <si>
    <t xml:space="preserve">Lutfun Saha</t>
  </si>
  <si>
    <t xml:space="preserve">BPBL-LN-2026-000764</t>
  </si>
  <si>
    <t xml:space="preserve">BPBL-CUS-000765</t>
  </si>
  <si>
    <t xml:space="preserve">Quamrul Biswas</t>
  </si>
  <si>
    <t xml:space="preserve">Selim Pramanik</t>
  </si>
  <si>
    <t xml:space="preserve">BPBL-LN-2026-000765</t>
  </si>
  <si>
    <t xml:space="preserve">BPBL-CUS-000766</t>
  </si>
  <si>
    <t xml:space="preserve">Arif Uddin</t>
  </si>
  <si>
    <t xml:space="preserve">BPBL-LN-2026-000766</t>
  </si>
  <si>
    <t xml:space="preserve">BPBL-CUS-000767</t>
  </si>
  <si>
    <t xml:space="preserve">Aktar Rahman</t>
  </si>
  <si>
    <t xml:space="preserve">Robiul Pramanik</t>
  </si>
  <si>
    <t xml:space="preserve">BPBL-LN-2026-000767</t>
  </si>
  <si>
    <t xml:space="preserve">BPBL-CUS-000768</t>
  </si>
  <si>
    <t xml:space="preserve">Shahnaz Sikder</t>
  </si>
  <si>
    <t xml:space="preserve">BPBL-LN-2026-000768</t>
  </si>
  <si>
    <t xml:space="preserve">BPBL-CUS-000769</t>
  </si>
  <si>
    <t xml:space="preserve">Rakib Ahmed</t>
  </si>
  <si>
    <t xml:space="preserve">Liton Sarkar</t>
  </si>
  <si>
    <t xml:space="preserve">BPBL-LN-2026-000769</t>
  </si>
  <si>
    <t xml:space="preserve">BPBL-CUS-000770</t>
  </si>
  <si>
    <t xml:space="preserve">Ayesha Alam</t>
  </si>
  <si>
    <t xml:space="preserve">Zubayer Khondkar</t>
  </si>
  <si>
    <t xml:space="preserve">BPBL-LN-2026-000770</t>
  </si>
  <si>
    <t xml:space="preserve">BPBL-CUS-000771</t>
  </si>
  <si>
    <t xml:space="preserve">Hasan Mollah</t>
  </si>
  <si>
    <t xml:space="preserve">BPBL-LN-2026-000771</t>
  </si>
  <si>
    <t xml:space="preserve">BPBL-CUS-000772</t>
  </si>
  <si>
    <t xml:space="preserve">Nurul Pramanik</t>
  </si>
  <si>
    <t xml:space="preserve">BPBL-LN-2026-000772</t>
  </si>
  <si>
    <t xml:space="preserve">BPBL-CUS-000773</t>
  </si>
  <si>
    <t xml:space="preserve">Riaz Pramanik</t>
  </si>
  <si>
    <t xml:space="preserve">BPBL-LN-2026-000773</t>
  </si>
  <si>
    <t xml:space="preserve">BPBL-CUS-000774</t>
  </si>
  <si>
    <t xml:space="preserve">Shahnaz Pramanik</t>
  </si>
  <si>
    <t xml:space="preserve">Nayeem Karim</t>
  </si>
  <si>
    <t xml:space="preserve">BPBL-LN-2026-000774</t>
  </si>
  <si>
    <t xml:space="preserve">BPBL-CUS-000775</t>
  </si>
  <si>
    <t xml:space="preserve">Kulsum Patwary</t>
  </si>
  <si>
    <t xml:space="preserve">BPBL-LN-2026-000775</t>
  </si>
  <si>
    <t xml:space="preserve">BPBL-CUS-000776</t>
  </si>
  <si>
    <t xml:space="preserve">Quamrul Roy</t>
  </si>
  <si>
    <t xml:space="preserve">BPBL-LN-2026-000776</t>
  </si>
  <si>
    <t xml:space="preserve">BPBL-CUS-000777</t>
  </si>
  <si>
    <t xml:space="preserve">Sumaiya Saha</t>
  </si>
  <si>
    <t xml:space="preserve">BPBL-LN-2026-000777</t>
  </si>
  <si>
    <t xml:space="preserve">BPBL-CUS-000778</t>
  </si>
  <si>
    <t xml:space="preserve">Naznin Sheikh</t>
  </si>
  <si>
    <t xml:space="preserve">BPBL-LN-2026-000778</t>
  </si>
  <si>
    <t xml:space="preserve">BPBL-CUS-000779</t>
  </si>
  <si>
    <t xml:space="preserve">Joya Sheikh</t>
  </si>
  <si>
    <t xml:space="preserve">BPBL-LN-2026-000779</t>
  </si>
  <si>
    <t xml:space="preserve">BPBL-CUS-000780</t>
  </si>
  <si>
    <t xml:space="preserve">Anwar Alam</t>
  </si>
  <si>
    <t xml:space="preserve">BPBL-LN-2026-000780</t>
  </si>
  <si>
    <t xml:space="preserve">BPBL-CUS-000781</t>
  </si>
  <si>
    <t xml:space="preserve">Marium Chowdhury</t>
  </si>
  <si>
    <t xml:space="preserve">Shakil Majumder</t>
  </si>
  <si>
    <t xml:space="preserve">BPBL-LN-2026-000781</t>
  </si>
  <si>
    <t xml:space="preserve">BPBL-CUS-000782</t>
  </si>
  <si>
    <t xml:space="preserve">Mahmudul Alam</t>
  </si>
  <si>
    <t xml:space="preserve">BPBL-LN-2026-000782</t>
  </si>
  <si>
    <t xml:space="preserve">BPBL-CUS-000783</t>
  </si>
  <si>
    <t xml:space="preserve">Rezaul Alam</t>
  </si>
  <si>
    <t xml:space="preserve">Anisur Saha</t>
  </si>
  <si>
    <t xml:space="preserve">BPBL-LN-2026-000783</t>
  </si>
  <si>
    <t xml:space="preserve">BPBL-CUS-000784</t>
  </si>
  <si>
    <t xml:space="preserve">Liza Munshi</t>
  </si>
  <si>
    <t xml:space="preserve">BPBL-LN-2026-000784</t>
  </si>
  <si>
    <t xml:space="preserve">BPBL-CUS-000785</t>
  </si>
  <si>
    <t xml:space="preserve">Ashraf Chowdhury</t>
  </si>
  <si>
    <t xml:space="preserve">Jasim Hossain</t>
  </si>
  <si>
    <t xml:space="preserve">BPBL-LN-2026-000785</t>
  </si>
  <si>
    <t xml:space="preserve">BPBL-CUS-000786</t>
  </si>
  <si>
    <t xml:space="preserve">Jahangir Munshi</t>
  </si>
  <si>
    <t xml:space="preserve">BPBL-LN-2026-000786</t>
  </si>
  <si>
    <t xml:space="preserve">BPBL-CUS-000787</t>
  </si>
  <si>
    <t xml:space="preserve">Asaduzzaman Akter</t>
  </si>
  <si>
    <t xml:space="preserve">BPBL-LN-2026-000787</t>
  </si>
  <si>
    <t xml:space="preserve">BPBL-CUS-000788</t>
  </si>
  <si>
    <t xml:space="preserve">Afsana Akter</t>
  </si>
  <si>
    <t xml:space="preserve">BPBL-LN-2026-000788</t>
  </si>
  <si>
    <t xml:space="preserve">BPBL-CUS-000789</t>
  </si>
  <si>
    <t xml:space="preserve">Mizanur Sarkar</t>
  </si>
  <si>
    <t xml:space="preserve">BPBL-LN-2026-000789</t>
  </si>
  <si>
    <t xml:space="preserve">BPBL-CUS-000790</t>
  </si>
  <si>
    <t xml:space="preserve">BPBL-LN-2026-000790</t>
  </si>
  <si>
    <t xml:space="preserve">BPBL-CUS-000791</t>
  </si>
  <si>
    <t xml:space="preserve">BPBL-LN-2026-000791</t>
  </si>
  <si>
    <t xml:space="preserve">BPBL-CUS-000792</t>
  </si>
  <si>
    <t xml:space="preserve">Rokeya Chowdhury</t>
  </si>
  <si>
    <t xml:space="preserve">Iqbal Ahmed</t>
  </si>
  <si>
    <t xml:space="preserve">BPBL-LN-2026-000792</t>
  </si>
  <si>
    <t xml:space="preserve">BPBL-CUS-000793</t>
  </si>
  <si>
    <t xml:space="preserve">Rabeya Howlader</t>
  </si>
  <si>
    <t xml:space="preserve">Anisur Sheikh</t>
  </si>
  <si>
    <t xml:space="preserve">BPBL-LN-2026-000793</t>
  </si>
  <si>
    <t xml:space="preserve">BPBL-CUS-000794</t>
  </si>
  <si>
    <t xml:space="preserve">Shafin Saha</t>
  </si>
  <si>
    <t xml:space="preserve">Touhidul Sarker</t>
  </si>
  <si>
    <t xml:space="preserve">BPBL-LN-2026-000794</t>
  </si>
  <si>
    <t xml:space="preserve">BPBL-CUS-000795</t>
  </si>
  <si>
    <t xml:space="preserve">Poly Das</t>
  </si>
  <si>
    <t xml:space="preserve">Zahirul Mollah</t>
  </si>
  <si>
    <t xml:space="preserve">BPBL-LN-2026-000795</t>
  </si>
  <si>
    <t xml:space="preserve">BPBL-CUS-000796</t>
  </si>
  <si>
    <t xml:space="preserve">Shakil Gazi</t>
  </si>
  <si>
    <t xml:space="preserve">Tariqul Faruqui</t>
  </si>
  <si>
    <t xml:space="preserve">BPBL-LN-2026-000796</t>
  </si>
  <si>
    <t xml:space="preserve">BPBL-CUS-000797</t>
  </si>
  <si>
    <t xml:space="preserve">Saiful Patwary</t>
  </si>
  <si>
    <t xml:space="preserve">Asaduzzaman Mia</t>
  </si>
  <si>
    <t xml:space="preserve">BPBL-LN-2026-000797</t>
  </si>
  <si>
    <t xml:space="preserve">BPBL-CUS-000798</t>
  </si>
  <si>
    <t xml:space="preserve">Tanvir Rahman</t>
  </si>
  <si>
    <t xml:space="preserve">BPBL-LN-2026-000798</t>
  </si>
  <si>
    <t xml:space="preserve">BPBL-CUS-000799</t>
  </si>
  <si>
    <t xml:space="preserve">Ekram Chowdhury</t>
  </si>
  <si>
    <t xml:space="preserve">BPBL-LN-2026-000799</t>
  </si>
  <si>
    <t xml:space="preserve">BPBL-CUS-000800</t>
  </si>
  <si>
    <t xml:space="preserve">Aktar Das</t>
  </si>
  <si>
    <t xml:space="preserve">BPBL-LN-2026-000800</t>
  </si>
  <si>
    <t xml:space="preserve">Total_Applications</t>
  </si>
  <si>
    <t xml:space="preserve">Approved_Count</t>
  </si>
  <si>
    <t xml:space="preserve">Rejected_Count</t>
  </si>
  <si>
    <t xml:space="preserve">Pending_Count</t>
  </si>
  <si>
    <t xml:space="preserve">Closed_Count</t>
  </si>
  <si>
    <t xml:space="preserve">Approval_Rate</t>
  </si>
  <si>
    <t xml:space="preserve">Total_Loan_Amount_Disbursed</t>
  </si>
  <si>
    <t xml:space="preserve">Average_Loan_Amount</t>
  </si>
  <si>
    <t xml:space="preserve">Average_Credit_Score</t>
  </si>
  <si>
    <t xml:space="preserve">Average_Interest_Rate</t>
  </si>
  <si>
    <t xml:space="preserve">Missed_Payment_Rate</t>
  </si>
  <si>
    <t xml:space="preserve">TOTAL / OVERALL</t>
  </si>
  <si>
    <t xml:space="preserve">Average_Loan_Term_Months</t>
  </si>
  <si>
    <t xml:space="preserve">Average_EMI_Amount</t>
  </si>
  <si>
    <t xml:space="preserve">Average_DTI</t>
  </si>
  <si>
    <t xml:space="preserve">Total_Count</t>
  </si>
  <si>
    <t xml:space="preserve">Pct_of_Total</t>
  </si>
  <si>
    <t xml:space="preserve">Average_Default_Probability</t>
  </si>
  <si>
    <t xml:space="preserve">Previous_Default_Rate</t>
  </si>
  <si>
    <t xml:space="preserve">Low</t>
  </si>
  <si>
    <t xml:space="preserve">Medium</t>
  </si>
  <si>
    <t xml:space="preserve">High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</si>
</sst>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\৳#,##0"/>
    <numFmt numFmtId="167" formatCode="0.00\%"/>
    <numFmt numFmtId="168" formatCode="dd\-mm\-yyyy"/>
    <numFmt numFmtId="169" formatCode="0.0%"/>
    <numFmt numFmtId="170" formatCode="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8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0"/>
    <col collapsed="false" customWidth="true" hidden="false" outlineLevel="0" max="4" min="4" style="0" width="9"/>
    <col collapsed="false" customWidth="true" hidden="false" outlineLevel="0" max="5" min="5" style="0" width="6"/>
    <col collapsed="false" customWidth="true" hidden="false" outlineLevel="0" max="6" min="6" style="0" width="13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5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24"/>
    <col collapsed="false" customWidth="true" hidden="false" outlineLevel="0" max="18" min="18" style="0" width="12"/>
    <col collapsed="false" customWidth="true" hidden="false" outlineLevel="0" max="19" min="19" style="0" width="13"/>
    <col collapsed="false" customWidth="true" hidden="false" outlineLevel="0" max="20" min="20" style="0" width="20"/>
    <col collapsed="false" customWidth="true" hidden="false" outlineLevel="0" max="21" min="21" style="0" width="16"/>
    <col collapsed="false" customWidth="true" hidden="false" outlineLevel="0" max="22" min="22" style="0" width="14"/>
    <col collapsed="false" customWidth="true" hidden="false" outlineLevel="0" max="24" min="23" style="0" width="12"/>
    <col collapsed="false" customWidth="true" hidden="false" outlineLevel="0" max="26" min="25" style="0" width="14"/>
    <col collapsed="false" customWidth="true" hidden="false" outlineLevel="0" max="27" min="27" style="0" width="15"/>
    <col collapsed="false" customWidth="true" hidden="false" outlineLevel="0" max="28" min="28" style="0" width="13"/>
    <col collapsed="false" customWidth="true" hidden="false" outlineLevel="0" max="29" min="29" style="0" width="15"/>
    <col collapsed="false" customWidth="true" hidden="false" outlineLevel="0" max="30" min="30" style="0" width="13"/>
    <col collapsed="false" customWidth="true" hidden="false" outlineLevel="0" max="31" min="31" style="0" width="14"/>
    <col collapsed="false" customWidth="true" hidden="false" outlineLevel="0" max="32" min="32" style="0" width="13"/>
    <col collapsed="false" customWidth="true" hidden="false" outlineLevel="0" max="33" min="33" style="0" width="14"/>
    <col collapsed="false" customWidth="true" hidden="false" outlineLevel="0" max="34" min="34" style="0" width="15"/>
    <col collapsed="false" customWidth="true" hidden="false" outlineLevel="0" max="35" min="35" style="0" width="11"/>
    <col collapsed="false" customWidth="true" hidden="false" outlineLevel="0" max="36" min="36" style="0" width="13"/>
    <col collapsed="false" customWidth="true" hidden="false" outlineLevel="0" max="37" min="37" style="0" width="10"/>
    <col collapsed="false" customWidth="true" hidden="false" outlineLevel="0" max="38" min="38" style="0" width="12"/>
    <col collapsed="false" customWidth="true" hidden="false" outlineLevel="0" max="40" min="39" style="0" width="13"/>
    <col collapsed="false" customWidth="true" hidden="false" outlineLevel="0" max="41" min="41" style="0" width="12"/>
    <col collapsed="false" customWidth="true" hidden="false" outlineLevel="0" max="42" min="42" style="0" width="1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customFormat="false" ht="15" hidden="false" customHeight="false" outlineLevel="0" collapsed="false">
      <c r="A2" s="2" t="s">
        <v>42</v>
      </c>
      <c r="B2" s="2" t="s">
        <v>43</v>
      </c>
      <c r="C2" s="2" t="s">
        <v>44</v>
      </c>
      <c r="D2" s="2" t="s">
        <v>45</v>
      </c>
      <c r="E2" s="3" t="n">
        <v>43</v>
      </c>
      <c r="F2" s="2" t="s">
        <v>46</v>
      </c>
      <c r="G2" s="2" t="s">
        <v>47</v>
      </c>
      <c r="H2" s="2" t="s">
        <v>48</v>
      </c>
      <c r="I2" s="4" t="n">
        <v>99000</v>
      </c>
      <c r="J2" s="2" t="s">
        <v>49</v>
      </c>
      <c r="K2" s="3" t="n">
        <v>19</v>
      </c>
      <c r="L2" s="2" t="s">
        <v>50</v>
      </c>
      <c r="M2" s="2" t="s">
        <v>51</v>
      </c>
      <c r="N2" s="2" t="s">
        <v>52</v>
      </c>
      <c r="O2" s="3" t="n">
        <v>1</v>
      </c>
      <c r="P2" s="2" t="s">
        <v>53</v>
      </c>
      <c r="Q2" s="2" t="s">
        <v>54</v>
      </c>
      <c r="R2" s="2" t="s">
        <v>55</v>
      </c>
      <c r="S2" s="2" t="s">
        <v>51</v>
      </c>
      <c r="T2" s="2" t="s">
        <v>56</v>
      </c>
      <c r="U2" s="2" t="s">
        <v>57</v>
      </c>
      <c r="V2" s="4" t="n">
        <v>4174000</v>
      </c>
      <c r="W2" s="5" t="n">
        <v>11.26</v>
      </c>
      <c r="X2" s="3" t="n">
        <v>258</v>
      </c>
      <c r="Y2" s="6" t="n">
        <v>46174</v>
      </c>
      <c r="Z2" s="6" t="n">
        <v>46183</v>
      </c>
      <c r="AA2" s="6" t="n">
        <v>46187</v>
      </c>
      <c r="AB2" s="4" t="n">
        <f aca="false">ROUND(PMT(W2/1200,X2,-V2),2)</f>
        <v>43032.51</v>
      </c>
      <c r="AC2" s="4" t="n">
        <v>4617000</v>
      </c>
      <c r="AD2" s="3" t="n">
        <v>0</v>
      </c>
      <c r="AE2" s="4" t="n">
        <v>154900</v>
      </c>
      <c r="AF2" s="4" t="n">
        <v>56100</v>
      </c>
      <c r="AG2" s="3" t="n">
        <v>21</v>
      </c>
      <c r="AH2" s="4" t="n">
        <v>63900</v>
      </c>
      <c r="AI2" s="3" t="n">
        <v>759</v>
      </c>
      <c r="AJ2" s="7" t="n">
        <f aca="false">ROUND(AB2/I2,4)</f>
        <v>0.4347</v>
      </c>
      <c r="AK2" s="2" t="str">
        <f aca="false">IF(AND(AI2&gt;=750,AJ2&lt;=0.35),"Low",IF(AND(AI2&gt;=600,AJ2&lt;=0.5),"Medium","High"))</f>
        <v>Medium</v>
      </c>
      <c r="AL2" s="3" t="n">
        <v>1</v>
      </c>
      <c r="AM2" s="2" t="s">
        <v>58</v>
      </c>
      <c r="AN2" s="2" t="s">
        <v>59</v>
      </c>
      <c r="AO2" s="2" t="s">
        <v>60</v>
      </c>
      <c r="AP2" s="7" t="n">
        <v>0.165</v>
      </c>
    </row>
    <row r="3" customFormat="false" ht="15" hidden="false" customHeight="false" outlineLevel="0" collapsed="false">
      <c r="A3" s="2" t="s">
        <v>61</v>
      </c>
      <c r="B3" s="2" t="s">
        <v>62</v>
      </c>
      <c r="C3" s="2" t="s">
        <v>63</v>
      </c>
      <c r="D3" s="2" t="s">
        <v>45</v>
      </c>
      <c r="E3" s="3" t="n">
        <v>46</v>
      </c>
      <c r="F3" s="2" t="s">
        <v>64</v>
      </c>
      <c r="G3" s="2" t="s">
        <v>65</v>
      </c>
      <c r="H3" s="2" t="s">
        <v>48</v>
      </c>
      <c r="I3" s="4" t="n">
        <v>29500</v>
      </c>
      <c r="J3" s="2" t="s">
        <v>49</v>
      </c>
      <c r="K3" s="3" t="n">
        <v>24</v>
      </c>
      <c r="L3" s="2" t="s">
        <v>66</v>
      </c>
      <c r="M3" s="2" t="s">
        <v>67</v>
      </c>
      <c r="N3" s="2" t="s">
        <v>52</v>
      </c>
      <c r="O3" s="3" t="n">
        <v>0</v>
      </c>
      <c r="P3" s="2" t="s">
        <v>68</v>
      </c>
      <c r="Q3" s="2" t="s">
        <v>69</v>
      </c>
      <c r="R3" s="2" t="s">
        <v>70</v>
      </c>
      <c r="S3" s="2" t="s">
        <v>67</v>
      </c>
      <c r="T3" s="2" t="s">
        <v>71</v>
      </c>
      <c r="U3" s="2" t="s">
        <v>72</v>
      </c>
      <c r="V3" s="4" t="n">
        <v>300000</v>
      </c>
      <c r="W3" s="5" t="n">
        <v>14.18</v>
      </c>
      <c r="X3" s="3" t="n">
        <v>54</v>
      </c>
      <c r="Y3" s="6" t="n">
        <v>46199</v>
      </c>
      <c r="Z3" s="6" t="n">
        <v>46207</v>
      </c>
      <c r="AA3" s="6" t="n">
        <v>46212</v>
      </c>
      <c r="AB3" s="4" t="n">
        <f aca="false">ROUND(PMT(W3/1200,X3,-V3),2)</f>
        <v>7546.97</v>
      </c>
      <c r="AC3" s="4" t="n">
        <v>307000</v>
      </c>
      <c r="AD3" s="3" t="n">
        <v>0</v>
      </c>
      <c r="AE3" s="4" t="n">
        <v>21500</v>
      </c>
      <c r="AF3" s="4" t="n">
        <v>12400</v>
      </c>
      <c r="AG3" s="3" t="n">
        <v>33</v>
      </c>
      <c r="AH3" s="4" t="n">
        <v>31600</v>
      </c>
      <c r="AI3" s="3" t="n">
        <v>656</v>
      </c>
      <c r="AJ3" s="7" t="n">
        <f aca="false">ROUND(AB3/I3,4)</f>
        <v>0.2558</v>
      </c>
      <c r="AK3" s="2" t="str">
        <f aca="false">IF(AND(AI3&gt;=750,AJ3&lt;=0.35),"Low",IF(AND(AI3&gt;=600,AJ3&lt;=0.5),"Medium","High"))</f>
        <v>Medium</v>
      </c>
      <c r="AL3" s="3" t="n">
        <v>1</v>
      </c>
      <c r="AM3" s="2" t="s">
        <v>58</v>
      </c>
      <c r="AN3" s="2" t="s">
        <v>59</v>
      </c>
      <c r="AO3" s="2" t="s">
        <v>60</v>
      </c>
      <c r="AP3" s="7" t="n">
        <v>0.232</v>
      </c>
    </row>
    <row r="4" customFormat="false" ht="15" hidden="false" customHeight="false" outlineLevel="0" collapsed="false">
      <c r="A4" s="2" t="s">
        <v>73</v>
      </c>
      <c r="B4" s="2" t="s">
        <v>74</v>
      </c>
      <c r="C4" s="2" t="s">
        <v>75</v>
      </c>
      <c r="D4" s="2" t="s">
        <v>45</v>
      </c>
      <c r="E4" s="3" t="n">
        <v>31</v>
      </c>
      <c r="F4" s="2" t="s">
        <v>46</v>
      </c>
      <c r="G4" s="2" t="s">
        <v>76</v>
      </c>
      <c r="H4" s="2" t="s">
        <v>77</v>
      </c>
      <c r="I4" s="4" t="n">
        <v>47500</v>
      </c>
      <c r="J4" s="2" t="s">
        <v>78</v>
      </c>
      <c r="K4" s="3" t="n">
        <v>9</v>
      </c>
      <c r="L4" s="2" t="s">
        <v>79</v>
      </c>
      <c r="M4" s="2" t="s">
        <v>80</v>
      </c>
      <c r="N4" s="2" t="s">
        <v>81</v>
      </c>
      <c r="O4" s="3" t="n">
        <v>0</v>
      </c>
      <c r="P4" s="2" t="s">
        <v>82</v>
      </c>
      <c r="Q4" s="2" t="s">
        <v>83</v>
      </c>
      <c r="R4" s="2" t="s">
        <v>80</v>
      </c>
      <c r="S4" s="2" t="s">
        <v>80</v>
      </c>
      <c r="T4" s="2" t="s">
        <v>84</v>
      </c>
      <c r="U4" s="2" t="s">
        <v>85</v>
      </c>
      <c r="V4" s="4" t="n">
        <v>116000</v>
      </c>
      <c r="W4" s="5" t="n">
        <v>10.2</v>
      </c>
      <c r="X4" s="3" t="n">
        <v>12</v>
      </c>
      <c r="Y4" s="6" t="n">
        <v>46188</v>
      </c>
      <c r="Z4" s="6" t="n">
        <v>46194</v>
      </c>
      <c r="AA4" s="6" t="n">
        <v>46196</v>
      </c>
      <c r="AB4" s="4" t="n">
        <f aca="false">ROUND(PMT(W4/1200,X4,-V4),2)</f>
        <v>10209.04</v>
      </c>
      <c r="AC4" s="4" t="n">
        <v>0</v>
      </c>
      <c r="AD4" s="3" t="n">
        <v>1</v>
      </c>
      <c r="AE4" s="4"/>
      <c r="AF4" s="4" t="n">
        <v>41100</v>
      </c>
      <c r="AG4" s="3" t="n">
        <v>43</v>
      </c>
      <c r="AH4" s="4" t="n">
        <v>21300</v>
      </c>
      <c r="AI4" s="3" t="n">
        <v>710</v>
      </c>
      <c r="AJ4" s="7" t="n">
        <f aca="false">ROUND(AB4/I4,4)</f>
        <v>0.2149</v>
      </c>
      <c r="AK4" s="2" t="str">
        <f aca="false">IF(AND(AI4&gt;=750,AJ4&lt;=0.35),"Low",IF(AND(AI4&gt;=600,AJ4&lt;=0.5),"Medium","High"))</f>
        <v>Medium</v>
      </c>
      <c r="AL4" s="3"/>
      <c r="AM4" s="2" t="s">
        <v>58</v>
      </c>
      <c r="AN4" s="2" t="s">
        <v>59</v>
      </c>
      <c r="AO4" s="2" t="s">
        <v>86</v>
      </c>
      <c r="AP4" s="7" t="n">
        <v>0.164</v>
      </c>
    </row>
    <row r="5" customFormat="false" ht="15" hidden="false" customHeight="false" outlineLevel="0" collapsed="false">
      <c r="A5" s="2" t="s">
        <v>87</v>
      </c>
      <c r="B5" s="2" t="s">
        <v>88</v>
      </c>
      <c r="C5" s="2" t="s">
        <v>89</v>
      </c>
      <c r="D5" s="2" t="s">
        <v>45</v>
      </c>
      <c r="E5" s="3" t="n">
        <v>46</v>
      </c>
      <c r="F5" s="2" t="s">
        <v>64</v>
      </c>
      <c r="G5" s="2" t="s">
        <v>90</v>
      </c>
      <c r="H5" s="2" t="s">
        <v>77</v>
      </c>
      <c r="I5" s="4" t="n">
        <v>28000</v>
      </c>
      <c r="J5" s="2" t="s">
        <v>90</v>
      </c>
      <c r="K5" s="3" t="n">
        <v>23</v>
      </c>
      <c r="L5" s="2" t="s">
        <v>91</v>
      </c>
      <c r="M5" s="2" t="s">
        <v>92</v>
      </c>
      <c r="N5" s="2" t="s">
        <v>52</v>
      </c>
      <c r="O5" s="3" t="n">
        <v>0</v>
      </c>
      <c r="P5" s="2" t="s">
        <v>93</v>
      </c>
      <c r="Q5" s="2" t="s">
        <v>94</v>
      </c>
      <c r="R5" s="2" t="s">
        <v>95</v>
      </c>
      <c r="S5" s="2" t="s">
        <v>92</v>
      </c>
      <c r="T5" s="2" t="s">
        <v>96</v>
      </c>
      <c r="U5" s="2" t="s">
        <v>97</v>
      </c>
      <c r="V5" s="4" t="n">
        <v>206000</v>
      </c>
      <c r="W5" s="5" t="n">
        <v>15.6</v>
      </c>
      <c r="X5" s="3" t="n">
        <v>30</v>
      </c>
      <c r="Y5" s="6" t="n">
        <v>46182</v>
      </c>
      <c r="Z5" s="6" t="n">
        <v>46192</v>
      </c>
      <c r="AA5" s="6" t="n">
        <v>46198</v>
      </c>
      <c r="AB5" s="4" t="n">
        <f aca="false">ROUND(PMT(W5/1200,X5,-V5),2)</f>
        <v>8336.46</v>
      </c>
      <c r="AC5" s="4" t="n">
        <v>0</v>
      </c>
      <c r="AD5" s="3" t="n">
        <v>0</v>
      </c>
      <c r="AE5" s="4" t="n">
        <v>27800</v>
      </c>
      <c r="AF5" s="4"/>
      <c r="AG5" s="3" t="n">
        <v>3</v>
      </c>
      <c r="AH5" s="4" t="n">
        <v>10100</v>
      </c>
      <c r="AI5" s="3" t="n">
        <v>719</v>
      </c>
      <c r="AJ5" s="7" t="n">
        <f aca="false">ROUND(AB5/I5,4)</f>
        <v>0.2977</v>
      </c>
      <c r="AK5" s="2" t="str">
        <f aca="false">IF(AND(AI5&gt;=750,AJ5&lt;=0.35),"Low",IF(AND(AI5&gt;=600,AJ5&lt;=0.5),"Medium","High"))</f>
        <v>Medium</v>
      </c>
      <c r="AL5" s="3" t="n">
        <v>1</v>
      </c>
      <c r="AM5" s="2" t="s">
        <v>58</v>
      </c>
      <c r="AN5" s="2" t="s">
        <v>59</v>
      </c>
      <c r="AO5" s="2" t="s">
        <v>60</v>
      </c>
      <c r="AP5" s="7" t="n">
        <v>0.234</v>
      </c>
    </row>
    <row r="6" customFormat="false" ht="15" hidden="false" customHeight="false" outlineLevel="0" collapsed="false">
      <c r="A6" s="2" t="s">
        <v>98</v>
      </c>
      <c r="B6" s="2" t="s">
        <v>99</v>
      </c>
      <c r="C6" s="2" t="s">
        <v>100</v>
      </c>
      <c r="D6" s="2" t="s">
        <v>45</v>
      </c>
      <c r="E6" s="3" t="n">
        <v>44</v>
      </c>
      <c r="F6" s="2" t="s">
        <v>64</v>
      </c>
      <c r="G6" s="2" t="s">
        <v>47</v>
      </c>
      <c r="H6" s="2" t="s">
        <v>101</v>
      </c>
      <c r="I6" s="4" t="n">
        <v>166500</v>
      </c>
      <c r="J6" s="2" t="s">
        <v>49</v>
      </c>
      <c r="K6" s="3" t="n">
        <v>20</v>
      </c>
      <c r="L6" s="2" t="s">
        <v>67</v>
      </c>
      <c r="M6" s="2" t="s">
        <v>67</v>
      </c>
      <c r="N6" s="2" t="s">
        <v>102</v>
      </c>
      <c r="O6" s="3" t="n">
        <v>2</v>
      </c>
      <c r="P6" s="2" t="s">
        <v>103</v>
      </c>
      <c r="Q6" s="2" t="s">
        <v>104</v>
      </c>
      <c r="R6" s="2" t="s">
        <v>67</v>
      </c>
      <c r="S6" s="2" t="s">
        <v>67</v>
      </c>
      <c r="T6" s="2" t="s">
        <v>105</v>
      </c>
      <c r="U6" s="2" t="s">
        <v>97</v>
      </c>
      <c r="V6" s="4" t="n">
        <v>1500000</v>
      </c>
      <c r="W6" s="5" t="n">
        <v>13.27</v>
      </c>
      <c r="X6" s="3" t="n">
        <v>24</v>
      </c>
      <c r="Y6" s="6" t="n">
        <v>46198</v>
      </c>
      <c r="Z6" s="6" t="n">
        <v>46200</v>
      </c>
      <c r="AA6" s="6" t="n">
        <v>46202</v>
      </c>
      <c r="AB6" s="4" t="n">
        <f aca="false">ROUND(PMT(W6/1200,X6,-V6),2)</f>
        <v>71503.11</v>
      </c>
      <c r="AC6" s="4" t="n">
        <v>0</v>
      </c>
      <c r="AD6" s="3" t="n">
        <v>0</v>
      </c>
      <c r="AE6" s="4" t="n">
        <v>600300</v>
      </c>
      <c r="AF6" s="4" t="n">
        <v>201800</v>
      </c>
      <c r="AG6" s="3" t="n">
        <v>46</v>
      </c>
      <c r="AH6" s="4" t="n">
        <v>65900</v>
      </c>
      <c r="AI6" s="3" t="n">
        <v>615</v>
      </c>
      <c r="AJ6" s="7" t="n">
        <f aca="false">ROUND(AB6/I6,4)</f>
        <v>0.4294</v>
      </c>
      <c r="AK6" s="2" t="str">
        <f aca="false">IF(AND(AI6&gt;=750,AJ6&lt;=0.35),"Low",IF(AND(AI6&gt;=600,AJ6&lt;=0.5),"Medium","High"))</f>
        <v>Medium</v>
      </c>
      <c r="AL6" s="3" t="n">
        <v>0</v>
      </c>
      <c r="AM6" s="2" t="s">
        <v>58</v>
      </c>
      <c r="AN6" s="2" t="s">
        <v>59</v>
      </c>
      <c r="AO6" s="2" t="s">
        <v>60</v>
      </c>
      <c r="AP6" s="7" t="n">
        <v>0.334</v>
      </c>
    </row>
    <row r="7" customFormat="false" ht="15" hidden="false" customHeight="false" outlineLevel="0" collapsed="false">
      <c r="A7" s="2" t="s">
        <v>106</v>
      </c>
      <c r="B7" s="2" t="s">
        <v>107</v>
      </c>
      <c r="C7" s="2" t="s">
        <v>108</v>
      </c>
      <c r="D7" s="2" t="s">
        <v>109</v>
      </c>
      <c r="E7" s="3" t="n">
        <v>48</v>
      </c>
      <c r="F7" s="2" t="s">
        <v>46</v>
      </c>
      <c r="G7" s="2" t="s">
        <v>110</v>
      </c>
      <c r="H7" s="2" t="s">
        <v>111</v>
      </c>
      <c r="I7" s="4" t="n">
        <v>15000</v>
      </c>
      <c r="J7" s="2" t="s">
        <v>112</v>
      </c>
      <c r="K7" s="3" t="n">
        <v>20</v>
      </c>
      <c r="L7" s="2" t="s">
        <v>113</v>
      </c>
      <c r="M7" s="2" t="s">
        <v>114</v>
      </c>
      <c r="N7" s="2" t="s">
        <v>81</v>
      </c>
      <c r="O7" s="3" t="n">
        <v>0</v>
      </c>
      <c r="P7" s="2" t="s">
        <v>115</v>
      </c>
      <c r="Q7" s="2" t="s">
        <v>116</v>
      </c>
      <c r="R7" s="2" t="s">
        <v>114</v>
      </c>
      <c r="S7" s="2" t="s">
        <v>114</v>
      </c>
      <c r="T7" s="2" t="s">
        <v>117</v>
      </c>
      <c r="U7" s="2" t="s">
        <v>118</v>
      </c>
      <c r="V7" s="4" t="n">
        <v>100000</v>
      </c>
      <c r="W7" s="5" t="n">
        <v>8.41</v>
      </c>
      <c r="X7" s="3" t="n">
        <v>12</v>
      </c>
      <c r="Y7" s="6" t="n">
        <v>46179</v>
      </c>
      <c r="Z7" s="6" t="n">
        <v>46184</v>
      </c>
      <c r="AA7" s="6" t="n">
        <v>46189</v>
      </c>
      <c r="AB7" s="4" t="n">
        <f aca="false">ROUND(PMT(W7/1200,X7,-V7),2)</f>
        <v>8717.81</v>
      </c>
      <c r="AC7" s="4" t="n">
        <v>0</v>
      </c>
      <c r="AD7" s="3" t="n">
        <v>1</v>
      </c>
      <c r="AE7" s="4" t="n">
        <v>34200</v>
      </c>
      <c r="AF7" s="4" t="n">
        <v>18900</v>
      </c>
      <c r="AG7" s="3" t="n">
        <v>42</v>
      </c>
      <c r="AH7" s="4" t="n">
        <v>7500</v>
      </c>
      <c r="AI7" s="3" t="n">
        <v>467</v>
      </c>
      <c r="AJ7" s="7" t="n">
        <f aca="false">ROUND(AB7/I7,4)</f>
        <v>0.5812</v>
      </c>
      <c r="AK7" s="2" t="str">
        <f aca="false">IF(AND(AI7&gt;=750,AJ7&lt;=0.35),"Low",IF(AND(AI7&gt;=600,AJ7&lt;=0.5),"Medium","High"))</f>
        <v>High</v>
      </c>
      <c r="AL7" s="3" t="n">
        <v>0</v>
      </c>
      <c r="AM7" s="2" t="s">
        <v>58</v>
      </c>
      <c r="AN7" s="2" t="s">
        <v>119</v>
      </c>
      <c r="AO7" s="2" t="s">
        <v>60</v>
      </c>
      <c r="AP7" s="7" t="n">
        <v>0.38</v>
      </c>
    </row>
    <row r="8" customFormat="false" ht="15" hidden="false" customHeight="false" outlineLevel="0" collapsed="false">
      <c r="A8" s="2" t="s">
        <v>120</v>
      </c>
      <c r="B8" s="2" t="s">
        <v>121</v>
      </c>
      <c r="C8" s="2" t="s">
        <v>122</v>
      </c>
      <c r="D8" s="2" t="s">
        <v>45</v>
      </c>
      <c r="E8" s="3" t="n">
        <v>54</v>
      </c>
      <c r="F8" s="2" t="s">
        <v>64</v>
      </c>
      <c r="G8" s="2" t="s">
        <v>90</v>
      </c>
      <c r="H8" s="2" t="s">
        <v>123</v>
      </c>
      <c r="I8" s="4" t="n">
        <v>20000</v>
      </c>
      <c r="J8" s="2" t="s">
        <v>90</v>
      </c>
      <c r="K8" s="3" t="n">
        <v>28</v>
      </c>
      <c r="L8" s="2" t="s">
        <v>95</v>
      </c>
      <c r="M8" s="2" t="s">
        <v>92</v>
      </c>
      <c r="N8" s="2"/>
      <c r="O8" s="3" t="n">
        <v>1</v>
      </c>
      <c r="P8" s="2" t="s">
        <v>124</v>
      </c>
      <c r="Q8" s="2" t="s">
        <v>125</v>
      </c>
      <c r="R8" s="2" t="s">
        <v>91</v>
      </c>
      <c r="S8" s="2" t="s">
        <v>92</v>
      </c>
      <c r="T8" s="2" t="s">
        <v>126</v>
      </c>
      <c r="U8" s="2" t="s">
        <v>85</v>
      </c>
      <c r="V8" s="4" t="n">
        <v>195000</v>
      </c>
      <c r="W8" s="5" t="n">
        <v>10.01</v>
      </c>
      <c r="X8" s="3" t="n">
        <v>24</v>
      </c>
      <c r="Y8" s="6" t="n">
        <v>46200</v>
      </c>
      <c r="Z8" s="6"/>
      <c r="AA8" s="6"/>
      <c r="AB8" s="4" t="n">
        <f aca="false">ROUND(PMT(W8/1200,X8,-V8),2)</f>
        <v>8999.16</v>
      </c>
      <c r="AC8" s="4" t="n">
        <v>0</v>
      </c>
      <c r="AD8" s="3" t="n">
        <v>0</v>
      </c>
      <c r="AE8" s="4" t="n">
        <v>26000</v>
      </c>
      <c r="AF8" s="4" t="n">
        <v>8200</v>
      </c>
      <c r="AG8" s="3"/>
      <c r="AH8" s="4" t="n">
        <v>19100</v>
      </c>
      <c r="AI8" s="3" t="n">
        <v>769</v>
      </c>
      <c r="AJ8" s="7" t="n">
        <f aca="false">ROUND(AB8/I8,4)</f>
        <v>0.45</v>
      </c>
      <c r="AK8" s="2" t="str">
        <f aca="false">IF(AND(AI8&gt;=750,AJ8&lt;=0.35),"Low",IF(AND(AI8&gt;=600,AJ8&lt;=0.5),"Medium","High"))</f>
        <v>Medium</v>
      </c>
      <c r="AL8" s="3" t="n">
        <v>2</v>
      </c>
      <c r="AM8" s="2" t="s">
        <v>58</v>
      </c>
      <c r="AN8" s="2"/>
      <c r="AO8" s="2" t="s">
        <v>127</v>
      </c>
      <c r="AP8" s="7" t="n">
        <v>0.161</v>
      </c>
    </row>
    <row r="9" customFormat="false" ht="15" hidden="false" customHeight="false" outlineLevel="0" collapsed="false">
      <c r="A9" s="2" t="s">
        <v>128</v>
      </c>
      <c r="B9" s="2" t="s">
        <v>129</v>
      </c>
      <c r="C9" s="2" t="s">
        <v>130</v>
      </c>
      <c r="D9" s="2" t="s">
        <v>109</v>
      </c>
      <c r="E9" s="3" t="n">
        <v>21</v>
      </c>
      <c r="F9" s="2" t="s">
        <v>64</v>
      </c>
      <c r="G9" s="2" t="s">
        <v>110</v>
      </c>
      <c r="H9" s="2" t="s">
        <v>48</v>
      </c>
      <c r="I9" s="4" t="n">
        <v>19000</v>
      </c>
      <c r="J9" s="2" t="s">
        <v>112</v>
      </c>
      <c r="K9" s="3" t="n">
        <v>0</v>
      </c>
      <c r="L9" s="2" t="s">
        <v>55</v>
      </c>
      <c r="M9" s="2" t="s">
        <v>51</v>
      </c>
      <c r="N9" s="2" t="s">
        <v>52</v>
      </c>
      <c r="O9" s="3" t="n">
        <v>1</v>
      </c>
      <c r="P9" s="2" t="s">
        <v>131</v>
      </c>
      <c r="Q9" s="2" t="s">
        <v>132</v>
      </c>
      <c r="R9" s="2" t="s">
        <v>51</v>
      </c>
      <c r="S9" s="2" t="s">
        <v>51</v>
      </c>
      <c r="T9" s="2" t="s">
        <v>133</v>
      </c>
      <c r="U9" s="2" t="s">
        <v>72</v>
      </c>
      <c r="V9" s="4" t="n">
        <v>359000</v>
      </c>
      <c r="W9" s="5" t="n">
        <v>16.38</v>
      </c>
      <c r="X9" s="3" t="n">
        <v>84</v>
      </c>
      <c r="Y9" s="6" t="n">
        <v>46180</v>
      </c>
      <c r="Z9" s="6"/>
      <c r="AA9" s="6"/>
      <c r="AB9" s="4" t="n">
        <f aca="false">ROUND(PMT(W9/1200,X9,-V9),2)</f>
        <v>7208.4</v>
      </c>
      <c r="AC9" s="4" t="n">
        <v>404000</v>
      </c>
      <c r="AD9" s="3" t="n">
        <v>0</v>
      </c>
      <c r="AE9" s="4" t="n">
        <v>28400</v>
      </c>
      <c r="AF9" s="4" t="n">
        <v>3400</v>
      </c>
      <c r="AG9" s="3" t="n">
        <v>27</v>
      </c>
      <c r="AH9" s="4" t="n">
        <v>15000</v>
      </c>
      <c r="AI9" s="3" t="n">
        <v>691</v>
      </c>
      <c r="AJ9" s="7" t="n">
        <f aca="false">ROUND(AB9/I9,4)</f>
        <v>0.3794</v>
      </c>
      <c r="AK9" s="2" t="str">
        <f aca="false">IF(AND(AI9&gt;=750,AJ9&lt;=0.35),"Low",IF(AND(AI9&gt;=600,AJ9&lt;=0.5),"Medium","High"))</f>
        <v>Medium</v>
      </c>
      <c r="AL9" s="3" t="n">
        <v>2</v>
      </c>
      <c r="AM9" s="2" t="s">
        <v>58</v>
      </c>
      <c r="AN9" s="2"/>
      <c r="AO9" s="2" t="s">
        <v>134</v>
      </c>
      <c r="AP9" s="7" t="n">
        <v>0.183</v>
      </c>
    </row>
    <row r="10" customFormat="false" ht="15" hidden="false" customHeight="false" outlineLevel="0" collapsed="false">
      <c r="A10" s="2" t="s">
        <v>135</v>
      </c>
      <c r="B10" s="2" t="s">
        <v>136</v>
      </c>
      <c r="C10" s="2" t="s">
        <v>137</v>
      </c>
      <c r="D10" s="2" t="s">
        <v>109</v>
      </c>
      <c r="E10" s="3" t="n">
        <v>30</v>
      </c>
      <c r="F10" s="2" t="s">
        <v>64</v>
      </c>
      <c r="G10" s="2" t="s">
        <v>76</v>
      </c>
      <c r="H10" s="2" t="s">
        <v>77</v>
      </c>
      <c r="I10" s="4" t="n">
        <v>33000</v>
      </c>
      <c r="J10" s="2" t="s">
        <v>78</v>
      </c>
      <c r="K10" s="3" t="n">
        <v>3</v>
      </c>
      <c r="L10" s="2" t="s">
        <v>138</v>
      </c>
      <c r="M10" s="2" t="s">
        <v>139</v>
      </c>
      <c r="N10" s="2" t="s">
        <v>140</v>
      </c>
      <c r="O10" s="3" t="n">
        <v>2</v>
      </c>
      <c r="P10" s="2" t="s">
        <v>115</v>
      </c>
      <c r="Q10" s="2" t="s">
        <v>116</v>
      </c>
      <c r="R10" s="2" t="s">
        <v>114</v>
      </c>
      <c r="S10" s="2" t="s">
        <v>114</v>
      </c>
      <c r="T10" s="2" t="s">
        <v>141</v>
      </c>
      <c r="U10" s="2" t="s">
        <v>97</v>
      </c>
      <c r="V10" s="4" t="n">
        <v>389000</v>
      </c>
      <c r="W10" s="5" t="n">
        <v>14.78</v>
      </c>
      <c r="X10" s="3" t="n">
        <v>48</v>
      </c>
      <c r="Y10" s="6" t="n">
        <v>46175</v>
      </c>
      <c r="Z10" s="6" t="n">
        <v>46176</v>
      </c>
      <c r="AA10" s="6" t="n">
        <v>46179</v>
      </c>
      <c r="AB10" s="4" t="n">
        <f aca="false">ROUND(PMT(W10/1200,X10,-V10),2)</f>
        <v>10782.83</v>
      </c>
      <c r="AC10" s="4" t="n">
        <v>0</v>
      </c>
      <c r="AD10" s="3" t="n">
        <v>0</v>
      </c>
      <c r="AE10" s="4" t="n">
        <v>59000</v>
      </c>
      <c r="AF10" s="4" t="n">
        <v>24600</v>
      </c>
      <c r="AG10" s="3" t="n">
        <v>15</v>
      </c>
      <c r="AH10" s="4" t="n">
        <v>26600</v>
      </c>
      <c r="AI10" s="3" t="n">
        <v>734</v>
      </c>
      <c r="AJ10" s="7" t="n">
        <f aca="false">ROUND(AB10/I10,4)</f>
        <v>0.3268</v>
      </c>
      <c r="AK10" s="2" t="str">
        <f aca="false">IF(AND(AI10&gt;=750,AJ10&lt;=0.35),"Low",IF(AND(AI10&gt;=600,AJ10&lt;=0.5),"Medium","High"))</f>
        <v>Medium</v>
      </c>
      <c r="AL10" s="3" t="n">
        <v>0</v>
      </c>
      <c r="AM10" s="2" t="s">
        <v>58</v>
      </c>
      <c r="AN10" s="2" t="s">
        <v>59</v>
      </c>
      <c r="AO10" s="2" t="s">
        <v>60</v>
      </c>
      <c r="AP10" s="7" t="n">
        <v>0.224</v>
      </c>
    </row>
    <row r="11" customFormat="false" ht="15" hidden="false" customHeight="false" outlineLevel="0" collapsed="false">
      <c r="A11" s="2" t="s">
        <v>142</v>
      </c>
      <c r="B11" s="2" t="s">
        <v>143</v>
      </c>
      <c r="C11" s="2" t="s">
        <v>144</v>
      </c>
      <c r="D11" s="2" t="s">
        <v>45</v>
      </c>
      <c r="E11" s="3" t="n">
        <v>28</v>
      </c>
      <c r="F11" s="2" t="s">
        <v>64</v>
      </c>
      <c r="G11" s="2" t="s">
        <v>145</v>
      </c>
      <c r="H11" s="2" t="s">
        <v>111</v>
      </c>
      <c r="I11" s="4" t="n">
        <v>23500</v>
      </c>
      <c r="J11" s="2" t="s">
        <v>145</v>
      </c>
      <c r="K11" s="3" t="n">
        <v>6</v>
      </c>
      <c r="L11" s="2" t="s">
        <v>146</v>
      </c>
      <c r="M11" s="2" t="s">
        <v>147</v>
      </c>
      <c r="N11" s="2" t="s">
        <v>52</v>
      </c>
      <c r="O11" s="3" t="n">
        <v>2</v>
      </c>
      <c r="P11" s="2" t="s">
        <v>148</v>
      </c>
      <c r="Q11" s="2" t="s">
        <v>149</v>
      </c>
      <c r="R11" s="2" t="s">
        <v>147</v>
      </c>
      <c r="S11" s="2" t="s">
        <v>147</v>
      </c>
      <c r="T11" s="2" t="s">
        <v>150</v>
      </c>
      <c r="U11" s="2" t="s">
        <v>118</v>
      </c>
      <c r="V11" s="4" t="n">
        <v>254000</v>
      </c>
      <c r="W11" s="5" t="n">
        <v>8.63</v>
      </c>
      <c r="X11" s="3" t="n">
        <v>30</v>
      </c>
      <c r="Y11" s="6" t="n">
        <v>46175</v>
      </c>
      <c r="Z11" s="6" t="n">
        <v>46177</v>
      </c>
      <c r="AA11" s="6" t="n">
        <v>46178</v>
      </c>
      <c r="AB11" s="4" t="n">
        <f aca="false">ROUND(PMT(W11/1200,X11,-V11),2)</f>
        <v>9443.12</v>
      </c>
      <c r="AC11" s="4" t="n">
        <v>0</v>
      </c>
      <c r="AD11" s="3" t="n">
        <v>0</v>
      </c>
      <c r="AE11" s="4" t="n">
        <v>68600</v>
      </c>
      <c r="AF11" s="4" t="n">
        <v>20100</v>
      </c>
      <c r="AG11" s="3" t="n">
        <v>34</v>
      </c>
      <c r="AH11" s="4" t="n">
        <v>24700</v>
      </c>
      <c r="AI11" s="3" t="n">
        <v>861</v>
      </c>
      <c r="AJ11" s="7" t="n">
        <f aca="false">ROUND(AB11/I11,4)</f>
        <v>0.4018</v>
      </c>
      <c r="AK11" s="2" t="str">
        <f aca="false">IF(AND(AI11&gt;=750,AJ11&lt;=0.35),"Low",IF(AND(AI11&gt;=600,AJ11&lt;=0.5),"Medium","High"))</f>
        <v>Medium</v>
      </c>
      <c r="AL11" s="3" t="n">
        <v>0</v>
      </c>
      <c r="AM11" s="2" t="s">
        <v>58</v>
      </c>
      <c r="AN11" s="2" t="s">
        <v>59</v>
      </c>
      <c r="AO11" s="2" t="s">
        <v>86</v>
      </c>
      <c r="AP11" s="7" t="n">
        <v>0.033</v>
      </c>
    </row>
    <row r="12" customFormat="false" ht="15" hidden="false" customHeight="false" outlineLevel="0" collapsed="false">
      <c r="A12" s="2" t="s">
        <v>151</v>
      </c>
      <c r="B12" s="2" t="s">
        <v>152</v>
      </c>
      <c r="C12" s="2" t="s">
        <v>153</v>
      </c>
      <c r="D12" s="2" t="s">
        <v>45</v>
      </c>
      <c r="E12" s="3" t="n">
        <v>33</v>
      </c>
      <c r="F12" s="2" t="s">
        <v>64</v>
      </c>
      <c r="G12" s="2" t="s">
        <v>154</v>
      </c>
      <c r="H12" s="2"/>
      <c r="I12" s="4" t="n">
        <v>23000</v>
      </c>
      <c r="J12" s="2" t="s">
        <v>145</v>
      </c>
      <c r="K12" s="3" t="n">
        <v>8</v>
      </c>
      <c r="L12" s="2" t="s">
        <v>147</v>
      </c>
      <c r="M12" s="2" t="s">
        <v>147</v>
      </c>
      <c r="N12" s="2" t="s">
        <v>52</v>
      </c>
      <c r="O12" s="3" t="n">
        <v>0</v>
      </c>
      <c r="P12" s="2" t="s">
        <v>148</v>
      </c>
      <c r="Q12" s="2" t="s">
        <v>149</v>
      </c>
      <c r="R12" s="2" t="s">
        <v>147</v>
      </c>
      <c r="S12" s="2" t="s">
        <v>147</v>
      </c>
      <c r="T12" s="2" t="s">
        <v>155</v>
      </c>
      <c r="U12" s="2" t="s">
        <v>85</v>
      </c>
      <c r="V12" s="4" t="n">
        <v>51000</v>
      </c>
      <c r="W12" s="5" t="n">
        <v>8.01</v>
      </c>
      <c r="X12" s="3" t="n">
        <v>6</v>
      </c>
      <c r="Y12" s="6" t="n">
        <v>46176</v>
      </c>
      <c r="Z12" s="6"/>
      <c r="AA12" s="6"/>
      <c r="AB12" s="4" t="n">
        <f aca="false">ROUND(PMT(W12/1200,X12,-V12),2)</f>
        <v>8699.68</v>
      </c>
      <c r="AC12" s="4" t="n">
        <v>0</v>
      </c>
      <c r="AD12" s="3" t="n">
        <v>2</v>
      </c>
      <c r="AE12" s="4" t="n">
        <v>39600</v>
      </c>
      <c r="AF12" s="4" t="n">
        <v>18300</v>
      </c>
      <c r="AG12" s="3" t="n">
        <v>44</v>
      </c>
      <c r="AH12" s="4" t="n">
        <v>23400</v>
      </c>
      <c r="AI12" s="3" t="n">
        <v>786</v>
      </c>
      <c r="AJ12" s="7" t="n">
        <f aca="false">ROUND(AB12/I12,4)</f>
        <v>0.3782</v>
      </c>
      <c r="AK12" s="2" t="str">
        <f aca="false">IF(AND(AI12&gt;=750,AJ12&lt;=0.35),"Low",IF(AND(AI12&gt;=600,AJ12&lt;=0.5),"Medium","High"))</f>
        <v>Medium</v>
      </c>
      <c r="AL12" s="3"/>
      <c r="AM12" s="2" t="s">
        <v>58</v>
      </c>
      <c r="AN12" s="2"/>
      <c r="AO12" s="2" t="s">
        <v>134</v>
      </c>
      <c r="AP12" s="7" t="n">
        <v>0.101</v>
      </c>
    </row>
    <row r="13" customFormat="false" ht="15" hidden="false" customHeight="false" outlineLevel="0" collapsed="false">
      <c r="A13" s="2" t="s">
        <v>156</v>
      </c>
      <c r="B13" s="2" t="s">
        <v>157</v>
      </c>
      <c r="C13" s="2" t="s">
        <v>158</v>
      </c>
      <c r="D13" s="2" t="s">
        <v>45</v>
      </c>
      <c r="E13" s="3" t="n">
        <v>40</v>
      </c>
      <c r="F13" s="2" t="s">
        <v>64</v>
      </c>
      <c r="G13" s="2" t="s">
        <v>145</v>
      </c>
      <c r="H13" s="2"/>
      <c r="I13" s="4" t="n">
        <v>54500</v>
      </c>
      <c r="J13" s="2" t="s">
        <v>145</v>
      </c>
      <c r="K13" s="3" t="n">
        <v>15</v>
      </c>
      <c r="L13" s="2" t="s">
        <v>159</v>
      </c>
      <c r="M13" s="2" t="s">
        <v>159</v>
      </c>
      <c r="N13" s="2" t="s">
        <v>140</v>
      </c>
      <c r="O13" s="3" t="n">
        <v>1</v>
      </c>
      <c r="P13" s="2" t="s">
        <v>160</v>
      </c>
      <c r="Q13" s="2" t="s">
        <v>161</v>
      </c>
      <c r="R13" s="2" t="s">
        <v>159</v>
      </c>
      <c r="S13" s="2" t="s">
        <v>159</v>
      </c>
      <c r="T13" s="2" t="s">
        <v>162</v>
      </c>
      <c r="U13" s="2" t="s">
        <v>72</v>
      </c>
      <c r="V13" s="4" t="n">
        <v>1026000</v>
      </c>
      <c r="W13" s="5" t="n">
        <v>11.87</v>
      </c>
      <c r="X13" s="3" t="n">
        <v>60</v>
      </c>
      <c r="Y13" s="6" t="n">
        <v>46195</v>
      </c>
      <c r="Z13" s="6"/>
      <c r="AA13" s="6"/>
      <c r="AB13" s="4" t="n">
        <f aca="false">ROUND(PMT(W13/1200,X13,-V13),2)</f>
        <v>22755.46</v>
      </c>
      <c r="AC13" s="4" t="n">
        <v>1029000</v>
      </c>
      <c r="AD13" s="3" t="n">
        <v>0</v>
      </c>
      <c r="AE13" s="4" t="n">
        <v>159200</v>
      </c>
      <c r="AF13" s="4" t="n">
        <v>67800</v>
      </c>
      <c r="AG13" s="3" t="n">
        <v>10</v>
      </c>
      <c r="AH13" s="4" t="n">
        <v>26100</v>
      </c>
      <c r="AI13" s="3" t="n">
        <v>753</v>
      </c>
      <c r="AJ13" s="7" t="n">
        <f aca="false">ROUND(AB13/I13,4)</f>
        <v>0.4175</v>
      </c>
      <c r="AK13" s="2" t="str">
        <f aca="false">IF(AND(AI13&gt;=750,AJ13&lt;=0.35),"Low",IF(AND(AI13&gt;=600,AJ13&lt;=0.5),"Medium","High"))</f>
        <v>Medium</v>
      </c>
      <c r="AL13" s="3" t="n">
        <v>0</v>
      </c>
      <c r="AM13" s="2" t="s">
        <v>58</v>
      </c>
      <c r="AN13" s="2"/>
      <c r="AO13" s="2" t="s">
        <v>127</v>
      </c>
      <c r="AP13" s="7" t="n">
        <v>0.182</v>
      </c>
    </row>
    <row r="14" customFormat="false" ht="15" hidden="false" customHeight="false" outlineLevel="0" collapsed="false">
      <c r="A14" s="2" t="s">
        <v>163</v>
      </c>
      <c r="B14" s="2" t="s">
        <v>164</v>
      </c>
      <c r="C14" s="2" t="s">
        <v>165</v>
      </c>
      <c r="D14" s="2" t="s">
        <v>45</v>
      </c>
      <c r="E14" s="3" t="n">
        <v>68</v>
      </c>
      <c r="F14" s="2" t="s">
        <v>64</v>
      </c>
      <c r="G14" s="2" t="s">
        <v>166</v>
      </c>
      <c r="H14" s="2" t="s">
        <v>167</v>
      </c>
      <c r="I14" s="4" t="n">
        <v>239500</v>
      </c>
      <c r="J14" s="2" t="s">
        <v>145</v>
      </c>
      <c r="K14" s="3" t="n">
        <v>7</v>
      </c>
      <c r="L14" s="2" t="s">
        <v>168</v>
      </c>
      <c r="M14" s="2" t="s">
        <v>92</v>
      </c>
      <c r="N14" s="2" t="s">
        <v>102</v>
      </c>
      <c r="O14" s="3" t="n">
        <v>2</v>
      </c>
      <c r="P14" s="2" t="s">
        <v>169</v>
      </c>
      <c r="Q14" s="2" t="s">
        <v>170</v>
      </c>
      <c r="R14" s="2" t="s">
        <v>92</v>
      </c>
      <c r="S14" s="2" t="s">
        <v>92</v>
      </c>
      <c r="T14" s="2" t="s">
        <v>171</v>
      </c>
      <c r="U14" s="2" t="s">
        <v>97</v>
      </c>
      <c r="V14" s="4" t="n">
        <v>1500000</v>
      </c>
      <c r="W14" s="5" t="n">
        <v>12.7</v>
      </c>
      <c r="X14" s="3" t="n">
        <v>60</v>
      </c>
      <c r="Y14" s="6" t="n">
        <v>46193</v>
      </c>
      <c r="Z14" s="6" t="n">
        <v>46197</v>
      </c>
      <c r="AA14" s="6" t="n">
        <v>46201</v>
      </c>
      <c r="AB14" s="4" t="n">
        <f aca="false">ROUND(PMT(W14/1200,X14,-V14),2)</f>
        <v>33899.69</v>
      </c>
      <c r="AC14" s="4" t="n">
        <v>0</v>
      </c>
      <c r="AD14" s="3" t="n">
        <v>2</v>
      </c>
      <c r="AE14" s="4" t="n">
        <v>648800</v>
      </c>
      <c r="AF14" s="4" t="n">
        <v>322700</v>
      </c>
      <c r="AG14" s="3" t="n">
        <v>24</v>
      </c>
      <c r="AH14" s="4" t="n">
        <v>168200</v>
      </c>
      <c r="AI14" s="3" t="n">
        <v>707</v>
      </c>
      <c r="AJ14" s="7" t="n">
        <f aca="false">ROUND(AB14/I14,4)</f>
        <v>0.1415</v>
      </c>
      <c r="AK14" s="2" t="str">
        <f aca="false">IF(AND(AI14&gt;=750,AJ14&lt;=0.35),"Low",IF(AND(AI14&gt;=600,AJ14&lt;=0.5),"Medium","High"))</f>
        <v>Medium</v>
      </c>
      <c r="AL14" s="3" t="n">
        <v>0</v>
      </c>
      <c r="AM14" s="2" t="s">
        <v>58</v>
      </c>
      <c r="AN14" s="2" t="s">
        <v>59</v>
      </c>
      <c r="AO14" s="2" t="s">
        <v>60</v>
      </c>
      <c r="AP14" s="7" t="n">
        <v>0.252</v>
      </c>
    </row>
    <row r="15" customFormat="false" ht="15" hidden="false" customHeight="false" outlineLevel="0" collapsed="false">
      <c r="A15" s="2" t="s">
        <v>172</v>
      </c>
      <c r="B15" s="2" t="s">
        <v>173</v>
      </c>
      <c r="C15" s="2" t="s">
        <v>174</v>
      </c>
      <c r="D15" s="2" t="s">
        <v>45</v>
      </c>
      <c r="E15" s="3" t="n">
        <v>35</v>
      </c>
      <c r="F15" s="2" t="s">
        <v>175</v>
      </c>
      <c r="G15" s="2" t="s">
        <v>176</v>
      </c>
      <c r="H15" s="2" t="s">
        <v>48</v>
      </c>
      <c r="I15" s="4" t="n">
        <v>182000</v>
      </c>
      <c r="J15" s="2" t="s">
        <v>177</v>
      </c>
      <c r="K15" s="3" t="n">
        <v>11</v>
      </c>
      <c r="L15" s="2" t="s">
        <v>178</v>
      </c>
      <c r="M15" s="2" t="s">
        <v>92</v>
      </c>
      <c r="N15" s="2" t="s">
        <v>52</v>
      </c>
      <c r="O15" s="3" t="n">
        <v>0</v>
      </c>
      <c r="P15" s="2" t="s">
        <v>93</v>
      </c>
      <c r="Q15" s="2" t="s">
        <v>94</v>
      </c>
      <c r="R15" s="2" t="s">
        <v>95</v>
      </c>
      <c r="S15" s="2" t="s">
        <v>92</v>
      </c>
      <c r="T15" s="2" t="s">
        <v>179</v>
      </c>
      <c r="U15" s="2" t="s">
        <v>180</v>
      </c>
      <c r="V15" s="4" t="n">
        <v>2788000</v>
      </c>
      <c r="W15" s="5" t="n">
        <v>13.11</v>
      </c>
      <c r="X15" s="3" t="n">
        <v>72</v>
      </c>
      <c r="Y15" s="6" t="n">
        <v>46188</v>
      </c>
      <c r="Z15" s="6" t="n">
        <v>46190</v>
      </c>
      <c r="AA15" s="6" t="n">
        <v>46191</v>
      </c>
      <c r="AB15" s="4" t="n">
        <f aca="false">ROUND(PMT(W15/1200,X15,-V15),2)</f>
        <v>56128.6</v>
      </c>
      <c r="AC15" s="4" t="n">
        <v>4063000</v>
      </c>
      <c r="AD15" s="3" t="n">
        <v>1</v>
      </c>
      <c r="AE15" s="4" t="n">
        <v>706800</v>
      </c>
      <c r="AF15" s="4" t="n">
        <v>411200</v>
      </c>
      <c r="AG15" s="3" t="n">
        <v>38</v>
      </c>
      <c r="AH15" s="4" t="n">
        <v>178800</v>
      </c>
      <c r="AI15" s="3" t="n">
        <v>759</v>
      </c>
      <c r="AJ15" s="7" t="n">
        <f aca="false">ROUND(AB15/I15,4)</f>
        <v>0.3084</v>
      </c>
      <c r="AK15" s="2" t="str">
        <f aca="false">IF(AND(AI15&gt;=750,AJ15&lt;=0.35),"Low",IF(AND(AI15&gt;=600,AJ15&lt;=0.5),"Medium","High"))</f>
        <v>Low</v>
      </c>
      <c r="AL15" s="3" t="n">
        <v>0</v>
      </c>
      <c r="AM15" s="2" t="s">
        <v>58</v>
      </c>
      <c r="AN15" s="2" t="s">
        <v>59</v>
      </c>
      <c r="AO15" s="2" t="s">
        <v>60</v>
      </c>
      <c r="AP15" s="7" t="n">
        <v>0.164</v>
      </c>
    </row>
    <row r="16" customFormat="false" ht="15" hidden="false" customHeight="false" outlineLevel="0" collapsed="false">
      <c r="A16" s="2" t="s">
        <v>181</v>
      </c>
      <c r="B16" s="2" t="s">
        <v>182</v>
      </c>
      <c r="C16" s="2" t="s">
        <v>183</v>
      </c>
      <c r="D16" s="2" t="s">
        <v>45</v>
      </c>
      <c r="E16" s="3" t="n">
        <v>28</v>
      </c>
      <c r="F16" s="2" t="s">
        <v>64</v>
      </c>
      <c r="G16" s="2" t="s">
        <v>176</v>
      </c>
      <c r="H16" s="2" t="s">
        <v>77</v>
      </c>
      <c r="I16" s="4" t="n">
        <v>37000</v>
      </c>
      <c r="J16" s="2" t="s">
        <v>177</v>
      </c>
      <c r="K16" s="3" t="n">
        <v>5</v>
      </c>
      <c r="L16" s="2" t="s">
        <v>147</v>
      </c>
      <c r="M16" s="2" t="s">
        <v>147</v>
      </c>
      <c r="N16" s="2" t="s">
        <v>81</v>
      </c>
      <c r="O16" s="3" t="n">
        <v>2</v>
      </c>
      <c r="P16" s="2" t="s">
        <v>148</v>
      </c>
      <c r="Q16" s="2" t="s">
        <v>149</v>
      </c>
      <c r="R16" s="2" t="s">
        <v>147</v>
      </c>
      <c r="S16" s="2" t="s">
        <v>147</v>
      </c>
      <c r="T16" s="2" t="s">
        <v>184</v>
      </c>
      <c r="U16" s="2" t="s">
        <v>72</v>
      </c>
      <c r="V16" s="4" t="n">
        <v>654000</v>
      </c>
      <c r="W16" s="5" t="n">
        <v>14.35</v>
      </c>
      <c r="X16" s="3" t="n">
        <v>72</v>
      </c>
      <c r="Y16" s="6" t="n">
        <v>46199</v>
      </c>
      <c r="Z16" s="6"/>
      <c r="AA16" s="6"/>
      <c r="AB16" s="4" t="n">
        <f aca="false">ROUND(PMT(W16/1200,X16,-V16),2)</f>
        <v>13599.03</v>
      </c>
      <c r="AC16" s="4" t="n">
        <v>896000</v>
      </c>
      <c r="AD16" s="3" t="n">
        <v>2</v>
      </c>
      <c r="AE16" s="4" t="n">
        <v>65100</v>
      </c>
      <c r="AF16" s="4"/>
      <c r="AG16" s="3" t="n">
        <v>42</v>
      </c>
      <c r="AH16" s="4" t="n">
        <v>35100</v>
      </c>
      <c r="AI16" s="3" t="n">
        <v>596</v>
      </c>
      <c r="AJ16" s="7" t="n">
        <f aca="false">ROUND(AB16/I16,4)</f>
        <v>0.3675</v>
      </c>
      <c r="AK16" s="2" t="str">
        <f aca="false">IF(AND(AI16&gt;=750,AJ16&lt;=0.35),"Low",IF(AND(AI16&gt;=600,AJ16&lt;=0.5),"Medium","High"))</f>
        <v>High</v>
      </c>
      <c r="AL16" s="3" t="n">
        <v>2</v>
      </c>
      <c r="AM16" s="2" t="s">
        <v>58</v>
      </c>
      <c r="AN16" s="2"/>
      <c r="AO16" s="2" t="s">
        <v>127</v>
      </c>
      <c r="AP16" s="7" t="n">
        <v>0.391</v>
      </c>
    </row>
    <row r="17" customFormat="false" ht="15" hidden="false" customHeight="false" outlineLevel="0" collapsed="false">
      <c r="A17" s="2" t="s">
        <v>185</v>
      </c>
      <c r="B17" s="2" t="s">
        <v>186</v>
      </c>
      <c r="C17" s="2" t="s">
        <v>187</v>
      </c>
      <c r="D17" s="2" t="s">
        <v>45</v>
      </c>
      <c r="E17" s="3" t="n">
        <v>41</v>
      </c>
      <c r="F17" s="2" t="s">
        <v>64</v>
      </c>
      <c r="G17" s="2" t="s">
        <v>176</v>
      </c>
      <c r="H17" s="2" t="s">
        <v>48</v>
      </c>
      <c r="I17" s="4" t="n">
        <v>94500</v>
      </c>
      <c r="J17" s="2" t="s">
        <v>177</v>
      </c>
      <c r="K17" s="3" t="n">
        <v>18</v>
      </c>
      <c r="L17" s="2" t="s">
        <v>188</v>
      </c>
      <c r="M17" s="2" t="s">
        <v>51</v>
      </c>
      <c r="N17" s="2" t="s">
        <v>52</v>
      </c>
      <c r="O17" s="3" t="n">
        <v>3</v>
      </c>
      <c r="P17" s="2" t="s">
        <v>189</v>
      </c>
      <c r="Q17" s="2" t="s">
        <v>190</v>
      </c>
      <c r="R17" s="2" t="s">
        <v>188</v>
      </c>
      <c r="S17" s="2" t="s">
        <v>51</v>
      </c>
      <c r="T17" s="2" t="s">
        <v>191</v>
      </c>
      <c r="U17" s="2" t="s">
        <v>192</v>
      </c>
      <c r="V17" s="4" t="n">
        <v>534000</v>
      </c>
      <c r="W17" s="5" t="n">
        <v>11.88</v>
      </c>
      <c r="X17" s="3" t="n">
        <v>18</v>
      </c>
      <c r="Y17" s="6" t="n">
        <v>46189</v>
      </c>
      <c r="Z17" s="6" t="n">
        <v>46190</v>
      </c>
      <c r="AA17" s="6" t="n">
        <v>46191</v>
      </c>
      <c r="AB17" s="4" t="n">
        <f aca="false">ROUND(PMT(W17/1200,X17,-V17),2)</f>
        <v>32534.65</v>
      </c>
      <c r="AC17" s="4" t="n">
        <v>688000</v>
      </c>
      <c r="AD17" s="3" t="n">
        <v>1</v>
      </c>
      <c r="AE17" s="4" t="n">
        <v>226700</v>
      </c>
      <c r="AF17" s="4" t="n">
        <v>55100</v>
      </c>
      <c r="AG17" s="3" t="n">
        <v>20</v>
      </c>
      <c r="AH17" s="4"/>
      <c r="AI17" s="3" t="n">
        <v>750</v>
      </c>
      <c r="AJ17" s="7" t="n">
        <f aca="false">ROUND(AB17/I17,4)</f>
        <v>0.3443</v>
      </c>
      <c r="AK17" s="2" t="str">
        <f aca="false">IF(AND(AI17&gt;=750,AJ17&lt;=0.35),"Low",IF(AND(AI17&gt;=600,AJ17&lt;=0.5),"Medium","High"))</f>
        <v>Low</v>
      </c>
      <c r="AL17" s="3" t="n">
        <v>0</v>
      </c>
      <c r="AM17" s="2" t="s">
        <v>58</v>
      </c>
      <c r="AN17" s="2" t="s">
        <v>59</v>
      </c>
      <c r="AO17" s="2" t="s">
        <v>60</v>
      </c>
      <c r="AP17" s="7" t="n">
        <v>0.176</v>
      </c>
    </row>
    <row r="18" customFormat="false" ht="15" hidden="false" customHeight="false" outlineLevel="0" collapsed="false">
      <c r="A18" s="2" t="s">
        <v>193</v>
      </c>
      <c r="B18" s="2" t="s">
        <v>194</v>
      </c>
      <c r="C18" s="2" t="s">
        <v>195</v>
      </c>
      <c r="D18" s="2" t="s">
        <v>45</v>
      </c>
      <c r="E18" s="3" t="n">
        <v>32</v>
      </c>
      <c r="F18" s="2"/>
      <c r="G18" s="2"/>
      <c r="H18" s="2" t="s">
        <v>167</v>
      </c>
      <c r="I18" s="4" t="n">
        <v>287000</v>
      </c>
      <c r="J18" s="2" t="s">
        <v>145</v>
      </c>
      <c r="K18" s="3" t="n">
        <v>14</v>
      </c>
      <c r="L18" s="2" t="s">
        <v>196</v>
      </c>
      <c r="M18" s="2" t="s">
        <v>139</v>
      </c>
      <c r="N18" s="2" t="s">
        <v>52</v>
      </c>
      <c r="O18" s="3" t="n">
        <v>0</v>
      </c>
      <c r="P18" s="2" t="s">
        <v>197</v>
      </c>
      <c r="Q18" s="2" t="s">
        <v>198</v>
      </c>
      <c r="R18" s="2" t="s">
        <v>139</v>
      </c>
      <c r="S18" s="2" t="s">
        <v>139</v>
      </c>
      <c r="T18" s="2" t="s">
        <v>199</v>
      </c>
      <c r="U18" s="2" t="s">
        <v>85</v>
      </c>
      <c r="V18" s="4" t="n">
        <v>800000</v>
      </c>
      <c r="W18" s="5" t="n">
        <v>7.38</v>
      </c>
      <c r="X18" s="3" t="n">
        <v>24</v>
      </c>
      <c r="Y18" s="6" t="n">
        <v>46191</v>
      </c>
      <c r="Z18" s="6" t="n">
        <v>46197</v>
      </c>
      <c r="AA18" s="6" t="n">
        <v>46202</v>
      </c>
      <c r="AB18" s="4" t="n">
        <f aca="false">ROUND(PMT(W18/1200,X18,-V18),2)</f>
        <v>35956.04</v>
      </c>
      <c r="AC18" s="4" t="n">
        <v>0</v>
      </c>
      <c r="AD18" s="3" t="n">
        <v>1</v>
      </c>
      <c r="AE18" s="4" t="n">
        <v>872900</v>
      </c>
      <c r="AF18" s="4" t="n">
        <v>513200</v>
      </c>
      <c r="AG18" s="3" t="n">
        <v>36</v>
      </c>
      <c r="AH18" s="4" t="n">
        <v>204600</v>
      </c>
      <c r="AI18" s="3" t="n">
        <v>811</v>
      </c>
      <c r="AJ18" s="7" t="n">
        <f aca="false">ROUND(AB18/I18,4)</f>
        <v>0.1253</v>
      </c>
      <c r="AK18" s="2" t="str">
        <f aca="false">IF(AND(AI18&gt;=750,AJ18&lt;=0.35),"Low",IF(AND(AI18&gt;=600,AJ18&lt;=0.5),"Medium","High"))</f>
        <v>Low</v>
      </c>
      <c r="AL18" s="3" t="n">
        <v>0</v>
      </c>
      <c r="AM18" s="2" t="s">
        <v>58</v>
      </c>
      <c r="AN18" s="2" t="s">
        <v>59</v>
      </c>
      <c r="AO18" s="2" t="s">
        <v>60</v>
      </c>
      <c r="AP18" s="7" t="n">
        <v>0.207</v>
      </c>
    </row>
    <row r="19" customFormat="false" ht="15" hidden="false" customHeight="false" outlineLevel="0" collapsed="false">
      <c r="A19" s="2" t="s">
        <v>200</v>
      </c>
      <c r="B19" s="2" t="s">
        <v>201</v>
      </c>
      <c r="C19" s="2" t="s">
        <v>202</v>
      </c>
      <c r="D19" s="2" t="s">
        <v>45</v>
      </c>
      <c r="E19" s="3" t="n">
        <v>49</v>
      </c>
      <c r="F19" s="2" t="s">
        <v>64</v>
      </c>
      <c r="G19" s="2" t="s">
        <v>76</v>
      </c>
      <c r="H19" s="2" t="s">
        <v>101</v>
      </c>
      <c r="I19" s="4" t="n">
        <v>55000</v>
      </c>
      <c r="J19" s="2" t="s">
        <v>78</v>
      </c>
      <c r="K19" s="3" t="n">
        <v>24</v>
      </c>
      <c r="L19" s="2" t="s">
        <v>168</v>
      </c>
      <c r="M19" s="2" t="s">
        <v>92</v>
      </c>
      <c r="N19" s="2"/>
      <c r="O19" s="3" t="n">
        <v>1</v>
      </c>
      <c r="P19" s="2" t="s">
        <v>197</v>
      </c>
      <c r="Q19" s="2" t="s">
        <v>198</v>
      </c>
      <c r="R19" s="2" t="s">
        <v>139</v>
      </c>
      <c r="S19" s="2" t="s">
        <v>139</v>
      </c>
      <c r="T19" s="2" t="s">
        <v>203</v>
      </c>
      <c r="U19" s="2" t="s">
        <v>57</v>
      </c>
      <c r="V19" s="4" t="n">
        <v>1566000</v>
      </c>
      <c r="W19" s="5" t="n">
        <v>8.8</v>
      </c>
      <c r="X19" s="3" t="n">
        <v>96</v>
      </c>
      <c r="Y19" s="6" t="n">
        <v>46199</v>
      </c>
      <c r="Z19" s="6"/>
      <c r="AA19" s="6"/>
      <c r="AB19" s="4" t="n">
        <f aca="false">ROUND(PMT(W19/1200,X19,-V19),2)</f>
        <v>22780.07</v>
      </c>
      <c r="AC19" s="4" t="n">
        <v>1762000</v>
      </c>
      <c r="AD19" s="3" t="n">
        <v>0</v>
      </c>
      <c r="AE19" s="4" t="n">
        <v>154600</v>
      </c>
      <c r="AF19" s="4" t="n">
        <v>37100</v>
      </c>
      <c r="AG19" s="3" t="n">
        <v>33</v>
      </c>
      <c r="AH19" s="4" t="n">
        <v>58500</v>
      </c>
      <c r="AI19" s="3" t="n">
        <v>786</v>
      </c>
      <c r="AJ19" s="7" t="n">
        <f aca="false">ROUND(AB19/I19,4)</f>
        <v>0.4142</v>
      </c>
      <c r="AK19" s="2" t="str">
        <f aca="false">IF(AND(AI19&gt;=750,AJ19&lt;=0.35),"Low",IF(AND(AI19&gt;=600,AJ19&lt;=0.5),"Medium","High"))</f>
        <v>Medium</v>
      </c>
      <c r="AL19" s="3" t="n">
        <v>0</v>
      </c>
      <c r="AM19" s="2" t="s">
        <v>58</v>
      </c>
      <c r="AN19" s="2"/>
      <c r="AO19" s="2" t="s">
        <v>127</v>
      </c>
      <c r="AP19" s="7" t="n">
        <v>0.215</v>
      </c>
    </row>
    <row r="20" customFormat="false" ht="15" hidden="false" customHeight="false" outlineLevel="0" collapsed="false">
      <c r="A20" s="2" t="s">
        <v>204</v>
      </c>
      <c r="B20" s="2" t="s">
        <v>205</v>
      </c>
      <c r="C20" s="2" t="s">
        <v>206</v>
      </c>
      <c r="D20" s="2" t="s">
        <v>45</v>
      </c>
      <c r="E20" s="3" t="n">
        <v>42</v>
      </c>
      <c r="F20" s="2" t="s">
        <v>46</v>
      </c>
      <c r="G20" s="2" t="s">
        <v>207</v>
      </c>
      <c r="H20" s="2" t="s">
        <v>77</v>
      </c>
      <c r="I20" s="4" t="n">
        <v>73500</v>
      </c>
      <c r="J20" s="2" t="s">
        <v>49</v>
      </c>
      <c r="K20" s="3" t="n">
        <v>16</v>
      </c>
      <c r="L20" s="2" t="s">
        <v>208</v>
      </c>
      <c r="M20" s="2" t="s">
        <v>114</v>
      </c>
      <c r="N20" s="2" t="s">
        <v>52</v>
      </c>
      <c r="O20" s="3" t="n">
        <v>0</v>
      </c>
      <c r="P20" s="2" t="s">
        <v>209</v>
      </c>
      <c r="Q20" s="2" t="s">
        <v>210</v>
      </c>
      <c r="R20" s="2" t="s">
        <v>211</v>
      </c>
      <c r="S20" s="2" t="s">
        <v>147</v>
      </c>
      <c r="T20" s="2" t="s">
        <v>212</v>
      </c>
      <c r="U20" s="2" t="s">
        <v>85</v>
      </c>
      <c r="V20" s="4" t="n">
        <v>85000</v>
      </c>
      <c r="W20" s="5" t="n">
        <v>7.92</v>
      </c>
      <c r="X20" s="3" t="n">
        <v>6</v>
      </c>
      <c r="Y20" s="6" t="n">
        <v>46200</v>
      </c>
      <c r="Z20" s="6"/>
      <c r="AA20" s="6"/>
      <c r="AB20" s="4" t="n">
        <f aca="false">ROUND(PMT(W20/1200,X20,-V20),2)</f>
        <v>14495.71</v>
      </c>
      <c r="AC20" s="4" t="n">
        <v>0</v>
      </c>
      <c r="AD20" s="3" t="n">
        <v>0</v>
      </c>
      <c r="AE20" s="4" t="n">
        <v>61900</v>
      </c>
      <c r="AF20" s="4" t="n">
        <v>21400</v>
      </c>
      <c r="AG20" s="3" t="n">
        <v>54</v>
      </c>
      <c r="AH20" s="4" t="n">
        <v>49900</v>
      </c>
      <c r="AI20" s="3" t="n">
        <v>670</v>
      </c>
      <c r="AJ20" s="7" t="n">
        <f aca="false">ROUND(AB20/I20,4)</f>
        <v>0.1972</v>
      </c>
      <c r="AK20" s="2" t="str">
        <f aca="false">IF(AND(AI20&gt;=750,AJ20&lt;=0.35),"Low",IF(AND(AI20&gt;=600,AJ20&lt;=0.5),"Medium","High"))</f>
        <v>Medium</v>
      </c>
      <c r="AL20" s="3" t="n">
        <v>1</v>
      </c>
      <c r="AM20" s="2" t="s">
        <v>58</v>
      </c>
      <c r="AN20" s="2"/>
      <c r="AO20" s="2" t="s">
        <v>127</v>
      </c>
      <c r="AP20" s="7" t="n">
        <v>0.256</v>
      </c>
    </row>
    <row r="21" customFormat="false" ht="15" hidden="false" customHeight="false" outlineLevel="0" collapsed="false">
      <c r="A21" s="2" t="s">
        <v>213</v>
      </c>
      <c r="B21" s="2" t="s">
        <v>214</v>
      </c>
      <c r="C21" s="2" t="s">
        <v>215</v>
      </c>
      <c r="D21" s="2" t="s">
        <v>45</v>
      </c>
      <c r="E21" s="3" t="n">
        <v>35</v>
      </c>
      <c r="F21" s="2"/>
      <c r="G21" s="2" t="s">
        <v>166</v>
      </c>
      <c r="H21" s="2" t="s">
        <v>167</v>
      </c>
      <c r="I21" s="4" t="n">
        <v>139000</v>
      </c>
      <c r="J21" s="2" t="s">
        <v>145</v>
      </c>
      <c r="K21" s="3" t="n">
        <v>12</v>
      </c>
      <c r="L21" s="2" t="s">
        <v>113</v>
      </c>
      <c r="M21" s="2" t="s">
        <v>114</v>
      </c>
      <c r="N21" s="2" t="s">
        <v>52</v>
      </c>
      <c r="O21" s="3" t="n">
        <v>2</v>
      </c>
      <c r="P21" s="2" t="s">
        <v>115</v>
      </c>
      <c r="Q21" s="2" t="s">
        <v>116</v>
      </c>
      <c r="R21" s="2" t="s">
        <v>114</v>
      </c>
      <c r="S21" s="2" t="s">
        <v>114</v>
      </c>
      <c r="T21" s="2" t="s">
        <v>216</v>
      </c>
      <c r="U21" s="2" t="s">
        <v>85</v>
      </c>
      <c r="V21" s="4" t="n">
        <v>449000</v>
      </c>
      <c r="W21" s="5" t="n">
        <v>9.66</v>
      </c>
      <c r="X21" s="3" t="n">
        <v>24</v>
      </c>
      <c r="Y21" s="6" t="n">
        <v>46182</v>
      </c>
      <c r="Z21" s="6" t="n">
        <v>46192</v>
      </c>
      <c r="AA21" s="6" t="n">
        <v>46196</v>
      </c>
      <c r="AB21" s="4" t="n">
        <f aca="false">ROUND(PMT(W21/1200,X21,-V21),2)</f>
        <v>20648.68</v>
      </c>
      <c r="AC21" s="4" t="n">
        <v>0</v>
      </c>
      <c r="AD21" s="3" t="n">
        <v>0</v>
      </c>
      <c r="AE21" s="4" t="n">
        <v>354500</v>
      </c>
      <c r="AF21" s="4" t="n">
        <v>202100</v>
      </c>
      <c r="AG21" s="3" t="n">
        <v>28</v>
      </c>
      <c r="AH21" s="4" t="n">
        <v>105700</v>
      </c>
      <c r="AI21" s="3" t="n">
        <v>862</v>
      </c>
      <c r="AJ21" s="7" t="n">
        <f aca="false">ROUND(AB21/I21,4)</f>
        <v>0.1486</v>
      </c>
      <c r="AK21" s="2" t="str">
        <f aca="false">IF(AND(AI21&gt;=750,AJ21&lt;=0.35),"Low",IF(AND(AI21&gt;=600,AJ21&lt;=0.5),"Medium","High"))</f>
        <v>Low</v>
      </c>
      <c r="AL21" s="3" t="n">
        <v>0</v>
      </c>
      <c r="AM21" s="2" t="s">
        <v>58</v>
      </c>
      <c r="AN21" s="2" t="s">
        <v>59</v>
      </c>
      <c r="AO21" s="2" t="s">
        <v>60</v>
      </c>
      <c r="AP21" s="7" t="n">
        <v>0.067</v>
      </c>
    </row>
    <row r="22" customFormat="false" ht="15" hidden="false" customHeight="false" outlineLevel="0" collapsed="false">
      <c r="A22" s="2" t="s">
        <v>217</v>
      </c>
      <c r="B22" s="2" t="s">
        <v>218</v>
      </c>
      <c r="C22" s="2" t="s">
        <v>219</v>
      </c>
      <c r="D22" s="2" t="s">
        <v>45</v>
      </c>
      <c r="E22" s="3" t="n">
        <v>55</v>
      </c>
      <c r="F22" s="2" t="s">
        <v>64</v>
      </c>
      <c r="G22" s="2" t="s">
        <v>166</v>
      </c>
      <c r="H22" s="2" t="s">
        <v>167</v>
      </c>
      <c r="I22" s="4" t="n">
        <v>171000</v>
      </c>
      <c r="J22" s="2" t="s">
        <v>145</v>
      </c>
      <c r="K22" s="3" t="n">
        <v>32</v>
      </c>
      <c r="L22" s="2" t="s">
        <v>220</v>
      </c>
      <c r="M22" s="2" t="s">
        <v>51</v>
      </c>
      <c r="N22" s="2" t="s">
        <v>140</v>
      </c>
      <c r="O22" s="3" t="n">
        <v>3</v>
      </c>
      <c r="P22" s="2" t="s">
        <v>131</v>
      </c>
      <c r="Q22" s="2" t="s">
        <v>132</v>
      </c>
      <c r="R22" s="2" t="s">
        <v>51</v>
      </c>
      <c r="S22" s="2" t="s">
        <v>51</v>
      </c>
      <c r="T22" s="2" t="s">
        <v>221</v>
      </c>
      <c r="U22" s="2" t="s">
        <v>85</v>
      </c>
      <c r="V22" s="4" t="n">
        <v>699000</v>
      </c>
      <c r="W22" s="5" t="n">
        <v>9.99</v>
      </c>
      <c r="X22" s="3" t="n">
        <v>12</v>
      </c>
      <c r="Y22" s="6" t="n">
        <v>46193</v>
      </c>
      <c r="Z22" s="6" t="n">
        <v>46195</v>
      </c>
      <c r="AA22" s="6" t="n">
        <v>46201</v>
      </c>
      <c r="AB22" s="4" t="n">
        <f aca="false">ROUND(PMT(W22/1200,X22,-V22),2)</f>
        <v>61449.95</v>
      </c>
      <c r="AC22" s="4" t="n">
        <v>0</v>
      </c>
      <c r="AD22" s="3" t="n">
        <v>2</v>
      </c>
      <c r="AE22" s="4" t="n">
        <v>461900</v>
      </c>
      <c r="AF22" s="4" t="n">
        <v>248800</v>
      </c>
      <c r="AG22" s="3" t="n">
        <v>18</v>
      </c>
      <c r="AH22" s="4" t="n">
        <v>151900</v>
      </c>
      <c r="AI22" s="3" t="n">
        <v>681</v>
      </c>
      <c r="AJ22" s="7" t="n">
        <f aca="false">ROUND(AB22/I22,4)</f>
        <v>0.3594</v>
      </c>
      <c r="AK22" s="2" t="str">
        <f aca="false">IF(AND(AI22&gt;=750,AJ22&lt;=0.35),"Low",IF(AND(AI22&gt;=600,AJ22&lt;=0.5),"Medium","High"))</f>
        <v>Medium</v>
      </c>
      <c r="AL22" s="3" t="n">
        <v>2</v>
      </c>
      <c r="AM22" s="2" t="s">
        <v>58</v>
      </c>
      <c r="AN22" s="2" t="s">
        <v>119</v>
      </c>
      <c r="AO22" s="2" t="s">
        <v>60</v>
      </c>
      <c r="AP22" s="7" t="n">
        <v>0.284</v>
      </c>
    </row>
    <row r="23" customFormat="false" ht="15" hidden="false" customHeight="false" outlineLevel="0" collapsed="false">
      <c r="A23" s="2" t="s">
        <v>222</v>
      </c>
      <c r="B23" s="2" t="s">
        <v>223</v>
      </c>
      <c r="C23" s="2" t="s">
        <v>224</v>
      </c>
      <c r="D23" s="2" t="s">
        <v>45</v>
      </c>
      <c r="E23" s="3" t="n">
        <v>31</v>
      </c>
      <c r="F23" s="2" t="s">
        <v>64</v>
      </c>
      <c r="G23" s="2" t="s">
        <v>90</v>
      </c>
      <c r="H23" s="2" t="s">
        <v>77</v>
      </c>
      <c r="I23" s="4" t="n">
        <v>28000</v>
      </c>
      <c r="J23" s="2" t="s">
        <v>90</v>
      </c>
      <c r="K23" s="3" t="n">
        <v>6</v>
      </c>
      <c r="L23" s="2" t="s">
        <v>139</v>
      </c>
      <c r="M23" s="2" t="s">
        <v>139</v>
      </c>
      <c r="N23" s="2" t="s">
        <v>140</v>
      </c>
      <c r="O23" s="3" t="n">
        <v>0</v>
      </c>
      <c r="P23" s="2" t="s">
        <v>197</v>
      </c>
      <c r="Q23" s="2" t="s">
        <v>198</v>
      </c>
      <c r="R23" s="2" t="s">
        <v>139</v>
      </c>
      <c r="S23" s="2" t="s">
        <v>139</v>
      </c>
      <c r="T23" s="2" t="s">
        <v>225</v>
      </c>
      <c r="U23" s="2" t="s">
        <v>97</v>
      </c>
      <c r="V23" s="4" t="n">
        <v>269000</v>
      </c>
      <c r="W23" s="5" t="n">
        <v>15.88</v>
      </c>
      <c r="X23" s="3" t="n">
        <v>54</v>
      </c>
      <c r="Y23" s="6" t="n">
        <v>46187</v>
      </c>
      <c r="Z23" s="6" t="n">
        <v>46197</v>
      </c>
      <c r="AA23" s="6" t="n">
        <v>46203</v>
      </c>
      <c r="AB23" s="4" t="n">
        <f aca="false">ROUND(PMT(W23/1200,X23,-V23),2)</f>
        <v>7003.1</v>
      </c>
      <c r="AC23" s="4" t="n">
        <v>0</v>
      </c>
      <c r="AD23" s="3" t="n">
        <v>3</v>
      </c>
      <c r="AE23" s="4" t="n">
        <v>87900</v>
      </c>
      <c r="AF23" s="4" t="n">
        <v>13300</v>
      </c>
      <c r="AG23" s="3" t="n">
        <v>21</v>
      </c>
      <c r="AH23" s="4" t="n">
        <v>28600</v>
      </c>
      <c r="AI23" s="3" t="n">
        <v>811</v>
      </c>
      <c r="AJ23" s="7" t="n">
        <f aca="false">ROUND(AB23/I23,4)</f>
        <v>0.2501</v>
      </c>
      <c r="AK23" s="2" t="str">
        <f aca="false">IF(AND(AI23&gt;=750,AJ23&lt;=0.35),"Low",IF(AND(AI23&gt;=600,AJ23&lt;=0.5),"Medium","High"))</f>
        <v>Low</v>
      </c>
      <c r="AL23" s="3" t="n">
        <v>0</v>
      </c>
      <c r="AM23" s="2" t="s">
        <v>58</v>
      </c>
      <c r="AN23" s="2" t="s">
        <v>59</v>
      </c>
      <c r="AO23" s="2" t="s">
        <v>86</v>
      </c>
      <c r="AP23" s="7" t="n">
        <v>0.184</v>
      </c>
    </row>
    <row r="24" customFormat="false" ht="15" hidden="false" customHeight="false" outlineLevel="0" collapsed="false">
      <c r="A24" s="2" t="s">
        <v>226</v>
      </c>
      <c r="B24" s="2" t="s">
        <v>227</v>
      </c>
      <c r="C24" s="2" t="s">
        <v>228</v>
      </c>
      <c r="D24" s="2" t="s">
        <v>109</v>
      </c>
      <c r="E24" s="3" t="n">
        <v>52</v>
      </c>
      <c r="F24" s="2" t="s">
        <v>64</v>
      </c>
      <c r="G24" s="2" t="s">
        <v>47</v>
      </c>
      <c r="H24" s="2" t="s">
        <v>48</v>
      </c>
      <c r="I24" s="4" t="n">
        <v>116000</v>
      </c>
      <c r="J24" s="2" t="s">
        <v>49</v>
      </c>
      <c r="K24" s="3" t="n">
        <v>29</v>
      </c>
      <c r="L24" s="2" t="s">
        <v>95</v>
      </c>
      <c r="M24" s="2" t="s">
        <v>92</v>
      </c>
      <c r="N24" s="2" t="s">
        <v>52</v>
      </c>
      <c r="O24" s="3" t="n">
        <v>2</v>
      </c>
      <c r="P24" s="2" t="s">
        <v>229</v>
      </c>
      <c r="Q24" s="2" t="s">
        <v>230</v>
      </c>
      <c r="R24" s="2" t="s">
        <v>231</v>
      </c>
      <c r="S24" s="2" t="s">
        <v>92</v>
      </c>
      <c r="T24" s="2" t="s">
        <v>232</v>
      </c>
      <c r="U24" s="2" t="s">
        <v>57</v>
      </c>
      <c r="V24" s="4" t="n">
        <v>3767000</v>
      </c>
      <c r="W24" s="5" t="n">
        <v>9.31</v>
      </c>
      <c r="X24" s="3" t="n">
        <v>222</v>
      </c>
      <c r="Y24" s="6" t="n">
        <v>46181</v>
      </c>
      <c r="Z24" s="6"/>
      <c r="AA24" s="6"/>
      <c r="AB24" s="4" t="n">
        <f aca="false">ROUND(PMT(W24/1200,X24,-V24),2)</f>
        <v>35633.95</v>
      </c>
      <c r="AC24" s="4" t="n">
        <v>5184000</v>
      </c>
      <c r="AD24" s="3" t="n">
        <v>0</v>
      </c>
      <c r="AE24" s="4" t="n">
        <v>95000</v>
      </c>
      <c r="AF24" s="4" t="n">
        <v>33000</v>
      </c>
      <c r="AG24" s="3" t="n">
        <v>36</v>
      </c>
      <c r="AH24" s="4" t="n">
        <v>40100</v>
      </c>
      <c r="AI24" s="3" t="n">
        <v>771</v>
      </c>
      <c r="AJ24" s="7" t="n">
        <f aca="false">ROUND(AB24/I24,4)</f>
        <v>0.3072</v>
      </c>
      <c r="AK24" s="2" t="str">
        <f aca="false">IF(AND(AI24&gt;=750,AJ24&lt;=0.35),"Low",IF(AND(AI24&gt;=600,AJ24&lt;=0.5),"Medium","High"))</f>
        <v>Low</v>
      </c>
      <c r="AL24" s="3" t="n">
        <v>4</v>
      </c>
      <c r="AM24" s="2" t="s">
        <v>233</v>
      </c>
      <c r="AN24" s="2"/>
      <c r="AO24" s="2" t="s">
        <v>134</v>
      </c>
      <c r="AP24" s="7" t="n">
        <v>0.34</v>
      </c>
    </row>
    <row r="25" customFormat="false" ht="15" hidden="false" customHeight="false" outlineLevel="0" collapsed="false">
      <c r="A25" s="2" t="s">
        <v>234</v>
      </c>
      <c r="B25" s="2" t="s">
        <v>235</v>
      </c>
      <c r="C25" s="2" t="s">
        <v>236</v>
      </c>
      <c r="D25" s="2" t="s">
        <v>109</v>
      </c>
      <c r="E25" s="3" t="n">
        <v>21</v>
      </c>
      <c r="F25" s="2" t="s">
        <v>64</v>
      </c>
      <c r="G25" s="2" t="s">
        <v>47</v>
      </c>
      <c r="H25" s="2" t="s">
        <v>48</v>
      </c>
      <c r="I25" s="4" t="n">
        <v>137000</v>
      </c>
      <c r="J25" s="2" t="s">
        <v>49</v>
      </c>
      <c r="K25" s="3" t="n">
        <v>0</v>
      </c>
      <c r="L25" s="2" t="s">
        <v>188</v>
      </c>
      <c r="M25" s="2" t="s">
        <v>51</v>
      </c>
      <c r="N25" s="2" t="s">
        <v>52</v>
      </c>
      <c r="O25" s="3" t="n">
        <v>2</v>
      </c>
      <c r="P25" s="2" t="s">
        <v>189</v>
      </c>
      <c r="Q25" s="2" t="s">
        <v>190</v>
      </c>
      <c r="R25" s="2" t="s">
        <v>188</v>
      </c>
      <c r="S25" s="2" t="s">
        <v>51</v>
      </c>
      <c r="T25" s="2" t="s">
        <v>237</v>
      </c>
      <c r="U25" s="2" t="s">
        <v>192</v>
      </c>
      <c r="V25" s="4" t="n">
        <v>2981000</v>
      </c>
      <c r="W25" s="5" t="n">
        <v>10.63</v>
      </c>
      <c r="X25" s="3" t="n">
        <v>60</v>
      </c>
      <c r="Y25" s="6" t="n">
        <v>46188</v>
      </c>
      <c r="Z25" s="6" t="n">
        <v>46192</v>
      </c>
      <c r="AA25" s="6" t="n">
        <v>46193</v>
      </c>
      <c r="AB25" s="4" t="n">
        <f aca="false">ROUND(PMT(W25/1200,X25,-V25),2)</f>
        <v>64265.46</v>
      </c>
      <c r="AC25" s="4" t="n">
        <v>3089000</v>
      </c>
      <c r="AD25" s="3" t="n">
        <v>0</v>
      </c>
      <c r="AE25" s="4" t="n">
        <v>107500</v>
      </c>
      <c r="AF25" s="4" t="n">
        <v>15300</v>
      </c>
      <c r="AG25" s="3" t="n">
        <v>40</v>
      </c>
      <c r="AH25" s="4" t="n">
        <v>149200</v>
      </c>
      <c r="AI25" s="3" t="n">
        <v>782</v>
      </c>
      <c r="AJ25" s="7" t="n">
        <f aca="false">ROUND(AB25/I25,4)</f>
        <v>0.4691</v>
      </c>
      <c r="AK25" s="2" t="str">
        <f aca="false">IF(AND(AI25&gt;=750,AJ25&lt;=0.35),"Low",IF(AND(AI25&gt;=600,AJ25&lt;=0.5),"Medium","High"))</f>
        <v>Medium</v>
      </c>
      <c r="AL25" s="3" t="n">
        <v>0</v>
      </c>
      <c r="AM25" s="2" t="s">
        <v>58</v>
      </c>
      <c r="AN25" s="2" t="s">
        <v>59</v>
      </c>
      <c r="AO25" s="2" t="s">
        <v>60</v>
      </c>
      <c r="AP25" s="7" t="n">
        <v>0.171</v>
      </c>
    </row>
    <row r="26" customFormat="false" ht="15" hidden="false" customHeight="false" outlineLevel="0" collapsed="false">
      <c r="A26" s="2" t="s">
        <v>238</v>
      </c>
      <c r="B26" s="2" t="s">
        <v>239</v>
      </c>
      <c r="C26" s="2" t="s">
        <v>240</v>
      </c>
      <c r="D26" s="2" t="s">
        <v>109</v>
      </c>
      <c r="E26" s="3" t="n">
        <v>22</v>
      </c>
      <c r="F26" s="2" t="s">
        <v>46</v>
      </c>
      <c r="G26" s="2" t="s">
        <v>154</v>
      </c>
      <c r="H26" s="2" t="s">
        <v>101</v>
      </c>
      <c r="I26" s="4" t="n">
        <v>27500</v>
      </c>
      <c r="J26" s="2" t="s">
        <v>145</v>
      </c>
      <c r="K26" s="3" t="n">
        <v>0</v>
      </c>
      <c r="L26" s="2" t="s">
        <v>241</v>
      </c>
      <c r="M26" s="2" t="s">
        <v>92</v>
      </c>
      <c r="N26" s="2" t="s">
        <v>140</v>
      </c>
      <c r="O26" s="3" t="n">
        <v>3</v>
      </c>
      <c r="P26" s="2" t="s">
        <v>229</v>
      </c>
      <c r="Q26" s="2" t="s">
        <v>230</v>
      </c>
      <c r="R26" s="2" t="s">
        <v>231</v>
      </c>
      <c r="S26" s="2" t="s">
        <v>92</v>
      </c>
      <c r="T26" s="2" t="s">
        <v>242</v>
      </c>
      <c r="U26" s="2" t="s">
        <v>118</v>
      </c>
      <c r="V26" s="4" t="n">
        <v>607000</v>
      </c>
      <c r="W26" s="5" t="n">
        <v>8.02</v>
      </c>
      <c r="X26" s="3" t="n">
        <v>48</v>
      </c>
      <c r="Y26" s="6" t="n">
        <v>46181</v>
      </c>
      <c r="Z26" s="6"/>
      <c r="AA26" s="6"/>
      <c r="AB26" s="4" t="n">
        <f aca="false">ROUND(PMT(W26/1200,X26,-V26),2)</f>
        <v>14824.34</v>
      </c>
      <c r="AC26" s="4" t="n">
        <v>0</v>
      </c>
      <c r="AD26" s="3"/>
      <c r="AE26" s="4" t="n">
        <v>85600</v>
      </c>
      <c r="AF26" s="4" t="n">
        <v>33500</v>
      </c>
      <c r="AG26" s="3" t="n">
        <v>16</v>
      </c>
      <c r="AH26" s="4" t="n">
        <v>29400</v>
      </c>
      <c r="AI26" s="3" t="n">
        <v>504</v>
      </c>
      <c r="AJ26" s="7" t="n">
        <f aca="false">ROUND(AB26/I26,4)</f>
        <v>0.5391</v>
      </c>
      <c r="AK26" s="2" t="str">
        <f aca="false">IF(AND(AI26&gt;=750,AJ26&lt;=0.35),"Low",IF(AND(AI26&gt;=600,AJ26&lt;=0.5),"Medium","High"))</f>
        <v>High</v>
      </c>
      <c r="AL26" s="3" t="n">
        <v>2</v>
      </c>
      <c r="AM26" s="2" t="s">
        <v>58</v>
      </c>
      <c r="AN26" s="2"/>
      <c r="AO26" s="2" t="s">
        <v>127</v>
      </c>
      <c r="AP26" s="7" t="n">
        <v>0.444</v>
      </c>
    </row>
    <row r="27" customFormat="false" ht="15" hidden="false" customHeight="false" outlineLevel="0" collapsed="false">
      <c r="A27" s="2" t="s">
        <v>243</v>
      </c>
      <c r="B27" s="2" t="s">
        <v>244</v>
      </c>
      <c r="C27" s="2" t="s">
        <v>245</v>
      </c>
      <c r="D27" s="2" t="s">
        <v>45</v>
      </c>
      <c r="E27" s="3" t="n">
        <v>22</v>
      </c>
      <c r="F27" s="2" t="s">
        <v>64</v>
      </c>
      <c r="G27" s="2" t="s">
        <v>246</v>
      </c>
      <c r="H27" s="2"/>
      <c r="I27" s="4" t="n">
        <v>8500</v>
      </c>
      <c r="J27" s="2" t="s">
        <v>145</v>
      </c>
      <c r="K27" s="3" t="n">
        <v>1</v>
      </c>
      <c r="L27" s="2" t="s">
        <v>247</v>
      </c>
      <c r="M27" s="2" t="s">
        <v>80</v>
      </c>
      <c r="N27" s="2" t="s">
        <v>52</v>
      </c>
      <c r="O27" s="3" t="n">
        <v>1</v>
      </c>
      <c r="P27" s="2" t="s">
        <v>82</v>
      </c>
      <c r="Q27" s="2" t="s">
        <v>83</v>
      </c>
      <c r="R27" s="2" t="s">
        <v>80</v>
      </c>
      <c r="S27" s="2" t="s">
        <v>80</v>
      </c>
      <c r="T27" s="2" t="s">
        <v>248</v>
      </c>
      <c r="U27" s="2" t="s">
        <v>118</v>
      </c>
      <c r="V27" s="4" t="n">
        <v>233000</v>
      </c>
      <c r="W27" s="5" t="n">
        <v>9.2</v>
      </c>
      <c r="X27" s="3" t="n">
        <v>84</v>
      </c>
      <c r="Y27" s="6" t="n">
        <v>46187</v>
      </c>
      <c r="Z27" s="6" t="n">
        <v>46196</v>
      </c>
      <c r="AA27" s="6" t="n">
        <v>46200</v>
      </c>
      <c r="AB27" s="4" t="n">
        <f aca="false">ROUND(PMT(W27/1200,X27,-V27),2)</f>
        <v>3772.45</v>
      </c>
      <c r="AC27" s="4" t="n">
        <v>0</v>
      </c>
      <c r="AD27" s="3" t="n">
        <v>1</v>
      </c>
      <c r="AE27" s="4" t="n">
        <v>24900</v>
      </c>
      <c r="AF27" s="4" t="n">
        <v>8100</v>
      </c>
      <c r="AG27" s="3" t="n">
        <v>33</v>
      </c>
      <c r="AH27" s="4" t="n">
        <v>6800</v>
      </c>
      <c r="AI27" s="3" t="n">
        <v>686</v>
      </c>
      <c r="AJ27" s="7" t="n">
        <f aca="false">ROUND(AB27/I27,4)</f>
        <v>0.4438</v>
      </c>
      <c r="AK27" s="2" t="str">
        <f aca="false">IF(AND(AI27&gt;=750,AJ27&lt;=0.35),"Low",IF(AND(AI27&gt;=600,AJ27&lt;=0.5),"Medium","High"))</f>
        <v>Medium</v>
      </c>
      <c r="AL27" s="3"/>
      <c r="AM27" s="2" t="s">
        <v>58</v>
      </c>
      <c r="AN27" s="2" t="s">
        <v>59</v>
      </c>
      <c r="AO27" s="2" t="s">
        <v>60</v>
      </c>
      <c r="AP27" s="7" t="n">
        <v>0.341</v>
      </c>
    </row>
    <row r="28" customFormat="false" ht="15" hidden="false" customHeight="false" outlineLevel="0" collapsed="false">
      <c r="A28" s="2" t="s">
        <v>249</v>
      </c>
      <c r="B28" s="2" t="s">
        <v>250</v>
      </c>
      <c r="C28" s="2" t="s">
        <v>251</v>
      </c>
      <c r="D28" s="2" t="s">
        <v>45</v>
      </c>
      <c r="E28" s="3" t="n">
        <v>47</v>
      </c>
      <c r="F28" s="2" t="s">
        <v>64</v>
      </c>
      <c r="G28" s="2" t="s">
        <v>47</v>
      </c>
      <c r="H28" s="2" t="s">
        <v>101</v>
      </c>
      <c r="I28" s="4" t="n">
        <v>134500</v>
      </c>
      <c r="J28" s="2" t="s">
        <v>49</v>
      </c>
      <c r="K28" s="3" t="n">
        <v>20</v>
      </c>
      <c r="L28" s="2" t="s">
        <v>252</v>
      </c>
      <c r="M28" s="2" t="s">
        <v>114</v>
      </c>
      <c r="N28" s="2" t="s">
        <v>140</v>
      </c>
      <c r="O28" s="3" t="n">
        <v>0</v>
      </c>
      <c r="P28" s="2" t="s">
        <v>124</v>
      </c>
      <c r="Q28" s="2" t="s">
        <v>125</v>
      </c>
      <c r="R28" s="2" t="s">
        <v>91</v>
      </c>
      <c r="S28" s="2" t="s">
        <v>92</v>
      </c>
      <c r="T28" s="2" t="s">
        <v>253</v>
      </c>
      <c r="U28" s="2" t="s">
        <v>57</v>
      </c>
      <c r="V28" s="4" t="n">
        <v>2774000</v>
      </c>
      <c r="W28" s="5" t="n">
        <v>8.56</v>
      </c>
      <c r="X28" s="3" t="n">
        <v>168</v>
      </c>
      <c r="Y28" s="6" t="n">
        <v>46186</v>
      </c>
      <c r="Z28" s="6" t="n">
        <v>46193</v>
      </c>
      <c r="AA28" s="6" t="n">
        <v>46199</v>
      </c>
      <c r="AB28" s="4" t="n">
        <f aca="false">ROUND(PMT(W28/1200,X28,-V28),2)</f>
        <v>28388.53</v>
      </c>
      <c r="AC28" s="4" t="n">
        <v>3264000</v>
      </c>
      <c r="AD28" s="3" t="n">
        <v>0</v>
      </c>
      <c r="AE28" s="4"/>
      <c r="AF28" s="4" t="n">
        <v>311900</v>
      </c>
      <c r="AG28" s="3" t="n">
        <v>30</v>
      </c>
      <c r="AH28" s="4" t="n">
        <v>115500</v>
      </c>
      <c r="AI28" s="3" t="n">
        <v>900</v>
      </c>
      <c r="AJ28" s="7" t="n">
        <f aca="false">ROUND(AB28/I28,4)</f>
        <v>0.2111</v>
      </c>
      <c r="AK28" s="2" t="str">
        <f aca="false">IF(AND(AI28&gt;=750,AJ28&lt;=0.35),"Low",IF(AND(AI28&gt;=600,AJ28&lt;=0.5),"Medium","High"))</f>
        <v>Low</v>
      </c>
      <c r="AL28" s="3" t="n">
        <v>0</v>
      </c>
      <c r="AM28" s="2" t="s">
        <v>58</v>
      </c>
      <c r="AN28" s="2" t="s">
        <v>59</v>
      </c>
      <c r="AO28" s="2" t="s">
        <v>60</v>
      </c>
      <c r="AP28" s="7" t="n">
        <v>0.01</v>
      </c>
    </row>
    <row r="29" customFormat="false" ht="15" hidden="false" customHeight="false" outlineLevel="0" collapsed="false">
      <c r="A29" s="2" t="s">
        <v>254</v>
      </c>
      <c r="B29" s="2" t="s">
        <v>255</v>
      </c>
      <c r="C29" s="2" t="s">
        <v>256</v>
      </c>
      <c r="D29" s="2" t="s">
        <v>45</v>
      </c>
      <c r="E29" s="3" t="n">
        <v>21</v>
      </c>
      <c r="F29" s="2" t="s">
        <v>46</v>
      </c>
      <c r="G29" s="2" t="s">
        <v>207</v>
      </c>
      <c r="H29" s="2" t="s">
        <v>48</v>
      </c>
      <c r="I29" s="4" t="n">
        <v>51500</v>
      </c>
      <c r="J29" s="2" t="s">
        <v>49</v>
      </c>
      <c r="K29" s="3" t="n">
        <v>0</v>
      </c>
      <c r="L29" s="2" t="s">
        <v>92</v>
      </c>
      <c r="M29" s="2" t="s">
        <v>92</v>
      </c>
      <c r="N29" s="2" t="s">
        <v>52</v>
      </c>
      <c r="O29" s="3" t="n">
        <v>1</v>
      </c>
      <c r="P29" s="2" t="s">
        <v>169</v>
      </c>
      <c r="Q29" s="2" t="s">
        <v>170</v>
      </c>
      <c r="R29" s="2" t="s">
        <v>92</v>
      </c>
      <c r="S29" s="2" t="s">
        <v>92</v>
      </c>
      <c r="T29" s="2" t="s">
        <v>257</v>
      </c>
      <c r="U29" s="2" t="s">
        <v>180</v>
      </c>
      <c r="V29" s="4" t="n">
        <v>887000</v>
      </c>
      <c r="W29" s="5" t="n">
        <v>9.9</v>
      </c>
      <c r="X29" s="3" t="n">
        <v>36</v>
      </c>
      <c r="Y29" s="6" t="n">
        <v>46186</v>
      </c>
      <c r="Z29" s="6" t="n">
        <v>46193</v>
      </c>
      <c r="AA29" s="6" t="n">
        <v>46196</v>
      </c>
      <c r="AB29" s="4" t="n">
        <f aca="false">ROUND(PMT(W29/1200,X29,-V29),2)</f>
        <v>28579.37</v>
      </c>
      <c r="AC29" s="4" t="n">
        <v>1246000</v>
      </c>
      <c r="AD29" s="3" t="n">
        <v>0</v>
      </c>
      <c r="AE29" s="4" t="n">
        <v>200600</v>
      </c>
      <c r="AF29" s="4" t="n">
        <v>104500</v>
      </c>
      <c r="AG29" s="3" t="n">
        <v>46</v>
      </c>
      <c r="AH29" s="4" t="n">
        <v>50000</v>
      </c>
      <c r="AI29" s="3" t="n">
        <v>581</v>
      </c>
      <c r="AJ29" s="7" t="n">
        <f aca="false">ROUND(AB29/I29,4)</f>
        <v>0.5549</v>
      </c>
      <c r="AK29" s="2" t="str">
        <f aca="false">IF(AND(AI29&gt;=750,AJ29&lt;=0.35),"Low",IF(AND(AI29&gt;=600,AJ29&lt;=0.5),"Medium","High"))</f>
        <v>High</v>
      </c>
      <c r="AL29" s="3" t="n">
        <v>2</v>
      </c>
      <c r="AM29" s="2" t="s">
        <v>58</v>
      </c>
      <c r="AN29" s="2" t="s">
        <v>258</v>
      </c>
      <c r="AO29" s="2" t="s">
        <v>60</v>
      </c>
      <c r="AP29" s="7" t="n">
        <v>0.292</v>
      </c>
    </row>
    <row r="30" customFormat="false" ht="15" hidden="false" customHeight="false" outlineLevel="0" collapsed="false">
      <c r="A30" s="2" t="s">
        <v>259</v>
      </c>
      <c r="B30" s="2" t="s">
        <v>260</v>
      </c>
      <c r="C30" s="2" t="s">
        <v>261</v>
      </c>
      <c r="D30" s="2" t="s">
        <v>109</v>
      </c>
      <c r="E30" s="3" t="n">
        <v>21</v>
      </c>
      <c r="F30" s="2" t="s">
        <v>46</v>
      </c>
      <c r="G30" s="2" t="s">
        <v>47</v>
      </c>
      <c r="H30" s="2" t="s">
        <v>48</v>
      </c>
      <c r="I30" s="4" t="n">
        <v>61500</v>
      </c>
      <c r="J30" s="2" t="s">
        <v>49</v>
      </c>
      <c r="K30" s="3" t="n">
        <v>0</v>
      </c>
      <c r="L30" s="2" t="s">
        <v>262</v>
      </c>
      <c r="M30" s="2" t="s">
        <v>139</v>
      </c>
      <c r="N30" s="2" t="s">
        <v>140</v>
      </c>
      <c r="O30" s="3" t="n">
        <v>0</v>
      </c>
      <c r="P30" s="2" t="s">
        <v>169</v>
      </c>
      <c r="Q30" s="2" t="s">
        <v>170</v>
      </c>
      <c r="R30" s="2" t="s">
        <v>92</v>
      </c>
      <c r="S30" s="2" t="s">
        <v>92</v>
      </c>
      <c r="T30" s="2" t="s">
        <v>263</v>
      </c>
      <c r="U30" s="2" t="s">
        <v>180</v>
      </c>
      <c r="V30" s="4" t="n">
        <v>368000</v>
      </c>
      <c r="W30" s="5" t="n">
        <v>11.25</v>
      </c>
      <c r="X30" s="3" t="n">
        <v>18</v>
      </c>
      <c r="Y30" s="6" t="n">
        <v>46177</v>
      </c>
      <c r="Z30" s="6" t="n">
        <v>46181</v>
      </c>
      <c r="AA30" s="6" t="n">
        <v>46185</v>
      </c>
      <c r="AB30" s="4" t="n">
        <f aca="false">ROUND(PMT(W30/1200,X30,-V30),2)</f>
        <v>22313.4</v>
      </c>
      <c r="AC30" s="4" t="n">
        <v>544000</v>
      </c>
      <c r="AD30" s="3" t="n">
        <v>0</v>
      </c>
      <c r="AE30" s="4" t="n">
        <v>175300</v>
      </c>
      <c r="AF30" s="4" t="n">
        <v>71700</v>
      </c>
      <c r="AG30" s="3" t="n">
        <v>35</v>
      </c>
      <c r="AH30" s="4" t="n">
        <v>36100</v>
      </c>
      <c r="AI30" s="3" t="n">
        <v>721</v>
      </c>
      <c r="AJ30" s="7" t="n">
        <f aca="false">ROUND(AB30/I30,4)</f>
        <v>0.3628</v>
      </c>
      <c r="AK30" s="2" t="str">
        <f aca="false">IF(AND(AI30&gt;=750,AJ30&lt;=0.35),"Low",IF(AND(AI30&gt;=600,AJ30&lt;=0.5),"Medium","High"))</f>
        <v>Medium</v>
      </c>
      <c r="AL30" s="3" t="n">
        <v>6</v>
      </c>
      <c r="AM30" s="2" t="s">
        <v>58</v>
      </c>
      <c r="AN30" s="2" t="s">
        <v>119</v>
      </c>
      <c r="AO30" s="2" t="s">
        <v>60</v>
      </c>
      <c r="AP30" s="7" t="n">
        <v>0.235</v>
      </c>
    </row>
    <row r="31" customFormat="false" ht="15" hidden="false" customHeight="false" outlineLevel="0" collapsed="false">
      <c r="A31" s="2" t="s">
        <v>264</v>
      </c>
      <c r="B31" s="2" t="s">
        <v>265</v>
      </c>
      <c r="C31" s="2" t="s">
        <v>266</v>
      </c>
      <c r="D31" s="2" t="s">
        <v>45</v>
      </c>
      <c r="E31" s="3" t="n">
        <v>41</v>
      </c>
      <c r="F31" s="2" t="s">
        <v>175</v>
      </c>
      <c r="G31" s="2" t="s">
        <v>47</v>
      </c>
      <c r="H31" s="2" t="s">
        <v>101</v>
      </c>
      <c r="I31" s="4" t="n">
        <v>97000</v>
      </c>
      <c r="J31" s="2" t="s">
        <v>49</v>
      </c>
      <c r="K31" s="3" t="n">
        <v>16</v>
      </c>
      <c r="L31" s="2" t="s">
        <v>70</v>
      </c>
      <c r="M31" s="2" t="s">
        <v>67</v>
      </c>
      <c r="N31" s="2" t="s">
        <v>52</v>
      </c>
      <c r="O31" s="3" t="n">
        <v>0</v>
      </c>
      <c r="P31" s="2" t="s">
        <v>68</v>
      </c>
      <c r="Q31" s="2" t="s">
        <v>69</v>
      </c>
      <c r="R31" s="2" t="s">
        <v>70</v>
      </c>
      <c r="S31" s="2" t="s">
        <v>67</v>
      </c>
      <c r="T31" s="2" t="s">
        <v>267</v>
      </c>
      <c r="U31" s="2" t="s">
        <v>192</v>
      </c>
      <c r="V31" s="4" t="n">
        <v>499000</v>
      </c>
      <c r="W31" s="5" t="n">
        <v>10.95</v>
      </c>
      <c r="X31" s="3" t="n">
        <v>12</v>
      </c>
      <c r="Y31" s="6" t="n">
        <v>46177</v>
      </c>
      <c r="Z31" s="6" t="n">
        <v>46182</v>
      </c>
      <c r="AA31" s="6" t="n">
        <v>46188</v>
      </c>
      <c r="AB31" s="4" t="n">
        <f aca="false">ROUND(PMT(W31/1200,X31,-V31),2)</f>
        <v>44090.81</v>
      </c>
      <c r="AC31" s="4" t="n">
        <v>687000</v>
      </c>
      <c r="AD31" s="3" t="n">
        <v>1</v>
      </c>
      <c r="AE31" s="4" t="n">
        <v>120800</v>
      </c>
      <c r="AF31" s="4" t="n">
        <v>20300</v>
      </c>
      <c r="AG31" s="3" t="n">
        <v>40</v>
      </c>
      <c r="AH31" s="4" t="n">
        <v>30200</v>
      </c>
      <c r="AI31" s="3" t="n">
        <v>736</v>
      </c>
      <c r="AJ31" s="7" t="n">
        <f aca="false">ROUND(AB31/I31,4)</f>
        <v>0.4545</v>
      </c>
      <c r="AK31" s="2" t="str">
        <f aca="false">IF(AND(AI31&gt;=750,AJ31&lt;=0.35),"Low",IF(AND(AI31&gt;=600,AJ31&lt;=0.5),"Medium","High"))</f>
        <v>Medium</v>
      </c>
      <c r="AL31" s="3" t="n">
        <v>2</v>
      </c>
      <c r="AM31" s="2" t="s">
        <v>58</v>
      </c>
      <c r="AN31" s="2" t="s">
        <v>59</v>
      </c>
      <c r="AO31" s="2" t="s">
        <v>86</v>
      </c>
      <c r="AP31" s="7" t="n">
        <v>0.278</v>
      </c>
    </row>
    <row r="32" customFormat="false" ht="15" hidden="false" customHeight="false" outlineLevel="0" collapsed="false">
      <c r="A32" s="2" t="s">
        <v>268</v>
      </c>
      <c r="B32" s="2" t="s">
        <v>269</v>
      </c>
      <c r="C32" s="2" t="s">
        <v>251</v>
      </c>
      <c r="D32" s="2" t="s">
        <v>45</v>
      </c>
      <c r="E32" s="3" t="n">
        <v>49</v>
      </c>
      <c r="F32" s="2" t="s">
        <v>64</v>
      </c>
      <c r="G32" s="2" t="s">
        <v>154</v>
      </c>
      <c r="H32" s="2" t="s">
        <v>48</v>
      </c>
      <c r="I32" s="4" t="n">
        <v>28500</v>
      </c>
      <c r="J32" s="2" t="s">
        <v>145</v>
      </c>
      <c r="K32" s="3" t="n">
        <v>27</v>
      </c>
      <c r="L32" s="2" t="s">
        <v>139</v>
      </c>
      <c r="M32" s="2" t="s">
        <v>139</v>
      </c>
      <c r="N32" s="2" t="s">
        <v>102</v>
      </c>
      <c r="O32" s="3" t="n">
        <v>1</v>
      </c>
      <c r="P32" s="2" t="s">
        <v>197</v>
      </c>
      <c r="Q32" s="2" t="s">
        <v>198</v>
      </c>
      <c r="R32" s="2" t="s">
        <v>139</v>
      </c>
      <c r="S32" s="2" t="s">
        <v>139</v>
      </c>
      <c r="T32" s="2" t="s">
        <v>270</v>
      </c>
      <c r="U32" s="2" t="s">
        <v>192</v>
      </c>
      <c r="V32" s="4" t="n">
        <v>452000</v>
      </c>
      <c r="W32" s="5" t="n">
        <v>12.6</v>
      </c>
      <c r="X32" s="3" t="n">
        <v>72</v>
      </c>
      <c r="Y32" s="6" t="n">
        <v>46196</v>
      </c>
      <c r="Z32" s="6" t="n">
        <v>46199</v>
      </c>
      <c r="AA32" s="6" t="n">
        <v>46205</v>
      </c>
      <c r="AB32" s="4" t="n">
        <f aca="false">ROUND(PMT(W32/1200,X32,-V32),2)</f>
        <v>8978.35</v>
      </c>
      <c r="AC32" s="4" t="n">
        <v>667000</v>
      </c>
      <c r="AD32" s="3" t="n">
        <v>1</v>
      </c>
      <c r="AE32" s="4" t="n">
        <v>60000</v>
      </c>
      <c r="AF32" s="4" t="n">
        <v>35400</v>
      </c>
      <c r="AG32" s="3" t="n">
        <v>27</v>
      </c>
      <c r="AH32" s="4" t="n">
        <v>19800</v>
      </c>
      <c r="AI32" s="3" t="n">
        <v>857</v>
      </c>
      <c r="AJ32" s="7" t="n">
        <f aca="false">ROUND(AB32/I32,4)</f>
        <v>0.315</v>
      </c>
      <c r="AK32" s="2" t="str">
        <f aca="false">IF(AND(AI32&gt;=750,AJ32&lt;=0.35),"Low",IF(AND(AI32&gt;=600,AJ32&lt;=0.5),"Medium","High"))</f>
        <v>Low</v>
      </c>
      <c r="AL32" s="3" t="n">
        <v>0</v>
      </c>
      <c r="AM32" s="2" t="s">
        <v>58</v>
      </c>
      <c r="AN32" s="2" t="s">
        <v>59</v>
      </c>
      <c r="AO32" s="2" t="s">
        <v>60</v>
      </c>
      <c r="AP32" s="7" t="n">
        <v>0.011</v>
      </c>
    </row>
    <row r="33" customFormat="false" ht="15" hidden="false" customHeight="false" outlineLevel="0" collapsed="false">
      <c r="A33" s="2" t="s">
        <v>271</v>
      </c>
      <c r="B33" s="2" t="s">
        <v>272</v>
      </c>
      <c r="C33" s="2" t="s">
        <v>273</v>
      </c>
      <c r="D33" s="2" t="s">
        <v>45</v>
      </c>
      <c r="E33" s="3" t="n">
        <v>50</v>
      </c>
      <c r="F33" s="2" t="s">
        <v>64</v>
      </c>
      <c r="G33" s="2" t="s">
        <v>90</v>
      </c>
      <c r="H33" s="2" t="s">
        <v>48</v>
      </c>
      <c r="I33" s="4" t="n">
        <v>22500</v>
      </c>
      <c r="J33" s="2" t="s">
        <v>90</v>
      </c>
      <c r="K33" s="3" t="n">
        <v>24</v>
      </c>
      <c r="L33" s="2" t="s">
        <v>274</v>
      </c>
      <c r="M33" s="2" t="s">
        <v>67</v>
      </c>
      <c r="N33" s="2" t="s">
        <v>81</v>
      </c>
      <c r="O33" s="3" t="n">
        <v>1</v>
      </c>
      <c r="P33" s="2" t="s">
        <v>68</v>
      </c>
      <c r="Q33" s="2" t="s">
        <v>69</v>
      </c>
      <c r="R33" s="2" t="s">
        <v>70</v>
      </c>
      <c r="S33" s="2" t="s">
        <v>67</v>
      </c>
      <c r="T33" s="2" t="s">
        <v>275</v>
      </c>
      <c r="U33" s="2" t="s">
        <v>72</v>
      </c>
      <c r="V33" s="4" t="n">
        <v>300000</v>
      </c>
      <c r="W33" s="5" t="n">
        <v>13.08</v>
      </c>
      <c r="X33" s="3" t="n">
        <v>78</v>
      </c>
      <c r="Y33" s="6" t="n">
        <v>46184</v>
      </c>
      <c r="Z33" s="6" t="n">
        <v>46190</v>
      </c>
      <c r="AA33" s="6" t="n">
        <v>46192</v>
      </c>
      <c r="AB33" s="4" t="n">
        <f aca="false">ROUND(PMT(W33/1200,X33,-V33),2)</f>
        <v>5729.8</v>
      </c>
      <c r="AC33" s="4" t="n">
        <v>371000</v>
      </c>
      <c r="AD33" s="3" t="n">
        <v>0</v>
      </c>
      <c r="AE33" s="4" t="n">
        <v>26400</v>
      </c>
      <c r="AF33" s="4" t="n">
        <v>3200</v>
      </c>
      <c r="AG33" s="3" t="n">
        <v>35</v>
      </c>
      <c r="AH33" s="4" t="n">
        <v>9800</v>
      </c>
      <c r="AI33" s="3" t="n">
        <v>759</v>
      </c>
      <c r="AJ33" s="7" t="n">
        <f aca="false">ROUND(AB33/I33,4)</f>
        <v>0.2547</v>
      </c>
      <c r="AK33" s="2" t="str">
        <f aca="false">IF(AND(AI33&gt;=750,AJ33&lt;=0.35),"Low",IF(AND(AI33&gt;=600,AJ33&lt;=0.5),"Medium","High"))</f>
        <v>Low</v>
      </c>
      <c r="AL33" s="3" t="n">
        <v>0</v>
      </c>
      <c r="AM33" s="2" t="s">
        <v>58</v>
      </c>
      <c r="AN33" s="2" t="s">
        <v>59</v>
      </c>
      <c r="AO33" s="2" t="s">
        <v>60</v>
      </c>
      <c r="AP33" s="7" t="n">
        <v>0.13</v>
      </c>
    </row>
    <row r="34" customFormat="false" ht="15" hidden="false" customHeight="false" outlineLevel="0" collapsed="false">
      <c r="A34" s="2" t="s">
        <v>276</v>
      </c>
      <c r="B34" s="2" t="s">
        <v>277</v>
      </c>
      <c r="C34" s="2" t="s">
        <v>278</v>
      </c>
      <c r="D34" s="2" t="s">
        <v>45</v>
      </c>
      <c r="E34" s="3" t="n">
        <v>29</v>
      </c>
      <c r="F34" s="2" t="s">
        <v>175</v>
      </c>
      <c r="G34" s="2" t="s">
        <v>207</v>
      </c>
      <c r="H34" s="2" t="s">
        <v>101</v>
      </c>
      <c r="I34" s="4" t="n">
        <v>49000</v>
      </c>
      <c r="J34" s="2" t="s">
        <v>49</v>
      </c>
      <c r="K34" s="3" t="n">
        <v>2</v>
      </c>
      <c r="L34" s="2" t="s">
        <v>279</v>
      </c>
      <c r="M34" s="2" t="s">
        <v>51</v>
      </c>
      <c r="N34" s="2" t="s">
        <v>140</v>
      </c>
      <c r="O34" s="3" t="n">
        <v>0</v>
      </c>
      <c r="P34" s="2" t="s">
        <v>189</v>
      </c>
      <c r="Q34" s="2" t="s">
        <v>190</v>
      </c>
      <c r="R34" s="2" t="s">
        <v>188</v>
      </c>
      <c r="S34" s="2" t="s">
        <v>51</v>
      </c>
      <c r="T34" s="2" t="s">
        <v>280</v>
      </c>
      <c r="U34" s="2" t="s">
        <v>180</v>
      </c>
      <c r="V34" s="4" t="n">
        <v>609000</v>
      </c>
      <c r="W34" s="5" t="n">
        <v>13.02</v>
      </c>
      <c r="X34" s="3" t="n">
        <v>48</v>
      </c>
      <c r="Y34" s="6" t="n">
        <v>46196</v>
      </c>
      <c r="Z34" s="6" t="n">
        <v>46197</v>
      </c>
      <c r="AA34" s="6" t="n">
        <v>46198</v>
      </c>
      <c r="AB34" s="4" t="n">
        <f aca="false">ROUND(PMT(W34/1200,X34,-V34),2)</f>
        <v>16343.99</v>
      </c>
      <c r="AC34" s="4" t="n">
        <v>634000</v>
      </c>
      <c r="AD34" s="3" t="n">
        <v>0</v>
      </c>
      <c r="AE34" s="4" t="n">
        <v>162800</v>
      </c>
      <c r="AF34" s="4" t="n">
        <v>77200</v>
      </c>
      <c r="AG34" s="3" t="n">
        <v>24</v>
      </c>
      <c r="AH34" s="4" t="n">
        <v>21900</v>
      </c>
      <c r="AI34" s="3" t="n">
        <v>571</v>
      </c>
      <c r="AJ34" s="7" t="n">
        <f aca="false">ROUND(AB34/I34,4)</f>
        <v>0.3336</v>
      </c>
      <c r="AK34" s="2" t="str">
        <f aca="false">IF(AND(AI34&gt;=750,AJ34&lt;=0.35),"Low",IF(AND(AI34&gt;=600,AJ34&lt;=0.5),"Medium","High"))</f>
        <v>High</v>
      </c>
      <c r="AL34" s="3" t="n">
        <v>3</v>
      </c>
      <c r="AM34" s="2" t="s">
        <v>58</v>
      </c>
      <c r="AN34" s="2" t="s">
        <v>59</v>
      </c>
      <c r="AO34" s="2" t="s">
        <v>60</v>
      </c>
      <c r="AP34" s="7" t="n">
        <v>0.38</v>
      </c>
    </row>
    <row r="35" customFormat="false" ht="15" hidden="false" customHeight="false" outlineLevel="0" collapsed="false">
      <c r="A35" s="2" t="s">
        <v>281</v>
      </c>
      <c r="B35" s="2" t="s">
        <v>282</v>
      </c>
      <c r="C35" s="2" t="s">
        <v>283</v>
      </c>
      <c r="D35" s="2" t="s">
        <v>109</v>
      </c>
      <c r="E35" s="3" t="n">
        <v>31</v>
      </c>
      <c r="F35" s="2" t="s">
        <v>64</v>
      </c>
      <c r="G35" s="2" t="s">
        <v>246</v>
      </c>
      <c r="H35" s="2" t="s">
        <v>123</v>
      </c>
      <c r="I35" s="4" t="n">
        <v>10500</v>
      </c>
      <c r="J35" s="2" t="s">
        <v>145</v>
      </c>
      <c r="K35" s="3" t="n">
        <v>8</v>
      </c>
      <c r="L35" s="2" t="s">
        <v>159</v>
      </c>
      <c r="M35" s="2" t="s">
        <v>159</v>
      </c>
      <c r="N35" s="2" t="s">
        <v>52</v>
      </c>
      <c r="O35" s="3" t="n">
        <v>2</v>
      </c>
      <c r="P35" s="2" t="s">
        <v>160</v>
      </c>
      <c r="Q35" s="2" t="s">
        <v>161</v>
      </c>
      <c r="R35" s="2" t="s">
        <v>159</v>
      </c>
      <c r="S35" s="2" t="s">
        <v>159</v>
      </c>
      <c r="T35" s="2" t="s">
        <v>284</v>
      </c>
      <c r="U35" s="2" t="s">
        <v>180</v>
      </c>
      <c r="V35" s="4" t="n">
        <v>300000</v>
      </c>
      <c r="W35" s="5" t="n">
        <v>9.73</v>
      </c>
      <c r="X35" s="3" t="n">
        <v>36</v>
      </c>
      <c r="Y35" s="6" t="n">
        <v>46191</v>
      </c>
      <c r="Z35" s="6"/>
      <c r="AA35" s="6"/>
      <c r="AB35" s="4" t="n">
        <f aca="false">ROUND(PMT(W35/1200,X35,-V35),2)</f>
        <v>9642.17</v>
      </c>
      <c r="AC35" s="4" t="n">
        <v>380000</v>
      </c>
      <c r="AD35" s="3" t="n">
        <v>0</v>
      </c>
      <c r="AE35" s="4" t="n">
        <v>19100</v>
      </c>
      <c r="AF35" s="4" t="n">
        <v>2100</v>
      </c>
      <c r="AG35" s="3" t="n">
        <v>15</v>
      </c>
      <c r="AH35" s="4" t="n">
        <v>5900</v>
      </c>
      <c r="AI35" s="3" t="n">
        <v>780</v>
      </c>
      <c r="AJ35" s="7" t="n">
        <f aca="false">ROUND(AB35/I35,4)</f>
        <v>0.9183</v>
      </c>
      <c r="AK35" s="2" t="str">
        <f aca="false">IF(AND(AI35&gt;=750,AJ35&lt;=0.35),"Low",IF(AND(AI35&gt;=600,AJ35&lt;=0.5),"Medium","High"))</f>
        <v>High</v>
      </c>
      <c r="AL35" s="3" t="n">
        <v>2</v>
      </c>
      <c r="AM35" s="2" t="s">
        <v>58</v>
      </c>
      <c r="AN35" s="2"/>
      <c r="AO35" s="2" t="s">
        <v>134</v>
      </c>
      <c r="AP35" s="7" t="n">
        <v>0.146</v>
      </c>
    </row>
    <row r="36" customFormat="false" ht="15" hidden="false" customHeight="false" outlineLevel="0" collapsed="false">
      <c r="A36" s="2" t="s">
        <v>285</v>
      </c>
      <c r="B36" s="2" t="s">
        <v>286</v>
      </c>
      <c r="C36" s="2" t="s">
        <v>287</v>
      </c>
      <c r="D36" s="2" t="s">
        <v>109</v>
      </c>
      <c r="E36" s="3" t="n">
        <v>30</v>
      </c>
      <c r="F36" s="2" t="s">
        <v>46</v>
      </c>
      <c r="G36" s="2" t="s">
        <v>145</v>
      </c>
      <c r="H36" s="2" t="s">
        <v>77</v>
      </c>
      <c r="I36" s="4" t="n">
        <v>26500</v>
      </c>
      <c r="J36" s="2" t="s">
        <v>145</v>
      </c>
      <c r="K36" s="3" t="n">
        <v>11</v>
      </c>
      <c r="L36" s="2" t="s">
        <v>288</v>
      </c>
      <c r="M36" s="2" t="s">
        <v>147</v>
      </c>
      <c r="N36" s="2" t="s">
        <v>52</v>
      </c>
      <c r="O36" s="3" t="n">
        <v>0</v>
      </c>
      <c r="P36" s="2" t="s">
        <v>209</v>
      </c>
      <c r="Q36" s="2" t="s">
        <v>210</v>
      </c>
      <c r="R36" s="2" t="s">
        <v>211</v>
      </c>
      <c r="S36" s="2" t="s">
        <v>147</v>
      </c>
      <c r="T36" s="2" t="s">
        <v>289</v>
      </c>
      <c r="U36" s="2" t="s">
        <v>85</v>
      </c>
      <c r="V36" s="4" t="n">
        <v>288000</v>
      </c>
      <c r="W36" s="5" t="n">
        <v>9.14</v>
      </c>
      <c r="X36" s="3" t="n">
        <v>24</v>
      </c>
      <c r="Y36" s="6" t="n">
        <v>46196</v>
      </c>
      <c r="Z36" s="6"/>
      <c r="AA36" s="6"/>
      <c r="AB36" s="4" t="n">
        <f aca="false">ROUND(PMT(W36/1200,X36,-V36),2)</f>
        <v>13175.71</v>
      </c>
      <c r="AC36" s="4" t="n">
        <v>0</v>
      </c>
      <c r="AD36" s="3" t="n">
        <v>2</v>
      </c>
      <c r="AE36" s="4" t="n">
        <v>25100</v>
      </c>
      <c r="AF36" s="4"/>
      <c r="AG36" s="3" t="n">
        <v>50</v>
      </c>
      <c r="AH36" s="4" t="n">
        <v>15600</v>
      </c>
      <c r="AI36" s="3" t="n">
        <v>690</v>
      </c>
      <c r="AJ36" s="7" t="n">
        <f aca="false">ROUND(AB36/I36,4)</f>
        <v>0.4972</v>
      </c>
      <c r="AK36" s="2" t="str">
        <f aca="false">IF(AND(AI36&gt;=750,AJ36&lt;=0.35),"Low",IF(AND(AI36&gt;=600,AJ36&lt;=0.5),"Medium","High"))</f>
        <v>Medium</v>
      </c>
      <c r="AL36" s="3" t="n">
        <v>0</v>
      </c>
      <c r="AM36" s="2" t="s">
        <v>58</v>
      </c>
      <c r="AN36" s="2"/>
      <c r="AO36" s="2" t="s">
        <v>134</v>
      </c>
      <c r="AP36" s="7" t="n">
        <v>0.215</v>
      </c>
    </row>
    <row r="37" customFormat="false" ht="15" hidden="false" customHeight="false" outlineLevel="0" collapsed="false">
      <c r="A37" s="2" t="s">
        <v>290</v>
      </c>
      <c r="B37" s="2" t="s">
        <v>291</v>
      </c>
      <c r="C37" s="2" t="s">
        <v>292</v>
      </c>
      <c r="D37" s="2" t="s">
        <v>45</v>
      </c>
      <c r="E37" s="3" t="n">
        <v>48</v>
      </c>
      <c r="F37" s="2" t="s">
        <v>64</v>
      </c>
      <c r="G37" s="2"/>
      <c r="H37" s="2" t="s">
        <v>101</v>
      </c>
      <c r="I37" s="4" t="n">
        <v>78500</v>
      </c>
      <c r="J37" s="2" t="s">
        <v>90</v>
      </c>
      <c r="K37" s="3" t="n">
        <v>29</v>
      </c>
      <c r="L37" s="2" t="s">
        <v>168</v>
      </c>
      <c r="M37" s="2" t="s">
        <v>92</v>
      </c>
      <c r="N37" s="2" t="s">
        <v>52</v>
      </c>
      <c r="O37" s="3" t="n">
        <v>3</v>
      </c>
      <c r="P37" s="2" t="s">
        <v>93</v>
      </c>
      <c r="Q37" s="2" t="s">
        <v>94</v>
      </c>
      <c r="R37" s="2" t="s">
        <v>95</v>
      </c>
      <c r="S37" s="2" t="s">
        <v>92</v>
      </c>
      <c r="T37" s="2" t="s">
        <v>293</v>
      </c>
      <c r="U37" s="2" t="s">
        <v>97</v>
      </c>
      <c r="V37" s="4" t="n">
        <v>431000</v>
      </c>
      <c r="W37" s="5" t="n">
        <v>12.36</v>
      </c>
      <c r="X37" s="3" t="n">
        <v>24</v>
      </c>
      <c r="Y37" s="6" t="n">
        <v>46175</v>
      </c>
      <c r="Z37" s="6" t="n">
        <v>46185</v>
      </c>
      <c r="AA37" s="6" t="n">
        <v>46188</v>
      </c>
      <c r="AB37" s="4" t="n">
        <f aca="false">ROUND(PMT(W37/1200,X37,-V37),2)</f>
        <v>20361.2</v>
      </c>
      <c r="AC37" s="4" t="n">
        <v>0</v>
      </c>
      <c r="AD37" s="3" t="n">
        <v>0</v>
      </c>
      <c r="AE37" s="4" t="n">
        <v>152000</v>
      </c>
      <c r="AF37" s="4" t="n">
        <v>89900</v>
      </c>
      <c r="AG37" s="3" t="n">
        <v>16</v>
      </c>
      <c r="AH37" s="4" t="n">
        <v>30600</v>
      </c>
      <c r="AI37" s="3" t="n">
        <v>730</v>
      </c>
      <c r="AJ37" s="7" t="n">
        <f aca="false">ROUND(AB37/I37,4)</f>
        <v>0.2594</v>
      </c>
      <c r="AK37" s="2" t="str">
        <f aca="false">IF(AND(AI37&gt;=750,AJ37&lt;=0.35),"Low",IF(AND(AI37&gt;=600,AJ37&lt;=0.5),"Medium","High"))</f>
        <v>Medium</v>
      </c>
      <c r="AL37" s="3" t="n">
        <v>0</v>
      </c>
      <c r="AM37" s="2" t="s">
        <v>58</v>
      </c>
      <c r="AN37" s="2" t="s">
        <v>59</v>
      </c>
      <c r="AO37" s="2" t="s">
        <v>60</v>
      </c>
      <c r="AP37" s="7" t="n">
        <v>0.198</v>
      </c>
    </row>
    <row r="38" customFormat="false" ht="15" hidden="false" customHeight="false" outlineLevel="0" collapsed="false">
      <c r="A38" s="2" t="s">
        <v>294</v>
      </c>
      <c r="B38" s="2" t="s">
        <v>295</v>
      </c>
      <c r="C38" s="2" t="s">
        <v>296</v>
      </c>
      <c r="D38" s="2" t="s">
        <v>45</v>
      </c>
      <c r="E38" s="3" t="n">
        <v>42</v>
      </c>
      <c r="F38" s="2" t="s">
        <v>175</v>
      </c>
      <c r="G38" s="2" t="s">
        <v>145</v>
      </c>
      <c r="H38" s="2" t="s">
        <v>48</v>
      </c>
      <c r="I38" s="4" t="n">
        <v>51000</v>
      </c>
      <c r="J38" s="2" t="s">
        <v>145</v>
      </c>
      <c r="K38" s="3" t="n">
        <v>20</v>
      </c>
      <c r="L38" s="2" t="s">
        <v>297</v>
      </c>
      <c r="M38" s="2" t="s">
        <v>92</v>
      </c>
      <c r="N38" s="2" t="s">
        <v>140</v>
      </c>
      <c r="O38" s="3" t="n">
        <v>2</v>
      </c>
      <c r="P38" s="2" t="s">
        <v>93</v>
      </c>
      <c r="Q38" s="2" t="s">
        <v>94</v>
      </c>
      <c r="R38" s="2" t="s">
        <v>95</v>
      </c>
      <c r="S38" s="2" t="s">
        <v>92</v>
      </c>
      <c r="T38" s="2" t="s">
        <v>298</v>
      </c>
      <c r="U38" s="2" t="s">
        <v>85</v>
      </c>
      <c r="V38" s="4" t="n">
        <v>472000</v>
      </c>
      <c r="W38" s="5" t="n">
        <v>8.13</v>
      </c>
      <c r="X38" s="3" t="n">
        <v>30</v>
      </c>
      <c r="Y38" s="6" t="n">
        <v>46180</v>
      </c>
      <c r="Z38" s="6" t="n">
        <v>46185</v>
      </c>
      <c r="AA38" s="6" t="n">
        <v>46191</v>
      </c>
      <c r="AB38" s="4" t="n">
        <f aca="false">ROUND(PMT(W38/1200,X38,-V38),2)</f>
        <v>17439.41</v>
      </c>
      <c r="AC38" s="4" t="n">
        <v>0</v>
      </c>
      <c r="AD38" s="3" t="n">
        <v>0</v>
      </c>
      <c r="AE38" s="4" t="n">
        <v>101400</v>
      </c>
      <c r="AF38" s="4" t="n">
        <v>35900</v>
      </c>
      <c r="AG38" s="3" t="n">
        <v>13</v>
      </c>
      <c r="AH38" s="4" t="n">
        <v>25200</v>
      </c>
      <c r="AI38" s="3" t="n">
        <v>785</v>
      </c>
      <c r="AJ38" s="7" t="n">
        <f aca="false">ROUND(AB38/I38,4)</f>
        <v>0.3419</v>
      </c>
      <c r="AK38" s="2" t="str">
        <f aca="false">IF(AND(AI38&gt;=750,AJ38&lt;=0.35),"Low",IF(AND(AI38&gt;=600,AJ38&lt;=0.5),"Medium","High"))</f>
        <v>Low</v>
      </c>
      <c r="AL38" s="3" t="n">
        <v>1</v>
      </c>
      <c r="AM38" s="2" t="s">
        <v>58</v>
      </c>
      <c r="AN38" s="2" t="s">
        <v>59</v>
      </c>
      <c r="AO38" s="2" t="s">
        <v>60</v>
      </c>
      <c r="AP38" s="7" t="n">
        <v>0.137</v>
      </c>
    </row>
    <row r="39" customFormat="false" ht="15" hidden="false" customHeight="false" outlineLevel="0" collapsed="false">
      <c r="A39" s="2" t="s">
        <v>299</v>
      </c>
      <c r="B39" s="2" t="s">
        <v>300</v>
      </c>
      <c r="C39" s="2" t="s">
        <v>301</v>
      </c>
      <c r="D39" s="2" t="s">
        <v>45</v>
      </c>
      <c r="E39" s="3" t="n">
        <v>40</v>
      </c>
      <c r="F39" s="2" t="s">
        <v>64</v>
      </c>
      <c r="G39" s="2" t="s">
        <v>166</v>
      </c>
      <c r="H39" s="2" t="s">
        <v>167</v>
      </c>
      <c r="I39" s="4" t="n">
        <v>159500</v>
      </c>
      <c r="J39" s="2" t="s">
        <v>145</v>
      </c>
      <c r="K39" s="3" t="n">
        <v>15</v>
      </c>
      <c r="L39" s="2" t="s">
        <v>302</v>
      </c>
      <c r="M39" s="2" t="s">
        <v>67</v>
      </c>
      <c r="N39" s="2" t="s">
        <v>140</v>
      </c>
      <c r="O39" s="3" t="n">
        <v>1</v>
      </c>
      <c r="P39" s="2" t="s">
        <v>103</v>
      </c>
      <c r="Q39" s="2" t="s">
        <v>104</v>
      </c>
      <c r="R39" s="2" t="s">
        <v>67</v>
      </c>
      <c r="S39" s="2" t="s">
        <v>67</v>
      </c>
      <c r="T39" s="2" t="s">
        <v>303</v>
      </c>
      <c r="U39" s="2" t="s">
        <v>85</v>
      </c>
      <c r="V39" s="4" t="n">
        <v>225000</v>
      </c>
      <c r="W39" s="5" t="n">
        <v>8.01</v>
      </c>
      <c r="X39" s="3" t="n">
        <v>12</v>
      </c>
      <c r="Y39" s="6" t="n">
        <v>46194</v>
      </c>
      <c r="Z39" s="6" t="n">
        <v>46198</v>
      </c>
      <c r="AA39" s="6" t="n">
        <v>46202</v>
      </c>
      <c r="AB39" s="4" t="n">
        <f aca="false">ROUND(PMT(W39/1200,X39,-V39),2)</f>
        <v>19573.44</v>
      </c>
      <c r="AC39" s="4" t="n">
        <v>0</v>
      </c>
      <c r="AD39" s="3" t="n">
        <v>0</v>
      </c>
      <c r="AE39" s="4" t="n">
        <v>221900</v>
      </c>
      <c r="AF39" s="4" t="n">
        <v>97800</v>
      </c>
      <c r="AG39" s="3" t="n">
        <v>19</v>
      </c>
      <c r="AH39" s="4"/>
      <c r="AI39" s="3" t="n">
        <v>900</v>
      </c>
      <c r="AJ39" s="7" t="n">
        <f aca="false">ROUND(AB39/I39,4)</f>
        <v>0.1227</v>
      </c>
      <c r="AK39" s="2" t="str">
        <f aca="false">IF(AND(AI39&gt;=750,AJ39&lt;=0.35),"Low",IF(AND(AI39&gt;=600,AJ39&lt;=0.5),"Medium","High"))</f>
        <v>Low</v>
      </c>
      <c r="AL39" s="3" t="n">
        <v>0</v>
      </c>
      <c r="AM39" s="2" t="s">
        <v>58</v>
      </c>
      <c r="AN39" s="2" t="s">
        <v>59</v>
      </c>
      <c r="AO39" s="2" t="s">
        <v>60</v>
      </c>
      <c r="AP39" s="7" t="n">
        <v>0.08</v>
      </c>
    </row>
    <row r="40" customFormat="false" ht="15" hidden="false" customHeight="false" outlineLevel="0" collapsed="false">
      <c r="A40" s="2" t="s">
        <v>304</v>
      </c>
      <c r="B40" s="2" t="s">
        <v>305</v>
      </c>
      <c r="C40" s="2" t="s">
        <v>306</v>
      </c>
      <c r="D40" s="2" t="s">
        <v>109</v>
      </c>
      <c r="E40" s="3" t="n">
        <v>30</v>
      </c>
      <c r="F40" s="2" t="s">
        <v>64</v>
      </c>
      <c r="G40" s="2" t="s">
        <v>90</v>
      </c>
      <c r="H40" s="2" t="s">
        <v>101</v>
      </c>
      <c r="I40" s="4" t="n">
        <v>71500</v>
      </c>
      <c r="J40" s="2" t="s">
        <v>90</v>
      </c>
      <c r="K40" s="3" t="n">
        <v>8</v>
      </c>
      <c r="L40" s="2" t="s">
        <v>91</v>
      </c>
      <c r="M40" s="2" t="s">
        <v>92</v>
      </c>
      <c r="N40" s="2" t="s">
        <v>140</v>
      </c>
      <c r="O40" s="3" t="n">
        <v>1</v>
      </c>
      <c r="P40" s="2" t="s">
        <v>124</v>
      </c>
      <c r="Q40" s="2" t="s">
        <v>125</v>
      </c>
      <c r="R40" s="2" t="s">
        <v>91</v>
      </c>
      <c r="S40" s="2" t="s">
        <v>92</v>
      </c>
      <c r="T40" s="2" t="s">
        <v>307</v>
      </c>
      <c r="U40" s="2" t="s">
        <v>192</v>
      </c>
      <c r="V40" s="4" t="n">
        <v>1192000</v>
      </c>
      <c r="W40" s="5" t="n">
        <v>10.64</v>
      </c>
      <c r="X40" s="3" t="n">
        <v>66</v>
      </c>
      <c r="Y40" s="6" t="n">
        <v>46190</v>
      </c>
      <c r="Z40" s="6" t="n">
        <v>46198</v>
      </c>
      <c r="AA40" s="6" t="n">
        <v>46199</v>
      </c>
      <c r="AB40" s="4" t="n">
        <f aca="false">ROUND(PMT(W40/1200,X40,-V40),2)</f>
        <v>23935.36</v>
      </c>
      <c r="AC40" s="4" t="n">
        <v>1534000</v>
      </c>
      <c r="AD40" s="3" t="n">
        <v>3</v>
      </c>
      <c r="AE40" s="4" t="n">
        <v>234800</v>
      </c>
      <c r="AF40" s="4" t="n">
        <v>47200</v>
      </c>
      <c r="AG40" s="3" t="n">
        <v>29</v>
      </c>
      <c r="AH40" s="4" t="n">
        <v>30800</v>
      </c>
      <c r="AI40" s="3" t="n">
        <v>751</v>
      </c>
      <c r="AJ40" s="7" t="n">
        <f aca="false">ROUND(AB40/I40,4)</f>
        <v>0.3348</v>
      </c>
      <c r="AK40" s="2" t="str">
        <f aca="false">IF(AND(AI40&gt;=750,AJ40&lt;=0.35),"Low",IF(AND(AI40&gt;=600,AJ40&lt;=0.5),"Medium","High"))</f>
        <v>Low</v>
      </c>
      <c r="AL40" s="3" t="n">
        <v>0</v>
      </c>
      <c r="AM40" s="2" t="s">
        <v>58</v>
      </c>
      <c r="AN40" s="2" t="s">
        <v>59</v>
      </c>
      <c r="AO40" s="2" t="s">
        <v>60</v>
      </c>
      <c r="AP40" s="7" t="n">
        <v>0.172</v>
      </c>
    </row>
    <row r="41" customFormat="false" ht="15" hidden="false" customHeight="false" outlineLevel="0" collapsed="false">
      <c r="A41" s="2" t="s">
        <v>308</v>
      </c>
      <c r="B41" s="2" t="s">
        <v>309</v>
      </c>
      <c r="C41" s="2" t="s">
        <v>310</v>
      </c>
      <c r="D41" s="2" t="s">
        <v>109</v>
      </c>
      <c r="E41" s="3" t="n">
        <v>42</v>
      </c>
      <c r="F41" s="2" t="s">
        <v>46</v>
      </c>
      <c r="G41" s="2" t="s">
        <v>90</v>
      </c>
      <c r="H41" s="2" t="s">
        <v>48</v>
      </c>
      <c r="I41" s="4" t="n">
        <v>30000</v>
      </c>
      <c r="J41" s="2" t="s">
        <v>90</v>
      </c>
      <c r="K41" s="3" t="n">
        <v>23</v>
      </c>
      <c r="L41" s="2" t="s">
        <v>95</v>
      </c>
      <c r="M41" s="2" t="s">
        <v>92</v>
      </c>
      <c r="N41" s="2" t="s">
        <v>140</v>
      </c>
      <c r="O41" s="3" t="n">
        <v>0</v>
      </c>
      <c r="P41" s="2" t="s">
        <v>93</v>
      </c>
      <c r="Q41" s="2" t="s">
        <v>94</v>
      </c>
      <c r="R41" s="2" t="s">
        <v>95</v>
      </c>
      <c r="S41" s="2" t="s">
        <v>92</v>
      </c>
      <c r="T41" s="2" t="s">
        <v>311</v>
      </c>
      <c r="U41" s="2" t="s">
        <v>192</v>
      </c>
      <c r="V41" s="4" t="n">
        <v>393000</v>
      </c>
      <c r="W41" s="5" t="n">
        <v>12.35</v>
      </c>
      <c r="X41" s="3" t="n">
        <v>36</v>
      </c>
      <c r="Y41" s="6" t="n">
        <v>46179</v>
      </c>
      <c r="Z41" s="6"/>
      <c r="AA41" s="6"/>
      <c r="AB41" s="4" t="n">
        <f aca="false">ROUND(PMT(W41/1200,X41,-V41),2)</f>
        <v>13119.02</v>
      </c>
      <c r="AC41" s="4" t="n">
        <v>540000</v>
      </c>
      <c r="AD41" s="3" t="n">
        <v>1</v>
      </c>
      <c r="AE41" s="4" t="n">
        <v>109500</v>
      </c>
      <c r="AF41" s="4" t="n">
        <v>32000</v>
      </c>
      <c r="AG41" s="3" t="n">
        <v>28</v>
      </c>
      <c r="AH41" s="4" t="n">
        <v>22000</v>
      </c>
      <c r="AI41" s="3" t="n">
        <v>699</v>
      </c>
      <c r="AJ41" s="7" t="n">
        <f aca="false">ROUND(AB41/I41,4)</f>
        <v>0.4373</v>
      </c>
      <c r="AK41" s="2" t="str">
        <f aca="false">IF(AND(AI41&gt;=750,AJ41&lt;=0.35),"Low",IF(AND(AI41&gt;=600,AJ41&lt;=0.5),"Medium","High"))</f>
        <v>Medium</v>
      </c>
      <c r="AL41" s="3" t="n">
        <v>2</v>
      </c>
      <c r="AM41" s="2" t="s">
        <v>58</v>
      </c>
      <c r="AN41" s="2"/>
      <c r="AO41" s="2" t="s">
        <v>134</v>
      </c>
      <c r="AP41" s="7" t="n">
        <v>0.19</v>
      </c>
    </row>
    <row r="42" customFormat="false" ht="15" hidden="false" customHeight="false" outlineLevel="0" collapsed="false">
      <c r="A42" s="2" t="s">
        <v>312</v>
      </c>
      <c r="B42" s="2" t="s">
        <v>313</v>
      </c>
      <c r="C42" s="2" t="s">
        <v>314</v>
      </c>
      <c r="D42" s="2" t="s">
        <v>45</v>
      </c>
      <c r="E42" s="3" t="n">
        <v>40</v>
      </c>
      <c r="F42" s="2" t="s">
        <v>64</v>
      </c>
      <c r="G42" s="2" t="s">
        <v>145</v>
      </c>
      <c r="H42" s="2"/>
      <c r="I42" s="4" t="n">
        <v>62000</v>
      </c>
      <c r="J42" s="2" t="s">
        <v>145</v>
      </c>
      <c r="K42" s="3" t="n">
        <v>15</v>
      </c>
      <c r="L42" s="2" t="s">
        <v>139</v>
      </c>
      <c r="M42" s="2" t="s">
        <v>139</v>
      </c>
      <c r="N42" s="2" t="s">
        <v>81</v>
      </c>
      <c r="O42" s="3" t="n">
        <v>0</v>
      </c>
      <c r="P42" s="2" t="s">
        <v>197</v>
      </c>
      <c r="Q42" s="2" t="s">
        <v>198</v>
      </c>
      <c r="R42" s="2" t="s">
        <v>139</v>
      </c>
      <c r="S42" s="2" t="s">
        <v>139</v>
      </c>
      <c r="T42" s="2" t="s">
        <v>315</v>
      </c>
      <c r="U42" s="2" t="s">
        <v>192</v>
      </c>
      <c r="V42" s="4" t="n">
        <v>794000</v>
      </c>
      <c r="W42" s="5" t="n">
        <v>13.94</v>
      </c>
      <c r="X42" s="3" t="n">
        <v>66</v>
      </c>
      <c r="Y42" s="6" t="n">
        <v>46184</v>
      </c>
      <c r="Z42" s="6" t="n">
        <v>46186</v>
      </c>
      <c r="AA42" s="6" t="n">
        <v>46190</v>
      </c>
      <c r="AB42" s="4" t="n">
        <f aca="false">ROUND(PMT(W42/1200,X42,-V42),2)</f>
        <v>17292.18</v>
      </c>
      <c r="AC42" s="4" t="n">
        <v>854000</v>
      </c>
      <c r="AD42" s="3" t="n">
        <v>2</v>
      </c>
      <c r="AE42" s="4" t="n">
        <v>192400</v>
      </c>
      <c r="AF42" s="4" t="n">
        <v>22500</v>
      </c>
      <c r="AG42" s="3" t="n">
        <v>16</v>
      </c>
      <c r="AH42" s="4" t="n">
        <v>46900</v>
      </c>
      <c r="AI42" s="3" t="n">
        <v>753</v>
      </c>
      <c r="AJ42" s="7" t="n">
        <f aca="false">ROUND(AB42/I42,4)</f>
        <v>0.2789</v>
      </c>
      <c r="AK42" s="2" t="str">
        <f aca="false">IF(AND(AI42&gt;=750,AJ42&lt;=0.35),"Low",IF(AND(AI42&gt;=600,AJ42&lt;=0.5),"Medium","High"))</f>
        <v>Low</v>
      </c>
      <c r="AL42" s="3" t="n">
        <v>1</v>
      </c>
      <c r="AM42" s="2" t="s">
        <v>58</v>
      </c>
      <c r="AN42" s="2" t="s">
        <v>119</v>
      </c>
      <c r="AO42" s="2" t="s">
        <v>60</v>
      </c>
      <c r="AP42" s="7" t="n">
        <v>0.145</v>
      </c>
    </row>
    <row r="43" customFormat="false" ht="15" hidden="false" customHeight="false" outlineLevel="0" collapsed="false">
      <c r="A43" s="2" t="s">
        <v>316</v>
      </c>
      <c r="B43" s="2" t="s">
        <v>317</v>
      </c>
      <c r="C43" s="2" t="s">
        <v>318</v>
      </c>
      <c r="D43" s="2" t="s">
        <v>45</v>
      </c>
      <c r="E43" s="3" t="n">
        <v>43</v>
      </c>
      <c r="F43" s="2" t="s">
        <v>46</v>
      </c>
      <c r="G43" s="2" t="s">
        <v>47</v>
      </c>
      <c r="H43" s="2" t="s">
        <v>48</v>
      </c>
      <c r="I43" s="4" t="n">
        <v>115500</v>
      </c>
      <c r="J43" s="2" t="s">
        <v>49</v>
      </c>
      <c r="K43" s="3" t="n">
        <v>20</v>
      </c>
      <c r="L43" s="2" t="s">
        <v>159</v>
      </c>
      <c r="M43" s="2" t="s">
        <v>159</v>
      </c>
      <c r="N43" s="2" t="s">
        <v>140</v>
      </c>
      <c r="O43" s="3" t="n">
        <v>0</v>
      </c>
      <c r="P43" s="2" t="s">
        <v>160</v>
      </c>
      <c r="Q43" s="2" t="s">
        <v>161</v>
      </c>
      <c r="R43" s="2" t="s">
        <v>159</v>
      </c>
      <c r="S43" s="2" t="s">
        <v>159</v>
      </c>
      <c r="T43" s="2" t="s">
        <v>319</v>
      </c>
      <c r="U43" s="2" t="s">
        <v>85</v>
      </c>
      <c r="V43" s="4" t="n">
        <v>662000</v>
      </c>
      <c r="W43" s="5" t="n">
        <v>7.8</v>
      </c>
      <c r="X43" s="3" t="n">
        <v>24</v>
      </c>
      <c r="Y43" s="6" t="n">
        <v>46196</v>
      </c>
      <c r="Z43" s="6" t="n">
        <v>46197</v>
      </c>
      <c r="AA43" s="6" t="n">
        <v>46203</v>
      </c>
      <c r="AB43" s="4" t="n">
        <f aca="false">ROUND(PMT(W43/1200,X43,-V43),2)</f>
        <v>29880.12</v>
      </c>
      <c r="AC43" s="4" t="n">
        <v>0</v>
      </c>
      <c r="AD43" s="3" t="n">
        <v>1</v>
      </c>
      <c r="AE43" s="4" t="n">
        <v>338300</v>
      </c>
      <c r="AF43" s="4" t="n">
        <v>125600</v>
      </c>
      <c r="AG43" s="3" t="n">
        <v>46</v>
      </c>
      <c r="AH43" s="4" t="n">
        <v>57900</v>
      </c>
      <c r="AI43" s="3" t="n">
        <v>854</v>
      </c>
      <c r="AJ43" s="7" t="n">
        <f aca="false">ROUND(AB43/I43,4)</f>
        <v>0.2587</v>
      </c>
      <c r="AK43" s="2" t="str">
        <f aca="false">IF(AND(AI43&gt;=750,AJ43&lt;=0.35),"Low",IF(AND(AI43&gt;=600,AJ43&lt;=0.5),"Medium","High"))</f>
        <v>Low</v>
      </c>
      <c r="AL43" s="3" t="n">
        <v>0</v>
      </c>
      <c r="AM43" s="2" t="s">
        <v>58</v>
      </c>
      <c r="AN43" s="2" t="s">
        <v>59</v>
      </c>
      <c r="AO43" s="2" t="s">
        <v>60</v>
      </c>
      <c r="AP43" s="7" t="n">
        <v>0.117</v>
      </c>
    </row>
    <row r="44" customFormat="false" ht="15" hidden="false" customHeight="false" outlineLevel="0" collapsed="false">
      <c r="A44" s="2" t="s">
        <v>320</v>
      </c>
      <c r="B44" s="2" t="s">
        <v>321</v>
      </c>
      <c r="C44" s="2" t="s">
        <v>322</v>
      </c>
      <c r="D44" s="2" t="s">
        <v>109</v>
      </c>
      <c r="E44" s="3" t="n">
        <v>26</v>
      </c>
      <c r="F44" s="2" t="s">
        <v>175</v>
      </c>
      <c r="G44" s="2" t="s">
        <v>207</v>
      </c>
      <c r="H44" s="2" t="s">
        <v>77</v>
      </c>
      <c r="I44" s="4" t="n">
        <v>31000</v>
      </c>
      <c r="J44" s="2" t="s">
        <v>49</v>
      </c>
      <c r="K44" s="3" t="n">
        <v>0</v>
      </c>
      <c r="L44" s="2" t="s">
        <v>92</v>
      </c>
      <c r="M44" s="2" t="s">
        <v>92</v>
      </c>
      <c r="N44" s="2" t="s">
        <v>140</v>
      </c>
      <c r="O44" s="3" t="n">
        <v>1</v>
      </c>
      <c r="P44" s="2" t="s">
        <v>169</v>
      </c>
      <c r="Q44" s="2" t="s">
        <v>170</v>
      </c>
      <c r="R44" s="2" t="s">
        <v>92</v>
      </c>
      <c r="S44" s="2" t="s">
        <v>92</v>
      </c>
      <c r="T44" s="2" t="s">
        <v>323</v>
      </c>
      <c r="U44" s="2" t="s">
        <v>180</v>
      </c>
      <c r="V44" s="4" t="n">
        <v>338000</v>
      </c>
      <c r="W44" s="5" t="n">
        <v>11.7</v>
      </c>
      <c r="X44" s="3" t="n">
        <v>42</v>
      </c>
      <c r="Y44" s="6" t="n">
        <v>46189</v>
      </c>
      <c r="Z44" s="6" t="n">
        <v>46198</v>
      </c>
      <c r="AA44" s="6" t="n">
        <v>46200</v>
      </c>
      <c r="AB44" s="4" t="n">
        <f aca="false">ROUND(PMT(W44/1200,X44,-V44),2)</f>
        <v>9846.14</v>
      </c>
      <c r="AC44" s="4" t="n">
        <v>441000</v>
      </c>
      <c r="AD44" s="3" t="n">
        <v>0</v>
      </c>
      <c r="AE44" s="4" t="n">
        <v>91100</v>
      </c>
      <c r="AF44" s="4" t="n">
        <v>51100</v>
      </c>
      <c r="AG44" s="3" t="n">
        <v>38</v>
      </c>
      <c r="AH44" s="4" t="n">
        <v>26800</v>
      </c>
      <c r="AI44" s="3" t="n">
        <v>756</v>
      </c>
      <c r="AJ44" s="7" t="n">
        <f aca="false">ROUND(AB44/I44,4)</f>
        <v>0.3176</v>
      </c>
      <c r="AK44" s="2" t="str">
        <f aca="false">IF(AND(AI44&gt;=750,AJ44&lt;=0.35),"Low",IF(AND(AI44&gt;=600,AJ44&lt;=0.5),"Medium","High"))</f>
        <v>Low</v>
      </c>
      <c r="AL44" s="3" t="n">
        <v>0</v>
      </c>
      <c r="AM44" s="2" t="s">
        <v>58</v>
      </c>
      <c r="AN44" s="2" t="s">
        <v>59</v>
      </c>
      <c r="AO44" s="2" t="s">
        <v>60</v>
      </c>
      <c r="AP44" s="7" t="n">
        <v>0.176</v>
      </c>
    </row>
    <row r="45" customFormat="false" ht="15" hidden="false" customHeight="false" outlineLevel="0" collapsed="false">
      <c r="A45" s="2" t="s">
        <v>324</v>
      </c>
      <c r="B45" s="2" t="s">
        <v>325</v>
      </c>
      <c r="C45" s="2" t="s">
        <v>326</v>
      </c>
      <c r="D45" s="2" t="s">
        <v>45</v>
      </c>
      <c r="E45" s="3" t="n">
        <v>40</v>
      </c>
      <c r="F45" s="2" t="s">
        <v>46</v>
      </c>
      <c r="G45" s="2" t="s">
        <v>176</v>
      </c>
      <c r="H45" s="2" t="s">
        <v>123</v>
      </c>
      <c r="I45" s="4" t="n">
        <v>39500</v>
      </c>
      <c r="J45" s="2" t="s">
        <v>177</v>
      </c>
      <c r="K45" s="3" t="n">
        <v>16</v>
      </c>
      <c r="L45" s="2" t="s">
        <v>327</v>
      </c>
      <c r="M45" s="2" t="s">
        <v>92</v>
      </c>
      <c r="N45" s="2" t="s">
        <v>81</v>
      </c>
      <c r="O45" s="3" t="n">
        <v>0</v>
      </c>
      <c r="P45" s="2" t="s">
        <v>124</v>
      </c>
      <c r="Q45" s="2" t="s">
        <v>125</v>
      </c>
      <c r="R45" s="2" t="s">
        <v>91</v>
      </c>
      <c r="S45" s="2" t="s">
        <v>92</v>
      </c>
      <c r="T45" s="2" t="s">
        <v>328</v>
      </c>
      <c r="U45" s="2" t="s">
        <v>192</v>
      </c>
      <c r="V45" s="4" t="n">
        <v>645000</v>
      </c>
      <c r="W45" s="5" t="n">
        <v>14.37</v>
      </c>
      <c r="X45" s="3" t="n">
        <v>72</v>
      </c>
      <c r="Y45" s="6" t="n">
        <v>46201</v>
      </c>
      <c r="Z45" s="6" t="n">
        <v>46210</v>
      </c>
      <c r="AA45" s="6" t="n">
        <v>46214</v>
      </c>
      <c r="AB45" s="4" t="n">
        <f aca="false">ROUND(PMT(W45/1200,X45,-V45),2)</f>
        <v>13418.83</v>
      </c>
      <c r="AC45" s="4" t="n">
        <v>685000</v>
      </c>
      <c r="AD45" s="3" t="n">
        <v>0</v>
      </c>
      <c r="AE45" s="4" t="n">
        <v>74900</v>
      </c>
      <c r="AF45" s="4" t="n">
        <v>9500</v>
      </c>
      <c r="AG45" s="3" t="n">
        <v>35</v>
      </c>
      <c r="AH45" s="4" t="n">
        <v>22400</v>
      </c>
      <c r="AI45" s="3" t="n">
        <v>728</v>
      </c>
      <c r="AJ45" s="7" t="n">
        <f aca="false">ROUND(AB45/I45,4)</f>
        <v>0.3397</v>
      </c>
      <c r="AK45" s="2" t="str">
        <f aca="false">IF(AND(AI45&gt;=750,AJ45&lt;=0.35),"Low",IF(AND(AI45&gt;=600,AJ45&lt;=0.5),"Medium","High"))</f>
        <v>Medium</v>
      </c>
      <c r="AL45" s="3" t="n">
        <v>2</v>
      </c>
      <c r="AM45" s="2" t="s">
        <v>58</v>
      </c>
      <c r="AN45" s="2" t="s">
        <v>59</v>
      </c>
      <c r="AO45" s="2" t="s">
        <v>60</v>
      </c>
      <c r="AP45" s="7" t="n">
        <v>0.328</v>
      </c>
    </row>
    <row r="46" customFormat="false" ht="15" hidden="false" customHeight="false" outlineLevel="0" collapsed="false">
      <c r="A46" s="2" t="s">
        <v>329</v>
      </c>
      <c r="B46" s="2" t="s">
        <v>330</v>
      </c>
      <c r="C46" s="2" t="s">
        <v>331</v>
      </c>
      <c r="D46" s="2" t="s">
        <v>109</v>
      </c>
      <c r="E46" s="3" t="n">
        <v>26</v>
      </c>
      <c r="F46" s="2" t="s">
        <v>64</v>
      </c>
      <c r="G46" s="2" t="s">
        <v>65</v>
      </c>
      <c r="H46" s="2" t="s">
        <v>48</v>
      </c>
      <c r="I46" s="4" t="n">
        <v>21000</v>
      </c>
      <c r="J46" s="2" t="s">
        <v>49</v>
      </c>
      <c r="K46" s="3" t="n">
        <v>0</v>
      </c>
      <c r="L46" s="2" t="s">
        <v>188</v>
      </c>
      <c r="M46" s="2" t="s">
        <v>51</v>
      </c>
      <c r="N46" s="2" t="s">
        <v>140</v>
      </c>
      <c r="O46" s="3" t="n">
        <v>2</v>
      </c>
      <c r="P46" s="2" t="s">
        <v>189</v>
      </c>
      <c r="Q46" s="2" t="s">
        <v>190</v>
      </c>
      <c r="R46" s="2" t="s">
        <v>188</v>
      </c>
      <c r="S46" s="2" t="s">
        <v>51</v>
      </c>
      <c r="T46" s="2" t="s">
        <v>332</v>
      </c>
      <c r="U46" s="2" t="s">
        <v>192</v>
      </c>
      <c r="V46" s="4" t="n">
        <v>236000</v>
      </c>
      <c r="W46" s="5" t="n">
        <v>11.16</v>
      </c>
      <c r="X46" s="3" t="n">
        <v>24</v>
      </c>
      <c r="Y46" s="6" t="n">
        <v>46195</v>
      </c>
      <c r="Z46" s="6"/>
      <c r="AA46" s="6"/>
      <c r="AB46" s="4" t="n">
        <f aca="false">ROUND(PMT(W46/1200,X46,-V46),2)</f>
        <v>11016.99</v>
      </c>
      <c r="AC46" s="4" t="n">
        <v>295000</v>
      </c>
      <c r="AD46" s="3" t="n">
        <v>0</v>
      </c>
      <c r="AE46" s="4" t="n">
        <v>37100</v>
      </c>
      <c r="AF46" s="4" t="n">
        <v>14500</v>
      </c>
      <c r="AG46" s="3" t="n">
        <v>25</v>
      </c>
      <c r="AH46" s="4" t="n">
        <v>16900</v>
      </c>
      <c r="AI46" s="3" t="n">
        <v>660</v>
      </c>
      <c r="AJ46" s="7" t="n">
        <f aca="false">ROUND(AB46/I46,4)</f>
        <v>0.5246</v>
      </c>
      <c r="AK46" s="2" t="str">
        <f aca="false">IF(AND(AI46&gt;=750,AJ46&lt;=0.35),"Low",IF(AND(AI46&gt;=600,AJ46&lt;=0.5),"Medium","High"))</f>
        <v>High</v>
      </c>
      <c r="AL46" s="3" t="n">
        <v>1</v>
      </c>
      <c r="AM46" s="2" t="s">
        <v>58</v>
      </c>
      <c r="AN46" s="2"/>
      <c r="AO46" s="2" t="s">
        <v>127</v>
      </c>
      <c r="AP46" s="7" t="n">
        <v>0.306</v>
      </c>
    </row>
    <row r="47" customFormat="false" ht="15" hidden="false" customHeight="false" outlineLevel="0" collapsed="false">
      <c r="A47" s="2" t="s">
        <v>333</v>
      </c>
      <c r="B47" s="2" t="s">
        <v>334</v>
      </c>
      <c r="C47" s="2" t="s">
        <v>335</v>
      </c>
      <c r="D47" s="2" t="s">
        <v>109</v>
      </c>
      <c r="E47" s="3" t="n">
        <v>35</v>
      </c>
      <c r="F47" s="2" t="s">
        <v>64</v>
      </c>
      <c r="G47" s="2" t="s">
        <v>246</v>
      </c>
      <c r="H47" s="2" t="s">
        <v>77</v>
      </c>
      <c r="I47" s="4" t="n">
        <v>13500</v>
      </c>
      <c r="J47" s="2" t="s">
        <v>145</v>
      </c>
      <c r="K47" s="3" t="n">
        <v>12</v>
      </c>
      <c r="L47" s="2" t="s">
        <v>70</v>
      </c>
      <c r="M47" s="2" t="s">
        <v>67</v>
      </c>
      <c r="N47" s="2" t="s">
        <v>81</v>
      </c>
      <c r="O47" s="3" t="n">
        <v>0</v>
      </c>
      <c r="P47" s="2" t="s">
        <v>103</v>
      </c>
      <c r="Q47" s="2" t="s">
        <v>104</v>
      </c>
      <c r="R47" s="2" t="s">
        <v>67</v>
      </c>
      <c r="S47" s="2" t="s">
        <v>67</v>
      </c>
      <c r="T47" s="2" t="s">
        <v>336</v>
      </c>
      <c r="U47" s="2" t="s">
        <v>85</v>
      </c>
      <c r="V47" s="4" t="n">
        <v>50000</v>
      </c>
      <c r="W47" s="5" t="n">
        <v>8.09</v>
      </c>
      <c r="X47" s="3" t="n">
        <v>6</v>
      </c>
      <c r="Y47" s="6" t="n">
        <v>46199</v>
      </c>
      <c r="Z47" s="6"/>
      <c r="AA47" s="6"/>
      <c r="AB47" s="4" t="n">
        <f aca="false">ROUND(PMT(W47/1200,X47,-V47),2)</f>
        <v>8531.07</v>
      </c>
      <c r="AC47" s="4" t="n">
        <v>0</v>
      </c>
      <c r="AD47" s="3" t="n">
        <v>2</v>
      </c>
      <c r="AE47" s="4" t="n">
        <v>9900</v>
      </c>
      <c r="AF47" s="4" t="n">
        <v>4800</v>
      </c>
      <c r="AG47" s="3" t="n">
        <v>12</v>
      </c>
      <c r="AH47" s="4" t="n">
        <v>8900</v>
      </c>
      <c r="AI47" s="3" t="n">
        <v>693</v>
      </c>
      <c r="AJ47" s="7" t="n">
        <f aca="false">ROUND(AB47/I47,4)</f>
        <v>0.6319</v>
      </c>
      <c r="AK47" s="2" t="str">
        <f aca="false">IF(AND(AI47&gt;=750,AJ47&lt;=0.35),"Low",IF(AND(AI47&gt;=600,AJ47&lt;=0.5),"Medium","High"))</f>
        <v>High</v>
      </c>
      <c r="AL47" s="3" t="n">
        <v>2</v>
      </c>
      <c r="AM47" s="2" t="s">
        <v>233</v>
      </c>
      <c r="AN47" s="2"/>
      <c r="AO47" s="2" t="s">
        <v>134</v>
      </c>
      <c r="AP47" s="7" t="n">
        <v>0.461</v>
      </c>
    </row>
    <row r="48" customFormat="false" ht="15" hidden="false" customHeight="false" outlineLevel="0" collapsed="false">
      <c r="A48" s="2" t="s">
        <v>337</v>
      </c>
      <c r="B48" s="2" t="s">
        <v>338</v>
      </c>
      <c r="C48" s="2" t="s">
        <v>339</v>
      </c>
      <c r="D48" s="2" t="s">
        <v>45</v>
      </c>
      <c r="E48" s="3" t="n">
        <v>21</v>
      </c>
      <c r="F48" s="2" t="s">
        <v>64</v>
      </c>
      <c r="G48" s="2" t="s">
        <v>47</v>
      </c>
      <c r="H48" s="2" t="s">
        <v>101</v>
      </c>
      <c r="I48" s="4" t="n">
        <v>136000</v>
      </c>
      <c r="J48" s="2" t="s">
        <v>49</v>
      </c>
      <c r="K48" s="3" t="n">
        <v>0</v>
      </c>
      <c r="L48" s="2" t="s">
        <v>297</v>
      </c>
      <c r="M48" s="2" t="s">
        <v>92</v>
      </c>
      <c r="N48" s="2" t="s">
        <v>140</v>
      </c>
      <c r="O48" s="3" t="n">
        <v>2</v>
      </c>
      <c r="P48" s="2" t="s">
        <v>124</v>
      </c>
      <c r="Q48" s="2" t="s">
        <v>125</v>
      </c>
      <c r="R48" s="2" t="s">
        <v>91</v>
      </c>
      <c r="S48" s="2" t="s">
        <v>92</v>
      </c>
      <c r="T48" s="2" t="s">
        <v>340</v>
      </c>
      <c r="U48" s="2" t="s">
        <v>180</v>
      </c>
      <c r="V48" s="4" t="n">
        <v>1556000</v>
      </c>
      <c r="W48" s="5" t="n">
        <v>10.4</v>
      </c>
      <c r="X48" s="3" t="n">
        <v>54</v>
      </c>
      <c r="Y48" s="6" t="n">
        <v>46183</v>
      </c>
      <c r="Z48" s="6"/>
      <c r="AA48" s="6"/>
      <c r="AB48" s="4" t="n">
        <f aca="false">ROUND(PMT(W48/1200,X48,-V48),2)</f>
        <v>36203.94</v>
      </c>
      <c r="AC48" s="4" t="n">
        <v>2069000</v>
      </c>
      <c r="AD48" s="3" t="n">
        <v>0</v>
      </c>
      <c r="AE48" s="4" t="n">
        <v>77400</v>
      </c>
      <c r="AF48" s="4" t="n">
        <v>11800</v>
      </c>
      <c r="AG48" s="3" t="n">
        <v>12</v>
      </c>
      <c r="AH48" s="4" t="n">
        <v>127800</v>
      </c>
      <c r="AI48" s="3" t="n">
        <v>589</v>
      </c>
      <c r="AJ48" s="7" t="n">
        <f aca="false">ROUND(AB48/I48,4)</f>
        <v>0.2662</v>
      </c>
      <c r="AK48" s="2" t="str">
        <f aca="false">IF(AND(AI48&gt;=750,AJ48&lt;=0.35),"Low",IF(AND(AI48&gt;=600,AJ48&lt;=0.5),"Medium","High"))</f>
        <v>High</v>
      </c>
      <c r="AL48" s="3" t="n">
        <v>2</v>
      </c>
      <c r="AM48" s="2" t="s">
        <v>58</v>
      </c>
      <c r="AN48" s="2"/>
      <c r="AO48" s="2" t="s">
        <v>134</v>
      </c>
      <c r="AP48" s="7" t="n">
        <v>0.383</v>
      </c>
    </row>
    <row r="49" customFormat="false" ht="15" hidden="false" customHeight="false" outlineLevel="0" collapsed="false">
      <c r="A49" s="2" t="s">
        <v>341</v>
      </c>
      <c r="B49" s="2" t="s">
        <v>342</v>
      </c>
      <c r="C49" s="2" t="s">
        <v>343</v>
      </c>
      <c r="D49" s="2" t="s">
        <v>45</v>
      </c>
      <c r="E49" s="3" t="n">
        <v>43</v>
      </c>
      <c r="F49" s="2" t="s">
        <v>64</v>
      </c>
      <c r="G49" s="2" t="s">
        <v>76</v>
      </c>
      <c r="H49" s="2" t="s">
        <v>48</v>
      </c>
      <c r="I49" s="4" t="n">
        <v>39500</v>
      </c>
      <c r="J49" s="2" t="s">
        <v>78</v>
      </c>
      <c r="K49" s="3" t="n">
        <v>23</v>
      </c>
      <c r="L49" s="2" t="s">
        <v>302</v>
      </c>
      <c r="M49" s="2" t="s">
        <v>67</v>
      </c>
      <c r="N49" s="2" t="s">
        <v>52</v>
      </c>
      <c r="O49" s="3" t="n">
        <v>1</v>
      </c>
      <c r="P49" s="2" t="s">
        <v>68</v>
      </c>
      <c r="Q49" s="2" t="s">
        <v>69</v>
      </c>
      <c r="R49" s="2" t="s">
        <v>70</v>
      </c>
      <c r="S49" s="2" t="s">
        <v>67</v>
      </c>
      <c r="T49" s="2" t="s">
        <v>344</v>
      </c>
      <c r="U49" s="2" t="s">
        <v>180</v>
      </c>
      <c r="V49" s="4" t="n">
        <v>308000</v>
      </c>
      <c r="W49" s="5" t="n">
        <v>11.94</v>
      </c>
      <c r="X49" s="3" t="n">
        <v>24</v>
      </c>
      <c r="Y49" s="6" t="n">
        <v>46187</v>
      </c>
      <c r="Z49" s="6" t="n">
        <v>46190</v>
      </c>
      <c r="AA49" s="6" t="n">
        <v>46192</v>
      </c>
      <c r="AB49" s="4" t="n">
        <f aca="false">ROUND(PMT(W49/1200,X49,-V49),2)</f>
        <v>14490</v>
      </c>
      <c r="AC49" s="4" t="n">
        <v>353000</v>
      </c>
      <c r="AD49" s="3" t="n">
        <v>0</v>
      </c>
      <c r="AE49" s="4" t="n">
        <v>143200</v>
      </c>
      <c r="AF49" s="4" t="n">
        <v>72800</v>
      </c>
      <c r="AG49" s="3" t="n">
        <v>52</v>
      </c>
      <c r="AH49" s="4" t="n">
        <v>22700</v>
      </c>
      <c r="AI49" s="3" t="n">
        <v>794</v>
      </c>
      <c r="AJ49" s="7" t="n">
        <f aca="false">ROUND(AB49/I49,4)</f>
        <v>0.3668</v>
      </c>
      <c r="AK49" s="2" t="str">
        <f aca="false">IF(AND(AI49&gt;=750,AJ49&lt;=0.35),"Low",IF(AND(AI49&gt;=600,AJ49&lt;=0.5),"Medium","High"))</f>
        <v>Medium</v>
      </c>
      <c r="AL49" s="3" t="n">
        <v>1</v>
      </c>
      <c r="AM49" s="2" t="s">
        <v>58</v>
      </c>
      <c r="AN49" s="2" t="s">
        <v>59</v>
      </c>
      <c r="AO49" s="2" t="s">
        <v>60</v>
      </c>
      <c r="AP49" s="7" t="n">
        <v>0.085</v>
      </c>
    </row>
    <row r="50" customFormat="false" ht="15" hidden="false" customHeight="false" outlineLevel="0" collapsed="false">
      <c r="A50" s="2" t="s">
        <v>345</v>
      </c>
      <c r="B50" s="2" t="s">
        <v>346</v>
      </c>
      <c r="C50" s="2" t="s">
        <v>347</v>
      </c>
      <c r="D50" s="2" t="s">
        <v>45</v>
      </c>
      <c r="E50" s="3" t="n">
        <v>30</v>
      </c>
      <c r="F50" s="2" t="s">
        <v>64</v>
      </c>
      <c r="G50" s="2" t="s">
        <v>176</v>
      </c>
      <c r="H50" s="2" t="s">
        <v>123</v>
      </c>
      <c r="I50" s="4" t="n">
        <v>31000</v>
      </c>
      <c r="J50" s="2" t="s">
        <v>177</v>
      </c>
      <c r="K50" s="3" t="n">
        <v>3</v>
      </c>
      <c r="L50" s="2" t="s">
        <v>348</v>
      </c>
      <c r="M50" s="2" t="s">
        <v>67</v>
      </c>
      <c r="N50" s="2" t="s">
        <v>140</v>
      </c>
      <c r="O50" s="3" t="n">
        <v>1</v>
      </c>
      <c r="P50" s="2" t="s">
        <v>160</v>
      </c>
      <c r="Q50" s="2" t="s">
        <v>161</v>
      </c>
      <c r="R50" s="2" t="s">
        <v>159</v>
      </c>
      <c r="S50" s="2" t="s">
        <v>159</v>
      </c>
      <c r="T50" s="2" t="s">
        <v>349</v>
      </c>
      <c r="U50" s="2" t="s">
        <v>180</v>
      </c>
      <c r="V50" s="4" t="n">
        <v>574000</v>
      </c>
      <c r="W50" s="5" t="n">
        <v>13.51</v>
      </c>
      <c r="X50" s="3" t="n">
        <v>42</v>
      </c>
      <c r="Y50" s="6" t="n">
        <v>46185</v>
      </c>
      <c r="Z50" s="6"/>
      <c r="AA50" s="6"/>
      <c r="AB50" s="4" t="n">
        <f aca="false">ROUND(PMT(W50/1200,X50,-V50),2)</f>
        <v>17226.89</v>
      </c>
      <c r="AC50" s="4" t="n">
        <v>831000</v>
      </c>
      <c r="AD50" s="3" t="n">
        <v>1</v>
      </c>
      <c r="AE50" s="4" t="n">
        <v>17900</v>
      </c>
      <c r="AF50" s="4" t="n">
        <v>4200</v>
      </c>
      <c r="AG50" s="3" t="n">
        <v>46</v>
      </c>
      <c r="AH50" s="4" t="n">
        <v>22700</v>
      </c>
      <c r="AI50" s="3" t="n">
        <v>485</v>
      </c>
      <c r="AJ50" s="7" t="n">
        <f aca="false">ROUND(AB50/I50,4)</f>
        <v>0.5557</v>
      </c>
      <c r="AK50" s="2" t="str">
        <f aca="false">IF(AND(AI50&gt;=750,AJ50&lt;=0.35),"Low",IF(AND(AI50&gt;=600,AJ50&lt;=0.5),"Medium","High"))</f>
        <v>High</v>
      </c>
      <c r="AL50" s="3" t="n">
        <v>3</v>
      </c>
      <c r="AM50" s="2" t="s">
        <v>58</v>
      </c>
      <c r="AN50" s="2"/>
      <c r="AO50" s="2" t="s">
        <v>134</v>
      </c>
      <c r="AP50" s="7" t="n">
        <v>0.45</v>
      </c>
    </row>
    <row r="51" customFormat="false" ht="15" hidden="false" customHeight="false" outlineLevel="0" collapsed="false">
      <c r="A51" s="2" t="s">
        <v>350</v>
      </c>
      <c r="B51" s="2" t="s">
        <v>351</v>
      </c>
      <c r="C51" s="2" t="s">
        <v>352</v>
      </c>
      <c r="D51" s="2" t="s">
        <v>45</v>
      </c>
      <c r="E51" s="3" t="n">
        <v>23</v>
      </c>
      <c r="F51" s="2" t="s">
        <v>64</v>
      </c>
      <c r="G51" s="2" t="s">
        <v>176</v>
      </c>
      <c r="H51" s="2" t="s">
        <v>48</v>
      </c>
      <c r="I51" s="4" t="n">
        <v>86000</v>
      </c>
      <c r="J51" s="2" t="s">
        <v>177</v>
      </c>
      <c r="K51" s="3" t="n">
        <v>0</v>
      </c>
      <c r="L51" s="2" t="s">
        <v>159</v>
      </c>
      <c r="M51" s="2" t="s">
        <v>159</v>
      </c>
      <c r="N51" s="2" t="s">
        <v>102</v>
      </c>
      <c r="O51" s="3" t="n">
        <v>0</v>
      </c>
      <c r="P51" s="2" t="s">
        <v>160</v>
      </c>
      <c r="Q51" s="2" t="s">
        <v>161</v>
      </c>
      <c r="R51" s="2" t="s">
        <v>159</v>
      </c>
      <c r="S51" s="2" t="s">
        <v>159</v>
      </c>
      <c r="T51" s="2" t="s">
        <v>353</v>
      </c>
      <c r="U51" s="2" t="s">
        <v>118</v>
      </c>
      <c r="V51" s="4" t="n">
        <v>367000</v>
      </c>
      <c r="W51" s="5" t="n">
        <v>10.39</v>
      </c>
      <c r="X51" s="3" t="n">
        <v>18</v>
      </c>
      <c r="Y51" s="6" t="n">
        <v>46195</v>
      </c>
      <c r="Z51" s="6" t="n">
        <v>46196</v>
      </c>
      <c r="AA51" s="6" t="n">
        <v>46201</v>
      </c>
      <c r="AB51" s="4" t="n">
        <f aca="false">ROUND(PMT(W51/1200,X51,-V51),2)</f>
        <v>22106.91</v>
      </c>
      <c r="AC51" s="4" t="n">
        <v>0</v>
      </c>
      <c r="AD51" s="3" t="n">
        <v>2</v>
      </c>
      <c r="AE51" s="4" t="n">
        <v>209800</v>
      </c>
      <c r="AF51" s="4" t="n">
        <v>89300</v>
      </c>
      <c r="AG51" s="3" t="n">
        <v>35</v>
      </c>
      <c r="AH51" s="4" t="n">
        <v>82900</v>
      </c>
      <c r="AI51" s="3" t="n">
        <v>643</v>
      </c>
      <c r="AJ51" s="7" t="n">
        <f aca="false">ROUND(AB51/I51,4)</f>
        <v>0.2571</v>
      </c>
      <c r="AK51" s="2" t="str">
        <f aca="false">IF(AND(AI51&gt;=750,AJ51&lt;=0.35),"Low",IF(AND(AI51&gt;=600,AJ51&lt;=0.5),"Medium","High"))</f>
        <v>Medium</v>
      </c>
      <c r="AL51" s="3" t="n">
        <v>0</v>
      </c>
      <c r="AM51" s="2" t="s">
        <v>58</v>
      </c>
      <c r="AN51" s="2" t="s">
        <v>119</v>
      </c>
      <c r="AO51" s="2" t="s">
        <v>60</v>
      </c>
      <c r="AP51" s="7" t="n">
        <v>0.21</v>
      </c>
    </row>
    <row r="52" customFormat="false" ht="15" hidden="false" customHeight="false" outlineLevel="0" collapsed="false">
      <c r="A52" s="2" t="s">
        <v>354</v>
      </c>
      <c r="B52" s="2" t="s">
        <v>355</v>
      </c>
      <c r="C52" s="2" t="s">
        <v>356</v>
      </c>
      <c r="D52" s="2" t="s">
        <v>45</v>
      </c>
      <c r="E52" s="3" t="n">
        <v>40</v>
      </c>
      <c r="F52" s="2" t="s">
        <v>64</v>
      </c>
      <c r="G52" s="2" t="s">
        <v>246</v>
      </c>
      <c r="H52" s="2" t="s">
        <v>77</v>
      </c>
      <c r="I52" s="4" t="n">
        <v>27500</v>
      </c>
      <c r="J52" s="2" t="s">
        <v>145</v>
      </c>
      <c r="K52" s="3" t="n">
        <v>17</v>
      </c>
      <c r="L52" s="2" t="s">
        <v>247</v>
      </c>
      <c r="M52" s="2" t="s">
        <v>80</v>
      </c>
      <c r="N52" s="2" t="s">
        <v>140</v>
      </c>
      <c r="O52" s="3" t="n">
        <v>2</v>
      </c>
      <c r="P52" s="2" t="s">
        <v>124</v>
      </c>
      <c r="Q52" s="2" t="s">
        <v>125</v>
      </c>
      <c r="R52" s="2" t="s">
        <v>91</v>
      </c>
      <c r="S52" s="2" t="s">
        <v>92</v>
      </c>
      <c r="T52" s="2" t="s">
        <v>357</v>
      </c>
      <c r="U52" s="2" t="s">
        <v>85</v>
      </c>
      <c r="V52" s="4" t="n">
        <v>60000</v>
      </c>
      <c r="W52" s="5" t="n">
        <v>7.84</v>
      </c>
      <c r="X52" s="3" t="n">
        <v>30</v>
      </c>
      <c r="Y52" s="6" t="n">
        <v>46183</v>
      </c>
      <c r="Z52" s="6" t="n">
        <v>46184</v>
      </c>
      <c r="AA52" s="6" t="n">
        <v>46189</v>
      </c>
      <c r="AB52" s="4" t="n">
        <f aca="false">ROUND(PMT(W52/1200,X52,-V52),2)</f>
        <v>2208.9</v>
      </c>
      <c r="AC52" s="4" t="n">
        <v>0</v>
      </c>
      <c r="AD52" s="3" t="n">
        <v>1</v>
      </c>
      <c r="AE52" s="4" t="n">
        <v>37400</v>
      </c>
      <c r="AF52" s="4" t="n">
        <v>11000</v>
      </c>
      <c r="AG52" s="3" t="n">
        <v>17</v>
      </c>
      <c r="AH52" s="4" t="n">
        <v>14600</v>
      </c>
      <c r="AI52" s="3" t="n">
        <v>762</v>
      </c>
      <c r="AJ52" s="7" t="n">
        <f aca="false">ROUND(AB52/I52,4)</f>
        <v>0.0803</v>
      </c>
      <c r="AK52" s="2" t="str">
        <f aca="false">IF(AND(AI52&gt;=750,AJ52&lt;=0.35),"Low",IF(AND(AI52&gt;=600,AJ52&lt;=0.5),"Medium","High"))</f>
        <v>Low</v>
      </c>
      <c r="AL52" s="3" t="n">
        <v>0</v>
      </c>
      <c r="AM52" s="2" t="s">
        <v>58</v>
      </c>
      <c r="AN52" s="2" t="s">
        <v>59</v>
      </c>
      <c r="AO52" s="2" t="s">
        <v>86</v>
      </c>
      <c r="AP52" s="7" t="n">
        <v>0.174</v>
      </c>
    </row>
    <row r="53" customFormat="false" ht="15" hidden="false" customHeight="false" outlineLevel="0" collapsed="false">
      <c r="A53" s="2" t="s">
        <v>358</v>
      </c>
      <c r="B53" s="2" t="s">
        <v>359</v>
      </c>
      <c r="C53" s="2" t="s">
        <v>360</v>
      </c>
      <c r="D53" s="2" t="s">
        <v>45</v>
      </c>
      <c r="E53" s="3" t="n">
        <v>52</v>
      </c>
      <c r="F53" s="2" t="s">
        <v>64</v>
      </c>
      <c r="G53" s="2" t="s">
        <v>90</v>
      </c>
      <c r="H53" s="2" t="s">
        <v>48</v>
      </c>
      <c r="I53" s="4" t="n">
        <v>28000</v>
      </c>
      <c r="J53" s="2" t="s">
        <v>90</v>
      </c>
      <c r="K53" s="3"/>
      <c r="L53" s="2" t="s">
        <v>139</v>
      </c>
      <c r="M53" s="2" t="s">
        <v>139</v>
      </c>
      <c r="N53" s="2" t="s">
        <v>81</v>
      </c>
      <c r="O53" s="3" t="n">
        <v>1</v>
      </c>
      <c r="P53" s="2" t="s">
        <v>197</v>
      </c>
      <c r="Q53" s="2" t="s">
        <v>198</v>
      </c>
      <c r="R53" s="2" t="s">
        <v>139</v>
      </c>
      <c r="S53" s="2" t="s">
        <v>139</v>
      </c>
      <c r="T53" s="2" t="s">
        <v>361</v>
      </c>
      <c r="U53" s="2" t="s">
        <v>85</v>
      </c>
      <c r="V53" s="4" t="n">
        <v>110000</v>
      </c>
      <c r="W53" s="5" t="n">
        <v>7.4</v>
      </c>
      <c r="X53" s="3" t="n">
        <v>12</v>
      </c>
      <c r="Y53" s="6" t="n">
        <v>46183</v>
      </c>
      <c r="Z53" s="6" t="n">
        <v>46189</v>
      </c>
      <c r="AA53" s="6" t="n">
        <v>46190</v>
      </c>
      <c r="AB53" s="4" t="n">
        <f aca="false">ROUND(PMT(W53/1200,X53,-V53),2)</f>
        <v>9538.24</v>
      </c>
      <c r="AC53" s="4" t="n">
        <v>0</v>
      </c>
      <c r="AD53" s="3" t="n">
        <v>0</v>
      </c>
      <c r="AE53" s="4" t="n">
        <v>62600</v>
      </c>
      <c r="AF53" s="4" t="n">
        <v>24900</v>
      </c>
      <c r="AG53" s="3" t="n">
        <v>29</v>
      </c>
      <c r="AH53" s="4" t="n">
        <v>15900</v>
      </c>
      <c r="AI53" s="3" t="n">
        <v>777</v>
      </c>
      <c r="AJ53" s="7" t="n">
        <f aca="false">ROUND(AB53/I53,4)</f>
        <v>0.3407</v>
      </c>
      <c r="AK53" s="2" t="str">
        <f aca="false">IF(AND(AI53&gt;=750,AJ53&lt;=0.35),"Low",IF(AND(AI53&gt;=600,AJ53&lt;=0.5),"Medium","High"))</f>
        <v>Low</v>
      </c>
      <c r="AL53" s="3" t="n">
        <v>1</v>
      </c>
      <c r="AM53" s="2" t="s">
        <v>58</v>
      </c>
      <c r="AN53" s="2" t="s">
        <v>59</v>
      </c>
      <c r="AO53" s="2" t="s">
        <v>86</v>
      </c>
      <c r="AP53" s="7" t="n">
        <v>0.144</v>
      </c>
    </row>
    <row r="54" customFormat="false" ht="15" hidden="false" customHeight="false" outlineLevel="0" collapsed="false">
      <c r="A54" s="2" t="s">
        <v>362</v>
      </c>
      <c r="B54" s="2" t="s">
        <v>363</v>
      </c>
      <c r="C54" s="2" t="s">
        <v>364</v>
      </c>
      <c r="D54" s="2" t="s">
        <v>109</v>
      </c>
      <c r="E54" s="3" t="n">
        <v>34</v>
      </c>
      <c r="F54" s="2" t="s">
        <v>46</v>
      </c>
      <c r="G54" s="2" t="s">
        <v>154</v>
      </c>
      <c r="H54" s="2" t="s">
        <v>77</v>
      </c>
      <c r="I54" s="4" t="n">
        <v>34500</v>
      </c>
      <c r="J54" s="2" t="s">
        <v>145</v>
      </c>
      <c r="K54" s="3" t="n">
        <v>12</v>
      </c>
      <c r="L54" s="2" t="s">
        <v>327</v>
      </c>
      <c r="M54" s="2" t="s">
        <v>92</v>
      </c>
      <c r="N54" s="2" t="s">
        <v>140</v>
      </c>
      <c r="O54" s="3" t="n">
        <v>0</v>
      </c>
      <c r="P54" s="2" t="s">
        <v>124</v>
      </c>
      <c r="Q54" s="2" t="s">
        <v>125</v>
      </c>
      <c r="R54" s="2" t="s">
        <v>91</v>
      </c>
      <c r="S54" s="2" t="s">
        <v>92</v>
      </c>
      <c r="T54" s="2" t="s">
        <v>365</v>
      </c>
      <c r="U54" s="2" t="s">
        <v>192</v>
      </c>
      <c r="V54" s="4" t="n">
        <v>474000</v>
      </c>
      <c r="W54" s="5" t="n">
        <v>13.4</v>
      </c>
      <c r="X54" s="3" t="n">
        <v>30</v>
      </c>
      <c r="Y54" s="6" t="n">
        <v>46192</v>
      </c>
      <c r="Z54" s="6" t="n">
        <v>46198</v>
      </c>
      <c r="AA54" s="6" t="n">
        <v>46199</v>
      </c>
      <c r="AB54" s="4" t="n">
        <f aca="false">ROUND(PMT(W54/1200,X54,-V54),2)</f>
        <v>18681.23</v>
      </c>
      <c r="AC54" s="4" t="n">
        <v>614000</v>
      </c>
      <c r="AD54" s="3" t="n">
        <v>1</v>
      </c>
      <c r="AE54" s="4" t="n">
        <v>128000</v>
      </c>
      <c r="AF54" s="4" t="n">
        <v>21600</v>
      </c>
      <c r="AG54" s="3" t="n">
        <v>24</v>
      </c>
      <c r="AH54" s="4" t="n">
        <v>36600</v>
      </c>
      <c r="AI54" s="3" t="n">
        <v>650</v>
      </c>
      <c r="AJ54" s="7" t="n">
        <f aca="false">ROUND(AB54/I54,4)</f>
        <v>0.5415</v>
      </c>
      <c r="AK54" s="2" t="str">
        <f aca="false">IF(AND(AI54&gt;=750,AJ54&lt;=0.35),"Low",IF(AND(AI54&gt;=600,AJ54&lt;=0.5),"Medium","High"))</f>
        <v>High</v>
      </c>
      <c r="AL54" s="3" t="n">
        <v>2</v>
      </c>
      <c r="AM54" s="2" t="s">
        <v>58</v>
      </c>
      <c r="AN54" s="2" t="s">
        <v>119</v>
      </c>
      <c r="AO54" s="2" t="s">
        <v>60</v>
      </c>
      <c r="AP54" s="7" t="n">
        <v>0.269</v>
      </c>
    </row>
    <row r="55" customFormat="false" ht="15" hidden="false" customHeight="false" outlineLevel="0" collapsed="false">
      <c r="A55" s="2" t="s">
        <v>366</v>
      </c>
      <c r="B55" s="2" t="s">
        <v>367</v>
      </c>
      <c r="C55" s="2" t="s">
        <v>368</v>
      </c>
      <c r="D55" s="2" t="s">
        <v>109</v>
      </c>
      <c r="E55" s="3" t="n">
        <v>23</v>
      </c>
      <c r="F55" s="2" t="s">
        <v>64</v>
      </c>
      <c r="G55" s="2" t="s">
        <v>47</v>
      </c>
      <c r="H55" s="2" t="s">
        <v>48</v>
      </c>
      <c r="I55" s="4" t="n">
        <v>78500</v>
      </c>
      <c r="J55" s="2" t="s">
        <v>49</v>
      </c>
      <c r="K55" s="3" t="n">
        <v>3</v>
      </c>
      <c r="L55" s="2" t="s">
        <v>211</v>
      </c>
      <c r="M55" s="2" t="s">
        <v>147</v>
      </c>
      <c r="N55" s="2" t="s">
        <v>102</v>
      </c>
      <c r="O55" s="3" t="n">
        <v>4</v>
      </c>
      <c r="P55" s="2" t="s">
        <v>197</v>
      </c>
      <c r="Q55" s="2" t="s">
        <v>198</v>
      </c>
      <c r="R55" s="2" t="s">
        <v>139</v>
      </c>
      <c r="S55" s="2" t="s">
        <v>139</v>
      </c>
      <c r="T55" s="2" t="s">
        <v>369</v>
      </c>
      <c r="U55" s="2" t="s">
        <v>180</v>
      </c>
      <c r="V55" s="4" t="n">
        <v>1310000</v>
      </c>
      <c r="W55" s="5" t="n">
        <v>12.71</v>
      </c>
      <c r="X55" s="3" t="n">
        <v>66</v>
      </c>
      <c r="Y55" s="6" t="n">
        <v>46177</v>
      </c>
      <c r="Z55" s="6" t="n">
        <v>46186</v>
      </c>
      <c r="AA55" s="6" t="n">
        <v>46188</v>
      </c>
      <c r="AB55" s="4" t="n">
        <f aca="false">ROUND(PMT(W55/1200,X55,-V55),2)</f>
        <v>27688.58</v>
      </c>
      <c r="AC55" s="4" t="n">
        <v>1428000</v>
      </c>
      <c r="AD55" s="3" t="n">
        <v>2</v>
      </c>
      <c r="AE55" s="4" t="n">
        <v>48600</v>
      </c>
      <c r="AF55" s="4" t="n">
        <v>21800</v>
      </c>
      <c r="AG55" s="3" t="n">
        <v>29</v>
      </c>
      <c r="AH55" s="4" t="n">
        <v>42200</v>
      </c>
      <c r="AI55" s="3" t="n">
        <v>545</v>
      </c>
      <c r="AJ55" s="7" t="n">
        <f aca="false">ROUND(AB55/I55,4)</f>
        <v>0.3527</v>
      </c>
      <c r="AK55" s="2" t="str">
        <f aca="false">IF(AND(AI55&gt;=750,AJ55&lt;=0.35),"Low",IF(AND(AI55&gt;=600,AJ55&lt;=0.5),"Medium","High"))</f>
        <v>High</v>
      </c>
      <c r="AL55" s="3" t="n">
        <v>2</v>
      </c>
      <c r="AM55" s="2" t="s">
        <v>58</v>
      </c>
      <c r="AN55" s="2" t="s">
        <v>59</v>
      </c>
      <c r="AO55" s="2" t="s">
        <v>60</v>
      </c>
      <c r="AP55" s="7" t="n">
        <v>0.427</v>
      </c>
    </row>
    <row r="56" customFormat="false" ht="15" hidden="false" customHeight="false" outlineLevel="0" collapsed="false">
      <c r="A56" s="2" t="s">
        <v>370</v>
      </c>
      <c r="B56" s="2" t="s">
        <v>371</v>
      </c>
      <c r="C56" s="2" t="s">
        <v>372</v>
      </c>
      <c r="D56" s="2" t="s">
        <v>45</v>
      </c>
      <c r="E56" s="3" t="n">
        <v>37</v>
      </c>
      <c r="F56" s="2" t="s">
        <v>64</v>
      </c>
      <c r="G56" s="2" t="s">
        <v>90</v>
      </c>
      <c r="H56" s="2" t="s">
        <v>123</v>
      </c>
      <c r="I56" s="4" t="n">
        <v>24000</v>
      </c>
      <c r="J56" s="2" t="s">
        <v>90</v>
      </c>
      <c r="K56" s="3" t="n">
        <v>13</v>
      </c>
      <c r="L56" s="2" t="s">
        <v>188</v>
      </c>
      <c r="M56" s="2" t="s">
        <v>51</v>
      </c>
      <c r="N56" s="2"/>
      <c r="O56" s="3" t="n">
        <v>3</v>
      </c>
      <c r="P56" s="2" t="s">
        <v>189</v>
      </c>
      <c r="Q56" s="2" t="s">
        <v>190</v>
      </c>
      <c r="R56" s="2" t="s">
        <v>188</v>
      </c>
      <c r="S56" s="2" t="s">
        <v>51</v>
      </c>
      <c r="T56" s="2" t="s">
        <v>373</v>
      </c>
      <c r="U56" s="2" t="s">
        <v>85</v>
      </c>
      <c r="V56" s="4" t="n">
        <v>216000</v>
      </c>
      <c r="W56" s="5" t="n">
        <v>8.02</v>
      </c>
      <c r="X56" s="3" t="n">
        <v>24</v>
      </c>
      <c r="Y56" s="6" t="n">
        <v>46177</v>
      </c>
      <c r="Z56" s="6"/>
      <c r="AA56" s="6"/>
      <c r="AB56" s="4" t="n">
        <f aca="false">ROUND(PMT(W56/1200,X56,-V56),2)</f>
        <v>9771.07</v>
      </c>
      <c r="AC56" s="4" t="n">
        <v>0</v>
      </c>
      <c r="AD56" s="3" t="n">
        <v>0</v>
      </c>
      <c r="AE56" s="4" t="n">
        <v>17500</v>
      </c>
      <c r="AF56" s="4" t="n">
        <v>4500</v>
      </c>
      <c r="AG56" s="3" t="n">
        <v>15</v>
      </c>
      <c r="AH56" s="4" t="n">
        <v>17600</v>
      </c>
      <c r="AI56" s="3" t="n">
        <v>584</v>
      </c>
      <c r="AJ56" s="7" t="n">
        <f aca="false">ROUND(AB56/I56,4)</f>
        <v>0.4071</v>
      </c>
      <c r="AK56" s="2" t="str">
        <f aca="false">IF(AND(AI56&gt;=750,AJ56&lt;=0.35),"Low",IF(AND(AI56&gt;=600,AJ56&lt;=0.5),"Medium","High"))</f>
        <v>High</v>
      </c>
      <c r="AL56" s="3" t="n">
        <v>0</v>
      </c>
      <c r="AM56" s="2" t="s">
        <v>58</v>
      </c>
      <c r="AN56" s="2"/>
      <c r="AO56" s="2" t="s">
        <v>134</v>
      </c>
      <c r="AP56" s="7" t="n">
        <v>0.38</v>
      </c>
    </row>
    <row r="57" customFormat="false" ht="15" hidden="false" customHeight="false" outlineLevel="0" collapsed="false">
      <c r="A57" s="2" t="s">
        <v>374</v>
      </c>
      <c r="B57" s="2" t="s">
        <v>375</v>
      </c>
      <c r="C57" s="2" t="s">
        <v>376</v>
      </c>
      <c r="D57" s="2" t="s">
        <v>45</v>
      </c>
      <c r="E57" s="3" t="n">
        <v>30</v>
      </c>
      <c r="F57" s="2" t="s">
        <v>46</v>
      </c>
      <c r="G57" s="2" t="s">
        <v>246</v>
      </c>
      <c r="H57" s="2" t="s">
        <v>77</v>
      </c>
      <c r="I57" s="4" t="n">
        <v>25000</v>
      </c>
      <c r="J57" s="2" t="s">
        <v>145</v>
      </c>
      <c r="K57" s="3" t="n">
        <v>9</v>
      </c>
      <c r="L57" s="2" t="s">
        <v>92</v>
      </c>
      <c r="M57" s="2" t="s">
        <v>92</v>
      </c>
      <c r="N57" s="2" t="s">
        <v>52</v>
      </c>
      <c r="O57" s="3" t="n">
        <v>0</v>
      </c>
      <c r="P57" s="2" t="s">
        <v>169</v>
      </c>
      <c r="Q57" s="2" t="s">
        <v>170</v>
      </c>
      <c r="R57" s="2" t="s">
        <v>92</v>
      </c>
      <c r="S57" s="2" t="s">
        <v>92</v>
      </c>
      <c r="T57" s="2" t="s">
        <v>377</v>
      </c>
      <c r="U57" s="2" t="s">
        <v>192</v>
      </c>
      <c r="V57" s="4" t="n">
        <v>273000</v>
      </c>
      <c r="W57" s="5" t="n">
        <v>13.39</v>
      </c>
      <c r="X57" s="3" t="n">
        <v>42</v>
      </c>
      <c r="Y57" s="6" t="n">
        <v>46199</v>
      </c>
      <c r="Z57" s="6" t="n">
        <v>46201</v>
      </c>
      <c r="AA57" s="6" t="n">
        <v>46206</v>
      </c>
      <c r="AB57" s="4" t="n">
        <f aca="false">ROUND(PMT(W57/1200,X57,-V57),2)</f>
        <v>8177.19</v>
      </c>
      <c r="AC57" s="4" t="n">
        <v>339000</v>
      </c>
      <c r="AD57" s="3" t="n">
        <v>2</v>
      </c>
      <c r="AE57" s="4" t="n">
        <v>98600</v>
      </c>
      <c r="AF57" s="4" t="n">
        <v>47700</v>
      </c>
      <c r="AG57" s="3" t="n">
        <v>32</v>
      </c>
      <c r="AH57" s="4" t="n">
        <v>15900</v>
      </c>
      <c r="AI57" s="3" t="n">
        <v>772</v>
      </c>
      <c r="AJ57" s="7" t="n">
        <f aca="false">ROUND(AB57/I57,4)</f>
        <v>0.3271</v>
      </c>
      <c r="AK57" s="2" t="str">
        <f aca="false">IF(AND(AI57&gt;=750,AJ57&lt;=0.35),"Low",IF(AND(AI57&gt;=600,AJ57&lt;=0.5),"Medium","High"))</f>
        <v>Low</v>
      </c>
      <c r="AL57" s="3" t="n">
        <v>2</v>
      </c>
      <c r="AM57" s="2" t="s">
        <v>58</v>
      </c>
      <c r="AN57" s="2" t="s">
        <v>59</v>
      </c>
      <c r="AO57" s="2" t="s">
        <v>60</v>
      </c>
      <c r="AP57" s="7" t="n">
        <v>0.223</v>
      </c>
    </row>
    <row r="58" customFormat="false" ht="15" hidden="false" customHeight="false" outlineLevel="0" collapsed="false">
      <c r="A58" s="2" t="s">
        <v>378</v>
      </c>
      <c r="B58" s="2" t="s">
        <v>379</v>
      </c>
      <c r="C58" s="2" t="s">
        <v>202</v>
      </c>
      <c r="D58" s="2" t="s">
        <v>109</v>
      </c>
      <c r="E58" s="3" t="n">
        <v>55</v>
      </c>
      <c r="F58" s="2" t="s">
        <v>64</v>
      </c>
      <c r="G58" s="2" t="s">
        <v>110</v>
      </c>
      <c r="H58" s="2" t="s">
        <v>77</v>
      </c>
      <c r="I58" s="4" t="n">
        <v>16500</v>
      </c>
      <c r="J58" s="2" t="s">
        <v>112</v>
      </c>
      <c r="K58" s="3" t="n">
        <v>35</v>
      </c>
      <c r="L58" s="2" t="s">
        <v>380</v>
      </c>
      <c r="M58" s="2" t="s">
        <v>92</v>
      </c>
      <c r="N58" s="2" t="s">
        <v>140</v>
      </c>
      <c r="O58" s="3" t="n">
        <v>1</v>
      </c>
      <c r="P58" s="2" t="s">
        <v>68</v>
      </c>
      <c r="Q58" s="2" t="s">
        <v>69</v>
      </c>
      <c r="R58" s="2" t="s">
        <v>70</v>
      </c>
      <c r="S58" s="2" t="s">
        <v>67</v>
      </c>
      <c r="T58" s="2" t="s">
        <v>381</v>
      </c>
      <c r="U58" s="2" t="s">
        <v>97</v>
      </c>
      <c r="V58" s="4" t="n">
        <v>171000</v>
      </c>
      <c r="W58" s="5" t="n">
        <v>11.76</v>
      </c>
      <c r="X58" s="3" t="n">
        <v>60</v>
      </c>
      <c r="Y58" s="6" t="n">
        <v>46199</v>
      </c>
      <c r="Z58" s="6"/>
      <c r="AA58" s="6"/>
      <c r="AB58" s="4" t="n">
        <f aca="false">ROUND(PMT(W58/1200,X58,-V58),2)</f>
        <v>3783.09</v>
      </c>
      <c r="AC58" s="4" t="n">
        <v>0</v>
      </c>
      <c r="AD58" s="3" t="n">
        <v>0</v>
      </c>
      <c r="AE58" s="4" t="n">
        <v>47500</v>
      </c>
      <c r="AF58" s="4" t="n">
        <v>9900</v>
      </c>
      <c r="AG58" s="3" t="n">
        <v>11</v>
      </c>
      <c r="AH58" s="4" t="n">
        <v>17500</v>
      </c>
      <c r="AI58" s="3" t="n">
        <v>630</v>
      </c>
      <c r="AJ58" s="7" t="n">
        <f aca="false">ROUND(AB58/I58,4)</f>
        <v>0.2293</v>
      </c>
      <c r="AK58" s="2" t="str">
        <f aca="false">IF(AND(AI58&gt;=750,AJ58&lt;=0.35),"Low",IF(AND(AI58&gt;=600,AJ58&lt;=0.5),"Medium","High"))</f>
        <v>Medium</v>
      </c>
      <c r="AL58" s="3" t="n">
        <v>1</v>
      </c>
      <c r="AM58" s="2" t="s">
        <v>233</v>
      </c>
      <c r="AN58" s="2"/>
      <c r="AO58" s="2" t="s">
        <v>127</v>
      </c>
      <c r="AP58" s="7" t="n">
        <v>0.324</v>
      </c>
    </row>
    <row r="59" customFormat="false" ht="15" hidden="false" customHeight="false" outlineLevel="0" collapsed="false">
      <c r="A59" s="2" t="s">
        <v>382</v>
      </c>
      <c r="B59" s="2" t="s">
        <v>383</v>
      </c>
      <c r="C59" s="2" t="s">
        <v>384</v>
      </c>
      <c r="D59" s="2" t="s">
        <v>109</v>
      </c>
      <c r="E59" s="3" t="n">
        <v>48</v>
      </c>
      <c r="F59" s="2" t="s">
        <v>64</v>
      </c>
      <c r="G59" s="2" t="s">
        <v>166</v>
      </c>
      <c r="H59" s="2" t="s">
        <v>48</v>
      </c>
      <c r="I59" s="4" t="n">
        <v>136500</v>
      </c>
      <c r="J59" s="2" t="s">
        <v>145</v>
      </c>
      <c r="K59" s="3" t="n">
        <v>22</v>
      </c>
      <c r="L59" s="2" t="s">
        <v>80</v>
      </c>
      <c r="M59" s="2" t="s">
        <v>80</v>
      </c>
      <c r="N59" s="2" t="s">
        <v>102</v>
      </c>
      <c r="O59" s="3" t="n">
        <v>3</v>
      </c>
      <c r="P59" s="2" t="s">
        <v>82</v>
      </c>
      <c r="Q59" s="2" t="s">
        <v>83</v>
      </c>
      <c r="R59" s="2" t="s">
        <v>80</v>
      </c>
      <c r="S59" s="2" t="s">
        <v>80</v>
      </c>
      <c r="T59" s="2" t="s">
        <v>385</v>
      </c>
      <c r="U59" s="2" t="s">
        <v>97</v>
      </c>
      <c r="V59" s="4" t="n">
        <v>848000</v>
      </c>
      <c r="W59" s="5" t="n">
        <v>12.55</v>
      </c>
      <c r="X59" s="3" t="n">
        <v>18</v>
      </c>
      <c r="Y59" s="6" t="n">
        <v>46201</v>
      </c>
      <c r="Z59" s="6" t="n">
        <v>46206</v>
      </c>
      <c r="AA59" s="6" t="n">
        <v>46210</v>
      </c>
      <c r="AB59" s="4" t="n">
        <f aca="false">ROUND(PMT(W59/1200,X59,-V59),2)</f>
        <v>51929.69</v>
      </c>
      <c r="AC59" s="4" t="n">
        <v>0</v>
      </c>
      <c r="AD59" s="3" t="n">
        <v>1</v>
      </c>
      <c r="AE59" s="4" t="n">
        <v>440700</v>
      </c>
      <c r="AF59" s="4" t="n">
        <v>121200</v>
      </c>
      <c r="AG59" s="3" t="n">
        <v>20</v>
      </c>
      <c r="AH59" s="4" t="n">
        <v>47300</v>
      </c>
      <c r="AI59" s="3" t="n">
        <v>742</v>
      </c>
      <c r="AJ59" s="7" t="n">
        <f aca="false">ROUND(AB59/I59,4)</f>
        <v>0.3804</v>
      </c>
      <c r="AK59" s="2" t="str">
        <f aca="false">IF(AND(AI59&gt;=750,AJ59&lt;=0.35),"Low",IF(AND(AI59&gt;=600,AJ59&lt;=0.5),"Medium","High"))</f>
        <v>Medium</v>
      </c>
      <c r="AL59" s="3" t="n">
        <v>1</v>
      </c>
      <c r="AM59" s="2" t="s">
        <v>58</v>
      </c>
      <c r="AN59" s="2" t="s">
        <v>59</v>
      </c>
      <c r="AO59" s="2" t="s">
        <v>86</v>
      </c>
      <c r="AP59" s="7" t="n">
        <v>0.174</v>
      </c>
    </row>
    <row r="60" customFormat="false" ht="15" hidden="false" customHeight="false" outlineLevel="0" collapsed="false">
      <c r="A60" s="2" t="s">
        <v>386</v>
      </c>
      <c r="B60" s="2" t="s">
        <v>387</v>
      </c>
      <c r="C60" s="2" t="s">
        <v>388</v>
      </c>
      <c r="D60" s="2" t="s">
        <v>45</v>
      </c>
      <c r="E60" s="3" t="n">
        <v>33</v>
      </c>
      <c r="F60" s="2" t="s">
        <v>64</v>
      </c>
      <c r="G60" s="2" t="s">
        <v>246</v>
      </c>
      <c r="H60" s="2" t="s">
        <v>111</v>
      </c>
      <c r="I60" s="4" t="n">
        <v>9000</v>
      </c>
      <c r="J60" s="2" t="s">
        <v>145</v>
      </c>
      <c r="K60" s="3" t="n">
        <v>11</v>
      </c>
      <c r="L60" s="2" t="s">
        <v>252</v>
      </c>
      <c r="M60" s="2" t="s">
        <v>114</v>
      </c>
      <c r="N60" s="2" t="s">
        <v>140</v>
      </c>
      <c r="O60" s="3" t="n">
        <v>2</v>
      </c>
      <c r="P60" s="2" t="s">
        <v>115</v>
      </c>
      <c r="Q60" s="2" t="s">
        <v>116</v>
      </c>
      <c r="R60" s="2" t="s">
        <v>114</v>
      </c>
      <c r="S60" s="2" t="s">
        <v>114</v>
      </c>
      <c r="T60" s="2" t="s">
        <v>389</v>
      </c>
      <c r="U60" s="2" t="s">
        <v>85</v>
      </c>
      <c r="V60" s="4" t="n">
        <v>50000</v>
      </c>
      <c r="W60" s="5" t="n">
        <v>10.1</v>
      </c>
      <c r="X60" s="3" t="n">
        <v>12</v>
      </c>
      <c r="Y60" s="6" t="n">
        <v>46186</v>
      </c>
      <c r="Z60" s="6"/>
      <c r="AA60" s="6"/>
      <c r="AB60" s="4" t="n">
        <f aca="false">ROUND(PMT(W60/1200,X60,-V60),2)</f>
        <v>4398.12</v>
      </c>
      <c r="AC60" s="4" t="n">
        <v>0</v>
      </c>
      <c r="AD60" s="3" t="n">
        <v>1</v>
      </c>
      <c r="AE60" s="4" t="n">
        <v>21900</v>
      </c>
      <c r="AF60" s="4" t="n">
        <v>3100</v>
      </c>
      <c r="AG60" s="3" t="n">
        <v>43</v>
      </c>
      <c r="AH60" s="4"/>
      <c r="AI60" s="3" t="n">
        <v>711</v>
      </c>
      <c r="AJ60" s="7" t="n">
        <f aca="false">ROUND(AB60/I60,4)</f>
        <v>0.4887</v>
      </c>
      <c r="AK60" s="2" t="str">
        <f aca="false">IF(AND(AI60&gt;=750,AJ60&lt;=0.35),"Low",IF(AND(AI60&gt;=600,AJ60&lt;=0.5),"Medium","High"))</f>
        <v>Medium</v>
      </c>
      <c r="AL60" s="3" t="n">
        <v>2</v>
      </c>
      <c r="AM60" s="2" t="s">
        <v>58</v>
      </c>
      <c r="AN60" s="2"/>
      <c r="AO60" s="2" t="s">
        <v>134</v>
      </c>
      <c r="AP60" s="7" t="n">
        <v>0.264</v>
      </c>
    </row>
    <row r="61" customFormat="false" ht="15" hidden="false" customHeight="false" outlineLevel="0" collapsed="false">
      <c r="A61" s="2" t="s">
        <v>390</v>
      </c>
      <c r="B61" s="2" t="s">
        <v>391</v>
      </c>
      <c r="C61" s="2" t="s">
        <v>392</v>
      </c>
      <c r="D61" s="2" t="s">
        <v>109</v>
      </c>
      <c r="E61" s="3" t="n">
        <v>22</v>
      </c>
      <c r="F61" s="2"/>
      <c r="G61" s="2" t="s">
        <v>65</v>
      </c>
      <c r="H61" s="2" t="s">
        <v>48</v>
      </c>
      <c r="I61" s="4" t="n">
        <v>27500</v>
      </c>
      <c r="J61" s="2" t="s">
        <v>49</v>
      </c>
      <c r="K61" s="3" t="n">
        <v>0</v>
      </c>
      <c r="L61" s="2" t="s">
        <v>231</v>
      </c>
      <c r="M61" s="2" t="s">
        <v>92</v>
      </c>
      <c r="N61" s="2" t="s">
        <v>81</v>
      </c>
      <c r="O61" s="3" t="n">
        <v>1</v>
      </c>
      <c r="P61" s="2" t="s">
        <v>93</v>
      </c>
      <c r="Q61" s="2" t="s">
        <v>94</v>
      </c>
      <c r="R61" s="2" t="s">
        <v>95</v>
      </c>
      <c r="S61" s="2" t="s">
        <v>92</v>
      </c>
      <c r="T61" s="2" t="s">
        <v>393</v>
      </c>
      <c r="U61" s="2" t="s">
        <v>118</v>
      </c>
      <c r="V61" s="4" t="n">
        <v>224000</v>
      </c>
      <c r="W61" s="5" t="n">
        <v>9.9</v>
      </c>
      <c r="X61" s="3" t="n">
        <v>48</v>
      </c>
      <c r="Y61" s="6" t="n">
        <v>46186</v>
      </c>
      <c r="Z61" s="6" t="n">
        <v>46188</v>
      </c>
      <c r="AA61" s="6" t="n">
        <v>46191</v>
      </c>
      <c r="AB61" s="4" t="n">
        <f aca="false">ROUND(PMT(W61/1200,X61,-V61),2)</f>
        <v>5670.47</v>
      </c>
      <c r="AC61" s="4" t="n">
        <v>0</v>
      </c>
      <c r="AD61" s="3" t="n">
        <v>0</v>
      </c>
      <c r="AE61" s="4" t="n">
        <v>93100</v>
      </c>
      <c r="AF61" s="4" t="n">
        <v>25500</v>
      </c>
      <c r="AG61" s="3" t="n">
        <v>20</v>
      </c>
      <c r="AH61" s="4" t="n">
        <v>23200</v>
      </c>
      <c r="AI61" s="3" t="n">
        <v>763</v>
      </c>
      <c r="AJ61" s="7" t="n">
        <f aca="false">ROUND(AB61/I61,4)</f>
        <v>0.2062</v>
      </c>
      <c r="AK61" s="2" t="str">
        <f aca="false">IF(AND(AI61&gt;=750,AJ61&lt;=0.35),"Low",IF(AND(AI61&gt;=600,AJ61&lt;=0.5),"Medium","High"))</f>
        <v>Low</v>
      </c>
      <c r="AL61" s="3" t="n">
        <v>0</v>
      </c>
      <c r="AM61" s="2" t="s">
        <v>58</v>
      </c>
      <c r="AN61" s="2" t="s">
        <v>59</v>
      </c>
      <c r="AO61" s="2" t="s">
        <v>60</v>
      </c>
      <c r="AP61" s="7" t="n">
        <v>0.267</v>
      </c>
    </row>
    <row r="62" customFormat="false" ht="15" hidden="false" customHeight="false" outlineLevel="0" collapsed="false">
      <c r="A62" s="2" t="s">
        <v>394</v>
      </c>
      <c r="B62" s="2" t="s">
        <v>395</v>
      </c>
      <c r="C62" s="2" t="s">
        <v>396</v>
      </c>
      <c r="D62" s="2" t="s">
        <v>45</v>
      </c>
      <c r="E62" s="3" t="n">
        <v>21</v>
      </c>
      <c r="F62" s="2" t="s">
        <v>64</v>
      </c>
      <c r="G62" s="2" t="s">
        <v>65</v>
      </c>
      <c r="H62" s="2" t="s">
        <v>101</v>
      </c>
      <c r="I62" s="4" t="n">
        <v>49000</v>
      </c>
      <c r="J62" s="2" t="s">
        <v>49</v>
      </c>
      <c r="K62" s="3" t="n">
        <v>1</v>
      </c>
      <c r="L62" s="2" t="s">
        <v>55</v>
      </c>
      <c r="M62" s="2" t="s">
        <v>51</v>
      </c>
      <c r="N62" s="2" t="s">
        <v>140</v>
      </c>
      <c r="O62" s="3" t="n">
        <v>6</v>
      </c>
      <c r="P62" s="2" t="s">
        <v>53</v>
      </c>
      <c r="Q62" s="2" t="s">
        <v>54</v>
      </c>
      <c r="R62" s="2" t="s">
        <v>55</v>
      </c>
      <c r="S62" s="2" t="s">
        <v>51</v>
      </c>
      <c r="T62" s="2" t="s">
        <v>397</v>
      </c>
      <c r="U62" s="2" t="s">
        <v>118</v>
      </c>
      <c r="V62" s="4" t="n">
        <v>1014000</v>
      </c>
      <c r="W62" s="5" t="n">
        <v>9.79</v>
      </c>
      <c r="X62" s="3" t="n">
        <v>72</v>
      </c>
      <c r="Y62" s="6" t="n">
        <v>46177</v>
      </c>
      <c r="Z62" s="6" t="n">
        <v>46184</v>
      </c>
      <c r="AA62" s="6" t="n">
        <v>46190</v>
      </c>
      <c r="AB62" s="4" t="n">
        <f aca="false">ROUND(PMT(W62/1200,X62,-V62),2)</f>
        <v>18678</v>
      </c>
      <c r="AC62" s="4" t="n">
        <v>0</v>
      </c>
      <c r="AD62" s="3" t="n">
        <v>1</v>
      </c>
      <c r="AE62" s="4" t="n">
        <v>152000</v>
      </c>
      <c r="AF62" s="4" t="n">
        <v>27400</v>
      </c>
      <c r="AG62" s="3" t="n">
        <v>16</v>
      </c>
      <c r="AH62" s="4" t="n">
        <v>46800</v>
      </c>
      <c r="AI62" s="3" t="n">
        <v>840</v>
      </c>
      <c r="AJ62" s="7" t="n">
        <f aca="false">ROUND(AB62/I62,4)</f>
        <v>0.3812</v>
      </c>
      <c r="AK62" s="2" t="str">
        <f aca="false">IF(AND(AI62&gt;=750,AJ62&lt;=0.35),"Low",IF(AND(AI62&gt;=600,AJ62&lt;=0.5),"Medium","High"))</f>
        <v>Medium</v>
      </c>
      <c r="AL62" s="3" t="n">
        <v>0</v>
      </c>
      <c r="AM62" s="2" t="s">
        <v>58</v>
      </c>
      <c r="AN62" s="2" t="s">
        <v>59</v>
      </c>
      <c r="AO62" s="2" t="s">
        <v>60</v>
      </c>
      <c r="AP62" s="7" t="n">
        <v>0.08</v>
      </c>
    </row>
    <row r="63" customFormat="false" ht="15" hidden="false" customHeight="false" outlineLevel="0" collapsed="false">
      <c r="A63" s="2" t="s">
        <v>398</v>
      </c>
      <c r="B63" s="2" t="s">
        <v>364</v>
      </c>
      <c r="C63" s="2" t="s">
        <v>399</v>
      </c>
      <c r="D63" s="2" t="s">
        <v>45</v>
      </c>
      <c r="E63" s="3" t="n">
        <v>38</v>
      </c>
      <c r="F63" s="2" t="s">
        <v>46</v>
      </c>
      <c r="G63" s="2" t="s">
        <v>145</v>
      </c>
      <c r="H63" s="2" t="s">
        <v>77</v>
      </c>
      <c r="I63" s="4" t="n">
        <v>58000</v>
      </c>
      <c r="J63" s="2" t="s">
        <v>145</v>
      </c>
      <c r="K63" s="3" t="n">
        <v>17</v>
      </c>
      <c r="L63" s="2" t="s">
        <v>95</v>
      </c>
      <c r="M63" s="2" t="s">
        <v>92</v>
      </c>
      <c r="N63" s="2" t="s">
        <v>140</v>
      </c>
      <c r="O63" s="3" t="n">
        <v>0</v>
      </c>
      <c r="P63" s="2" t="s">
        <v>93</v>
      </c>
      <c r="Q63" s="2" t="s">
        <v>94</v>
      </c>
      <c r="R63" s="2" t="s">
        <v>95</v>
      </c>
      <c r="S63" s="2" t="s">
        <v>92</v>
      </c>
      <c r="T63" s="2" t="s">
        <v>400</v>
      </c>
      <c r="U63" s="2" t="s">
        <v>72</v>
      </c>
      <c r="V63" s="4" t="n">
        <v>692000</v>
      </c>
      <c r="W63" s="5" t="n">
        <v>14.54</v>
      </c>
      <c r="X63" s="3" t="n">
        <v>48</v>
      </c>
      <c r="Y63" s="6" t="n">
        <v>46198</v>
      </c>
      <c r="Z63" s="6"/>
      <c r="AA63" s="6"/>
      <c r="AB63" s="4" t="n">
        <f aca="false">ROUND(PMT(W63/1200,X63,-V63),2)</f>
        <v>19097.9</v>
      </c>
      <c r="AC63" s="4" t="n">
        <v>962000</v>
      </c>
      <c r="AD63" s="3"/>
      <c r="AE63" s="4" t="n">
        <v>138900</v>
      </c>
      <c r="AF63" s="4" t="n">
        <v>80800</v>
      </c>
      <c r="AG63" s="3" t="n">
        <v>22</v>
      </c>
      <c r="AH63" s="4" t="n">
        <v>33300</v>
      </c>
      <c r="AI63" s="3" t="n">
        <v>754</v>
      </c>
      <c r="AJ63" s="7" t="n">
        <f aca="false">ROUND(AB63/I63,4)</f>
        <v>0.3293</v>
      </c>
      <c r="AK63" s="2" t="str">
        <f aca="false">IF(AND(AI63&gt;=750,AJ63&lt;=0.35),"Low",IF(AND(AI63&gt;=600,AJ63&lt;=0.5),"Medium","High"))</f>
        <v>Low</v>
      </c>
      <c r="AL63" s="3" t="n">
        <v>1</v>
      </c>
      <c r="AM63" s="2" t="s">
        <v>58</v>
      </c>
      <c r="AN63" s="2"/>
      <c r="AO63" s="2" t="s">
        <v>127</v>
      </c>
      <c r="AP63" s="7" t="n">
        <v>0.199</v>
      </c>
    </row>
    <row r="64" customFormat="false" ht="15" hidden="false" customHeight="false" outlineLevel="0" collapsed="false">
      <c r="A64" s="2" t="s">
        <v>401</v>
      </c>
      <c r="B64" s="2" t="s">
        <v>402</v>
      </c>
      <c r="C64" s="2" t="s">
        <v>403</v>
      </c>
      <c r="D64" s="2" t="s">
        <v>109</v>
      </c>
      <c r="E64" s="3" t="n">
        <v>44</v>
      </c>
      <c r="F64" s="2" t="s">
        <v>64</v>
      </c>
      <c r="G64" s="2" t="s">
        <v>110</v>
      </c>
      <c r="H64" s="2" t="s">
        <v>123</v>
      </c>
      <c r="I64" s="4" t="n">
        <v>15500</v>
      </c>
      <c r="J64" s="2" t="s">
        <v>112</v>
      </c>
      <c r="K64" s="3" t="n">
        <v>20</v>
      </c>
      <c r="L64" s="2" t="s">
        <v>380</v>
      </c>
      <c r="M64" s="2" t="s">
        <v>92</v>
      </c>
      <c r="N64" s="2" t="s">
        <v>52</v>
      </c>
      <c r="O64" s="3" t="n">
        <v>0</v>
      </c>
      <c r="P64" s="2" t="s">
        <v>169</v>
      </c>
      <c r="Q64" s="2" t="s">
        <v>170</v>
      </c>
      <c r="R64" s="2" t="s">
        <v>92</v>
      </c>
      <c r="S64" s="2" t="s">
        <v>92</v>
      </c>
      <c r="T64" s="2" t="s">
        <v>404</v>
      </c>
      <c r="U64" s="2" t="s">
        <v>72</v>
      </c>
      <c r="V64" s="4" t="n">
        <v>300000</v>
      </c>
      <c r="W64" s="5" t="n">
        <v>14.14</v>
      </c>
      <c r="X64" s="3" t="n">
        <v>36</v>
      </c>
      <c r="Y64" s="6" t="n">
        <v>46197</v>
      </c>
      <c r="Z64" s="6" t="n">
        <v>46204</v>
      </c>
      <c r="AA64" s="6" t="n">
        <v>46208</v>
      </c>
      <c r="AB64" s="4" t="n">
        <f aca="false">ROUND(PMT(W64/1200,X64,-V64),2)</f>
        <v>10273.7</v>
      </c>
      <c r="AC64" s="4" t="n">
        <v>393000</v>
      </c>
      <c r="AD64" s="3" t="n">
        <v>2</v>
      </c>
      <c r="AE64" s="4" t="n">
        <v>48900</v>
      </c>
      <c r="AF64" s="4" t="n">
        <v>5500</v>
      </c>
      <c r="AG64" s="3" t="n">
        <v>33</v>
      </c>
      <c r="AH64" s="4" t="n">
        <v>4900</v>
      </c>
      <c r="AI64" s="3" t="n">
        <v>810</v>
      </c>
      <c r="AJ64" s="7" t="n">
        <f aca="false">ROUND(AB64/I64,4)</f>
        <v>0.6628</v>
      </c>
      <c r="AK64" s="2" t="str">
        <f aca="false">IF(AND(AI64&gt;=750,AJ64&lt;=0.35),"Low",IF(AND(AI64&gt;=600,AJ64&lt;=0.5),"Medium","High"))</f>
        <v>High</v>
      </c>
      <c r="AL64" s="3" t="n">
        <v>0</v>
      </c>
      <c r="AM64" s="2" t="s">
        <v>233</v>
      </c>
      <c r="AN64" s="2" t="s">
        <v>119</v>
      </c>
      <c r="AO64" s="2" t="s">
        <v>86</v>
      </c>
      <c r="AP64" s="7" t="n">
        <v>0.2</v>
      </c>
    </row>
    <row r="65" customFormat="false" ht="15" hidden="false" customHeight="false" outlineLevel="0" collapsed="false">
      <c r="A65" s="2" t="s">
        <v>405</v>
      </c>
      <c r="B65" s="2" t="s">
        <v>406</v>
      </c>
      <c r="C65" s="2" t="s">
        <v>407</v>
      </c>
      <c r="D65" s="2" t="s">
        <v>45</v>
      </c>
      <c r="E65" s="3" t="n">
        <v>36</v>
      </c>
      <c r="F65" s="2" t="s">
        <v>46</v>
      </c>
      <c r="G65" s="2" t="s">
        <v>76</v>
      </c>
      <c r="H65" s="2" t="s">
        <v>77</v>
      </c>
      <c r="I65" s="4" t="n">
        <v>20000</v>
      </c>
      <c r="J65" s="2" t="s">
        <v>78</v>
      </c>
      <c r="K65" s="3" t="n">
        <v>11</v>
      </c>
      <c r="L65" s="2" t="s">
        <v>51</v>
      </c>
      <c r="M65" s="2" t="s">
        <v>51</v>
      </c>
      <c r="N65" s="2" t="s">
        <v>140</v>
      </c>
      <c r="O65" s="3" t="n">
        <v>1</v>
      </c>
      <c r="P65" s="2" t="s">
        <v>68</v>
      </c>
      <c r="Q65" s="2" t="s">
        <v>69</v>
      </c>
      <c r="R65" s="2" t="s">
        <v>70</v>
      </c>
      <c r="S65" s="2" t="s">
        <v>67</v>
      </c>
      <c r="T65" s="2" t="s">
        <v>408</v>
      </c>
      <c r="U65" s="2" t="s">
        <v>180</v>
      </c>
      <c r="V65" s="4" t="n">
        <v>300000</v>
      </c>
      <c r="W65" s="5" t="n">
        <v>10.72</v>
      </c>
      <c r="X65" s="3" t="n">
        <v>18</v>
      </c>
      <c r="Y65" s="6" t="n">
        <v>46182</v>
      </c>
      <c r="Z65" s="6" t="n">
        <v>46191</v>
      </c>
      <c r="AA65" s="6" t="n">
        <v>46192</v>
      </c>
      <c r="AB65" s="4" t="n">
        <f aca="false">ROUND(PMT(W65/1200,X65,-V65),2)</f>
        <v>18116.74</v>
      </c>
      <c r="AC65" s="4" t="n">
        <v>402000</v>
      </c>
      <c r="AD65" s="3" t="n">
        <v>0</v>
      </c>
      <c r="AE65" s="4"/>
      <c r="AF65" s="4" t="n">
        <v>13400</v>
      </c>
      <c r="AG65" s="3" t="n">
        <v>40</v>
      </c>
      <c r="AH65" s="4" t="n">
        <v>12900</v>
      </c>
      <c r="AI65" s="3" t="n">
        <v>564</v>
      </c>
      <c r="AJ65" s="7" t="n">
        <f aca="false">ROUND(AB65/I65,4)</f>
        <v>0.9058</v>
      </c>
      <c r="AK65" s="2" t="str">
        <f aca="false">IF(AND(AI65&gt;=750,AJ65&lt;=0.35),"Low",IF(AND(AI65&gt;=600,AJ65&lt;=0.5),"Medium","High"))</f>
        <v>High</v>
      </c>
      <c r="AL65" s="3" t="n">
        <v>2</v>
      </c>
      <c r="AM65" s="2" t="s">
        <v>58</v>
      </c>
      <c r="AN65" s="2" t="s">
        <v>59</v>
      </c>
      <c r="AO65" s="2" t="s">
        <v>60</v>
      </c>
      <c r="AP65" s="7" t="n">
        <v>0.325</v>
      </c>
    </row>
    <row r="66" customFormat="false" ht="15" hidden="false" customHeight="false" outlineLevel="0" collapsed="false">
      <c r="A66" s="2" t="s">
        <v>409</v>
      </c>
      <c r="B66" s="2" t="s">
        <v>410</v>
      </c>
      <c r="C66" s="2" t="s">
        <v>411</v>
      </c>
      <c r="D66" s="2" t="s">
        <v>45</v>
      </c>
      <c r="E66" s="3" t="n">
        <v>36</v>
      </c>
      <c r="F66" s="2" t="s">
        <v>64</v>
      </c>
      <c r="G66" s="2" t="s">
        <v>76</v>
      </c>
      <c r="H66" s="2" t="s">
        <v>48</v>
      </c>
      <c r="I66" s="4" t="n">
        <v>59000</v>
      </c>
      <c r="J66" s="2" t="s">
        <v>78</v>
      </c>
      <c r="K66" s="3" t="n">
        <v>14</v>
      </c>
      <c r="L66" s="2" t="s">
        <v>231</v>
      </c>
      <c r="M66" s="2" t="s">
        <v>92</v>
      </c>
      <c r="N66" s="2" t="s">
        <v>81</v>
      </c>
      <c r="O66" s="3" t="n">
        <v>2</v>
      </c>
      <c r="P66" s="2" t="s">
        <v>229</v>
      </c>
      <c r="Q66" s="2" t="s">
        <v>230</v>
      </c>
      <c r="R66" s="2" t="s">
        <v>231</v>
      </c>
      <c r="S66" s="2" t="s">
        <v>92</v>
      </c>
      <c r="T66" s="2" t="s">
        <v>412</v>
      </c>
      <c r="U66" s="2" t="s">
        <v>57</v>
      </c>
      <c r="V66" s="4" t="n">
        <v>1832000</v>
      </c>
      <c r="W66" s="5" t="n">
        <v>10.45</v>
      </c>
      <c r="X66" s="3" t="n">
        <v>150</v>
      </c>
      <c r="Y66" s="6" t="n">
        <v>46189</v>
      </c>
      <c r="Z66" s="6"/>
      <c r="AA66" s="6"/>
      <c r="AB66" s="4" t="n">
        <f aca="false">ROUND(PMT(W66/1200,X66,-V66),2)</f>
        <v>21925.51</v>
      </c>
      <c r="AC66" s="4" t="n">
        <v>2624000</v>
      </c>
      <c r="AD66" s="3" t="n">
        <v>1</v>
      </c>
      <c r="AE66" s="4" t="n">
        <v>67800</v>
      </c>
      <c r="AF66" s="4" t="n">
        <v>36200</v>
      </c>
      <c r="AG66" s="3" t="n">
        <v>27</v>
      </c>
      <c r="AH66" s="4" t="n">
        <v>54400</v>
      </c>
      <c r="AI66" s="3" t="n">
        <v>703</v>
      </c>
      <c r="AJ66" s="7" t="n">
        <f aca="false">ROUND(AB66/I66,4)</f>
        <v>0.3716</v>
      </c>
      <c r="AK66" s="2" t="str">
        <f aca="false">IF(AND(AI66&gt;=750,AJ66&lt;=0.35),"Low",IF(AND(AI66&gt;=600,AJ66&lt;=0.5),"Medium","High"))</f>
        <v>Medium</v>
      </c>
      <c r="AL66" s="3" t="n">
        <v>1</v>
      </c>
      <c r="AM66" s="2" t="s">
        <v>233</v>
      </c>
      <c r="AN66" s="2"/>
      <c r="AO66" s="2" t="s">
        <v>127</v>
      </c>
      <c r="AP66" s="7" t="n">
        <v>0.355</v>
      </c>
    </row>
    <row r="67" customFormat="false" ht="15" hidden="false" customHeight="false" outlineLevel="0" collapsed="false">
      <c r="A67" s="2" t="s">
        <v>413</v>
      </c>
      <c r="B67" s="2" t="s">
        <v>414</v>
      </c>
      <c r="C67" s="2" t="s">
        <v>415</v>
      </c>
      <c r="D67" s="2" t="s">
        <v>45</v>
      </c>
      <c r="E67" s="3" t="n">
        <v>44</v>
      </c>
      <c r="F67" s="2" t="s">
        <v>46</v>
      </c>
      <c r="G67" s="2" t="s">
        <v>76</v>
      </c>
      <c r="H67" s="2" t="s">
        <v>77</v>
      </c>
      <c r="I67" s="4" t="n">
        <v>46500</v>
      </c>
      <c r="J67" s="2" t="s">
        <v>78</v>
      </c>
      <c r="K67" s="3" t="n">
        <v>19</v>
      </c>
      <c r="L67" s="2" t="s">
        <v>416</v>
      </c>
      <c r="M67" s="2" t="s">
        <v>147</v>
      </c>
      <c r="N67" s="2" t="s">
        <v>81</v>
      </c>
      <c r="O67" s="3" t="n">
        <v>1</v>
      </c>
      <c r="P67" s="2" t="s">
        <v>209</v>
      </c>
      <c r="Q67" s="2" t="s">
        <v>210</v>
      </c>
      <c r="R67" s="2" t="s">
        <v>211</v>
      </c>
      <c r="S67" s="2" t="s">
        <v>147</v>
      </c>
      <c r="T67" s="2" t="s">
        <v>417</v>
      </c>
      <c r="U67" s="2" t="s">
        <v>192</v>
      </c>
      <c r="V67" s="4" t="n">
        <v>363000</v>
      </c>
      <c r="W67" s="5" t="n">
        <v>10.6</v>
      </c>
      <c r="X67" s="3" t="n">
        <v>24</v>
      </c>
      <c r="Y67" s="6" t="n">
        <v>46196</v>
      </c>
      <c r="Z67" s="6" t="n">
        <v>46201</v>
      </c>
      <c r="AA67" s="6" t="n">
        <v>46202</v>
      </c>
      <c r="AB67" s="4" t="n">
        <f aca="false">ROUND(PMT(W67/1200,X67,-V67),2)</f>
        <v>16851.31</v>
      </c>
      <c r="AC67" s="4" t="n">
        <v>487000</v>
      </c>
      <c r="AD67" s="3" t="n">
        <v>0</v>
      </c>
      <c r="AE67" s="4" t="n">
        <v>103300</v>
      </c>
      <c r="AF67" s="4" t="n">
        <v>13600</v>
      </c>
      <c r="AG67" s="3" t="n">
        <v>23</v>
      </c>
      <c r="AH67" s="4" t="n">
        <v>35600</v>
      </c>
      <c r="AI67" s="3" t="n">
        <v>849</v>
      </c>
      <c r="AJ67" s="7" t="n">
        <f aca="false">ROUND(AB67/I67,4)</f>
        <v>0.3624</v>
      </c>
      <c r="AK67" s="2" t="str">
        <f aca="false">IF(AND(AI67&gt;=750,AJ67&lt;=0.35),"Low",IF(AND(AI67&gt;=600,AJ67&lt;=0.5),"Medium","High"))</f>
        <v>Medium</v>
      </c>
      <c r="AL67" s="3" t="n">
        <v>0</v>
      </c>
      <c r="AM67" s="2" t="s">
        <v>58</v>
      </c>
      <c r="AN67" s="2" t="s">
        <v>59</v>
      </c>
      <c r="AO67" s="2" t="s">
        <v>86</v>
      </c>
      <c r="AP67" s="7" t="n">
        <v>0.032</v>
      </c>
    </row>
    <row r="68" customFormat="false" ht="15" hidden="false" customHeight="false" outlineLevel="0" collapsed="false">
      <c r="A68" s="2" t="s">
        <v>418</v>
      </c>
      <c r="B68" s="2" t="s">
        <v>419</v>
      </c>
      <c r="C68" s="2" t="s">
        <v>420</v>
      </c>
      <c r="D68" s="2" t="s">
        <v>45</v>
      </c>
      <c r="E68" s="3" t="n">
        <v>47</v>
      </c>
      <c r="F68" s="2" t="s">
        <v>64</v>
      </c>
      <c r="G68" s="2" t="s">
        <v>246</v>
      </c>
      <c r="H68" s="2" t="s">
        <v>123</v>
      </c>
      <c r="I68" s="4" t="n">
        <v>14500</v>
      </c>
      <c r="J68" s="2" t="s">
        <v>145</v>
      </c>
      <c r="K68" s="3" t="n">
        <v>21</v>
      </c>
      <c r="L68" s="2" t="s">
        <v>91</v>
      </c>
      <c r="M68" s="2" t="s">
        <v>92</v>
      </c>
      <c r="N68" s="2" t="s">
        <v>52</v>
      </c>
      <c r="O68" s="3" t="n">
        <v>1</v>
      </c>
      <c r="P68" s="2" t="s">
        <v>124</v>
      </c>
      <c r="Q68" s="2" t="s">
        <v>125</v>
      </c>
      <c r="R68" s="2" t="s">
        <v>91</v>
      </c>
      <c r="S68" s="2" t="s">
        <v>92</v>
      </c>
      <c r="T68" s="2" t="s">
        <v>421</v>
      </c>
      <c r="U68" s="2" t="s">
        <v>192</v>
      </c>
      <c r="V68" s="4" t="n">
        <v>200000</v>
      </c>
      <c r="W68" s="5" t="n">
        <v>13.27</v>
      </c>
      <c r="X68" s="3" t="n">
        <v>72</v>
      </c>
      <c r="Y68" s="6" t="n">
        <v>46184</v>
      </c>
      <c r="Z68" s="6"/>
      <c r="AA68" s="6"/>
      <c r="AB68" s="4" t="n">
        <f aca="false">ROUND(PMT(W68/1200,X68,-V68),2)</f>
        <v>4043.38</v>
      </c>
      <c r="AC68" s="4" t="n">
        <v>278000</v>
      </c>
      <c r="AD68" s="3" t="n">
        <v>0</v>
      </c>
      <c r="AE68" s="4" t="n">
        <v>12600</v>
      </c>
      <c r="AF68" s="4" t="n">
        <v>2800</v>
      </c>
      <c r="AG68" s="3" t="n">
        <v>20</v>
      </c>
      <c r="AH68" s="4" t="n">
        <v>15800</v>
      </c>
      <c r="AI68" s="3" t="n">
        <v>702</v>
      </c>
      <c r="AJ68" s="7" t="n">
        <f aca="false">ROUND(AB68/I68,4)</f>
        <v>0.2789</v>
      </c>
      <c r="AK68" s="2" t="str">
        <f aca="false">IF(AND(AI68&gt;=750,AJ68&lt;=0.35),"Low",IF(AND(AI68&gt;=600,AJ68&lt;=0.5),"Medium","High"))</f>
        <v>Medium</v>
      </c>
      <c r="AL68" s="3" t="n">
        <v>2</v>
      </c>
      <c r="AM68" s="2" t="s">
        <v>58</v>
      </c>
      <c r="AN68" s="2"/>
      <c r="AO68" s="2" t="s">
        <v>127</v>
      </c>
      <c r="AP68" s="7" t="n">
        <v>0.249</v>
      </c>
    </row>
    <row r="69" customFormat="false" ht="15" hidden="false" customHeight="false" outlineLevel="0" collapsed="false">
      <c r="A69" s="2" t="s">
        <v>422</v>
      </c>
      <c r="B69" s="2" t="s">
        <v>423</v>
      </c>
      <c r="C69" s="2" t="s">
        <v>424</v>
      </c>
      <c r="D69" s="2" t="s">
        <v>45</v>
      </c>
      <c r="E69" s="3" t="n">
        <v>37</v>
      </c>
      <c r="F69" s="2" t="s">
        <v>175</v>
      </c>
      <c r="G69" s="2" t="s">
        <v>47</v>
      </c>
      <c r="H69" s="2" t="s">
        <v>48</v>
      </c>
      <c r="I69" s="4" t="n">
        <v>70500</v>
      </c>
      <c r="J69" s="2" t="s">
        <v>49</v>
      </c>
      <c r="K69" s="3" t="n">
        <v>16</v>
      </c>
      <c r="L69" s="2" t="s">
        <v>168</v>
      </c>
      <c r="M69" s="2" t="s">
        <v>92</v>
      </c>
      <c r="N69" s="2" t="s">
        <v>52</v>
      </c>
      <c r="O69" s="3" t="n">
        <v>0</v>
      </c>
      <c r="P69" s="2" t="s">
        <v>229</v>
      </c>
      <c r="Q69" s="2" t="s">
        <v>230</v>
      </c>
      <c r="R69" s="2" t="s">
        <v>231</v>
      </c>
      <c r="S69" s="2" t="s">
        <v>92</v>
      </c>
      <c r="T69" s="2" t="s">
        <v>425</v>
      </c>
      <c r="U69" s="2" t="s">
        <v>57</v>
      </c>
      <c r="V69" s="4" t="n">
        <v>2271000</v>
      </c>
      <c r="W69" s="5" t="n">
        <v>8.92</v>
      </c>
      <c r="X69" s="3" t="n">
        <v>156</v>
      </c>
      <c r="Y69" s="6" t="n">
        <v>46198</v>
      </c>
      <c r="Z69" s="6"/>
      <c r="AA69" s="6"/>
      <c r="AB69" s="4" t="n">
        <f aca="false">ROUND(PMT(W69/1200,X69,-V69),2)</f>
        <v>24642.48</v>
      </c>
      <c r="AC69" s="4" t="n">
        <v>2422000</v>
      </c>
      <c r="AD69" s="3" t="n">
        <v>1</v>
      </c>
      <c r="AE69" s="4" t="n">
        <v>232800</v>
      </c>
      <c r="AF69" s="4" t="n">
        <v>46600</v>
      </c>
      <c r="AG69" s="3" t="n">
        <v>36</v>
      </c>
      <c r="AH69" s="4" t="n">
        <v>30600</v>
      </c>
      <c r="AI69" s="3" t="n">
        <v>628</v>
      </c>
      <c r="AJ69" s="7" t="n">
        <f aca="false">ROUND(AB69/I69,4)</f>
        <v>0.3495</v>
      </c>
      <c r="AK69" s="2" t="str">
        <f aca="false">IF(AND(AI69&gt;=750,AJ69&lt;=0.35),"Low",IF(AND(AI69&gt;=600,AJ69&lt;=0.5),"Medium","High"))</f>
        <v>Medium</v>
      </c>
      <c r="AL69" s="3" t="n">
        <v>1</v>
      </c>
      <c r="AM69" s="2" t="s">
        <v>58</v>
      </c>
      <c r="AN69" s="2"/>
      <c r="AO69" s="2" t="s">
        <v>127</v>
      </c>
      <c r="AP69" s="7" t="n">
        <v>0.376</v>
      </c>
    </row>
    <row r="70" customFormat="false" ht="15" hidden="false" customHeight="false" outlineLevel="0" collapsed="false">
      <c r="A70" s="2" t="s">
        <v>426</v>
      </c>
      <c r="B70" s="2" t="s">
        <v>427</v>
      </c>
      <c r="C70" s="2" t="s">
        <v>428</v>
      </c>
      <c r="D70" s="2" t="s">
        <v>109</v>
      </c>
      <c r="E70" s="3" t="n">
        <v>41</v>
      </c>
      <c r="F70" s="2" t="s">
        <v>46</v>
      </c>
      <c r="G70" s="2" t="s">
        <v>90</v>
      </c>
      <c r="H70" s="2" t="s">
        <v>48</v>
      </c>
      <c r="I70" s="4" t="n">
        <v>25000</v>
      </c>
      <c r="J70" s="2" t="s">
        <v>90</v>
      </c>
      <c r="K70" s="3"/>
      <c r="L70" s="2" t="s">
        <v>429</v>
      </c>
      <c r="M70" s="2" t="s">
        <v>159</v>
      </c>
      <c r="N70" s="2" t="s">
        <v>140</v>
      </c>
      <c r="O70" s="3" t="n">
        <v>1</v>
      </c>
      <c r="P70" s="2" t="s">
        <v>160</v>
      </c>
      <c r="Q70" s="2" t="s">
        <v>161</v>
      </c>
      <c r="R70" s="2" t="s">
        <v>159</v>
      </c>
      <c r="S70" s="2" t="s">
        <v>159</v>
      </c>
      <c r="T70" s="2" t="s">
        <v>430</v>
      </c>
      <c r="U70" s="2" t="s">
        <v>192</v>
      </c>
      <c r="V70" s="4" t="n">
        <v>253000</v>
      </c>
      <c r="W70" s="5" t="n">
        <v>13.24</v>
      </c>
      <c r="X70" s="3" t="n">
        <v>36</v>
      </c>
      <c r="Y70" s="6" t="n">
        <v>46199</v>
      </c>
      <c r="Z70" s="6" t="n">
        <v>46200</v>
      </c>
      <c r="AA70" s="6" t="n">
        <v>46203</v>
      </c>
      <c r="AB70" s="4" t="n">
        <f aca="false">ROUND(PMT(W70/1200,X70,-V70),2)</f>
        <v>8553.85</v>
      </c>
      <c r="AC70" s="4" t="n">
        <v>356000</v>
      </c>
      <c r="AD70" s="3" t="n">
        <v>1</v>
      </c>
      <c r="AE70" s="4" t="n">
        <v>52100</v>
      </c>
      <c r="AF70" s="4" t="n">
        <v>22000</v>
      </c>
      <c r="AG70" s="3" t="n">
        <v>30</v>
      </c>
      <c r="AH70" s="4" t="n">
        <v>18000</v>
      </c>
      <c r="AI70" s="3" t="n">
        <v>887</v>
      </c>
      <c r="AJ70" s="7" t="n">
        <f aca="false">ROUND(AB70/I70,4)</f>
        <v>0.3422</v>
      </c>
      <c r="AK70" s="2" t="str">
        <f aca="false">IF(AND(AI70&gt;=750,AJ70&lt;=0.35),"Low",IF(AND(AI70&gt;=600,AJ70&lt;=0.5),"Medium","High"))</f>
        <v>Low</v>
      </c>
      <c r="AL70" s="3" t="n">
        <v>1</v>
      </c>
      <c r="AM70" s="2" t="s">
        <v>58</v>
      </c>
      <c r="AN70" s="2" t="s">
        <v>59</v>
      </c>
      <c r="AO70" s="2" t="s">
        <v>60</v>
      </c>
      <c r="AP70" s="7" t="n">
        <v>0.119</v>
      </c>
    </row>
    <row r="71" customFormat="false" ht="15" hidden="false" customHeight="false" outlineLevel="0" collapsed="false">
      <c r="A71" s="2" t="s">
        <v>431</v>
      </c>
      <c r="B71" s="2" t="s">
        <v>432</v>
      </c>
      <c r="C71" s="2" t="s">
        <v>433</v>
      </c>
      <c r="D71" s="2" t="s">
        <v>109</v>
      </c>
      <c r="E71" s="3" t="n">
        <v>33</v>
      </c>
      <c r="F71" s="2" t="s">
        <v>434</v>
      </c>
      <c r="G71" s="2" t="s">
        <v>110</v>
      </c>
      <c r="H71" s="2" t="s">
        <v>48</v>
      </c>
      <c r="I71" s="4" t="n">
        <v>20500</v>
      </c>
      <c r="J71" s="2" t="s">
        <v>112</v>
      </c>
      <c r="K71" s="3" t="n">
        <v>8</v>
      </c>
      <c r="L71" s="2" t="s">
        <v>92</v>
      </c>
      <c r="M71" s="2" t="s">
        <v>92</v>
      </c>
      <c r="N71" s="2" t="s">
        <v>140</v>
      </c>
      <c r="O71" s="3" t="n">
        <v>0</v>
      </c>
      <c r="P71" s="2" t="s">
        <v>169</v>
      </c>
      <c r="Q71" s="2" t="s">
        <v>170</v>
      </c>
      <c r="R71" s="2" t="s">
        <v>92</v>
      </c>
      <c r="S71" s="2" t="s">
        <v>92</v>
      </c>
      <c r="T71" s="2" t="s">
        <v>435</v>
      </c>
      <c r="U71" s="2" t="s">
        <v>72</v>
      </c>
      <c r="V71" s="4" t="n">
        <v>300000</v>
      </c>
      <c r="W71" s="5" t="n">
        <v>15.3</v>
      </c>
      <c r="X71" s="3" t="n">
        <v>30</v>
      </c>
      <c r="Y71" s="6" t="n">
        <v>46184</v>
      </c>
      <c r="Z71" s="6"/>
      <c r="AA71" s="6"/>
      <c r="AB71" s="4" t="n">
        <f aca="false">ROUND(PMT(W71/1200,X71,-V71),2)</f>
        <v>12096.98</v>
      </c>
      <c r="AC71" s="4" t="n">
        <v>449000</v>
      </c>
      <c r="AD71" s="3" t="n">
        <v>0</v>
      </c>
      <c r="AE71" s="4" t="n">
        <v>24600</v>
      </c>
      <c r="AF71" s="4" t="n">
        <v>10800</v>
      </c>
      <c r="AG71" s="3" t="n">
        <v>29</v>
      </c>
      <c r="AH71" s="4" t="n">
        <v>7300</v>
      </c>
      <c r="AI71" s="3" t="n">
        <v>620</v>
      </c>
      <c r="AJ71" s="7" t="n">
        <f aca="false">ROUND(AB71/I71,4)</f>
        <v>0.5901</v>
      </c>
      <c r="AK71" s="2" t="str">
        <f aca="false">IF(AND(AI71&gt;=750,AJ71&lt;=0.35),"Low",IF(AND(AI71&gt;=600,AJ71&lt;=0.5),"Medium","High"))</f>
        <v>High</v>
      </c>
      <c r="AL71" s="3" t="n">
        <v>3</v>
      </c>
      <c r="AM71" s="2" t="s">
        <v>58</v>
      </c>
      <c r="AN71" s="2"/>
      <c r="AO71" s="2" t="s">
        <v>127</v>
      </c>
      <c r="AP71" s="7" t="n">
        <v>0.341</v>
      </c>
    </row>
    <row r="72" customFormat="false" ht="15" hidden="false" customHeight="false" outlineLevel="0" collapsed="false">
      <c r="A72" s="2" t="s">
        <v>436</v>
      </c>
      <c r="B72" s="2" t="s">
        <v>437</v>
      </c>
      <c r="C72" s="2" t="s">
        <v>438</v>
      </c>
      <c r="D72" s="2" t="s">
        <v>45</v>
      </c>
      <c r="E72" s="3" t="n">
        <v>50</v>
      </c>
      <c r="F72" s="2" t="s">
        <v>64</v>
      </c>
      <c r="G72" s="2" t="s">
        <v>176</v>
      </c>
      <c r="H72" s="2" t="s">
        <v>77</v>
      </c>
      <c r="I72" s="4" t="n">
        <v>71000</v>
      </c>
      <c r="J72" s="2" t="s">
        <v>177</v>
      </c>
      <c r="K72" s="3" t="n">
        <v>24</v>
      </c>
      <c r="L72" s="2" t="s">
        <v>55</v>
      </c>
      <c r="M72" s="2" t="s">
        <v>51</v>
      </c>
      <c r="N72" s="2" t="s">
        <v>52</v>
      </c>
      <c r="O72" s="3" t="n">
        <v>3</v>
      </c>
      <c r="P72" s="2" t="s">
        <v>131</v>
      </c>
      <c r="Q72" s="2" t="s">
        <v>132</v>
      </c>
      <c r="R72" s="2" t="s">
        <v>51</v>
      </c>
      <c r="S72" s="2" t="s">
        <v>51</v>
      </c>
      <c r="T72" s="2" t="s">
        <v>439</v>
      </c>
      <c r="U72" s="2" t="s">
        <v>72</v>
      </c>
      <c r="V72" s="4" t="n">
        <v>1525000</v>
      </c>
      <c r="W72" s="5" t="n">
        <v>13.81</v>
      </c>
      <c r="X72" s="3" t="n">
        <v>72</v>
      </c>
      <c r="Y72" s="6" t="n">
        <v>46198</v>
      </c>
      <c r="Z72" s="6" t="n">
        <v>46208</v>
      </c>
      <c r="AA72" s="6" t="n">
        <v>46209</v>
      </c>
      <c r="AB72" s="4" t="n">
        <f aca="false">ROUND(PMT(W72/1200,X72,-V72),2)</f>
        <v>31268.81</v>
      </c>
      <c r="AC72" s="4" t="n">
        <v>2212000</v>
      </c>
      <c r="AD72" s="3" t="n">
        <v>0</v>
      </c>
      <c r="AE72" s="4" t="n">
        <v>182700</v>
      </c>
      <c r="AF72" s="4" t="n">
        <v>101600</v>
      </c>
      <c r="AG72" s="3" t="n">
        <v>19</v>
      </c>
      <c r="AH72" s="4" t="n">
        <v>33300</v>
      </c>
      <c r="AI72" s="3" t="n">
        <v>749</v>
      </c>
      <c r="AJ72" s="7" t="n">
        <f aca="false">ROUND(AB72/I72,4)</f>
        <v>0.4404</v>
      </c>
      <c r="AK72" s="2" t="str">
        <f aca="false">IF(AND(AI72&gt;=750,AJ72&lt;=0.35),"Low",IF(AND(AI72&gt;=600,AJ72&lt;=0.5),"Medium","High"))</f>
        <v>Medium</v>
      </c>
      <c r="AL72" s="3" t="n">
        <v>1</v>
      </c>
      <c r="AM72" s="2" t="s">
        <v>58</v>
      </c>
      <c r="AN72" s="2" t="s">
        <v>119</v>
      </c>
      <c r="AO72" s="2" t="s">
        <v>60</v>
      </c>
      <c r="AP72" s="7" t="n">
        <v>0.127</v>
      </c>
    </row>
    <row r="73" customFormat="false" ht="15" hidden="false" customHeight="false" outlineLevel="0" collapsed="false">
      <c r="A73" s="2" t="s">
        <v>440</v>
      </c>
      <c r="B73" s="2" t="s">
        <v>441</v>
      </c>
      <c r="C73" s="2" t="s">
        <v>442</v>
      </c>
      <c r="D73" s="2" t="s">
        <v>45</v>
      </c>
      <c r="E73" s="3" t="n">
        <v>54</v>
      </c>
      <c r="F73" s="2" t="s">
        <v>46</v>
      </c>
      <c r="G73" s="2" t="s">
        <v>90</v>
      </c>
      <c r="H73" s="2"/>
      <c r="I73" s="4" t="n">
        <v>43500</v>
      </c>
      <c r="J73" s="2" t="s">
        <v>90</v>
      </c>
      <c r="K73" s="3" t="n">
        <v>31</v>
      </c>
      <c r="L73" s="2" t="s">
        <v>51</v>
      </c>
      <c r="M73" s="2" t="s">
        <v>51</v>
      </c>
      <c r="N73" s="2" t="s">
        <v>140</v>
      </c>
      <c r="O73" s="3" t="n">
        <v>1</v>
      </c>
      <c r="P73" s="2" t="s">
        <v>131</v>
      </c>
      <c r="Q73" s="2" t="s">
        <v>132</v>
      </c>
      <c r="R73" s="2" t="s">
        <v>51</v>
      </c>
      <c r="S73" s="2" t="s">
        <v>51</v>
      </c>
      <c r="T73" s="2" t="s">
        <v>443</v>
      </c>
      <c r="U73" s="2" t="s">
        <v>97</v>
      </c>
      <c r="V73" s="4" t="n">
        <v>361000</v>
      </c>
      <c r="W73" s="5" t="n">
        <v>15.7</v>
      </c>
      <c r="X73" s="3" t="n">
        <v>36</v>
      </c>
      <c r="Y73" s="6" t="n">
        <v>46194</v>
      </c>
      <c r="Z73" s="6" t="n">
        <v>46201</v>
      </c>
      <c r="AA73" s="6" t="n">
        <v>46203</v>
      </c>
      <c r="AB73" s="4" t="n">
        <f aca="false">ROUND(PMT(W73/1200,X73,-V73),2)</f>
        <v>12638.29</v>
      </c>
      <c r="AC73" s="4" t="n">
        <v>0</v>
      </c>
      <c r="AD73" s="3" t="n">
        <v>2</v>
      </c>
      <c r="AE73" s="4" t="n">
        <v>112000</v>
      </c>
      <c r="AF73" s="4" t="n">
        <v>20400</v>
      </c>
      <c r="AG73" s="3" t="n">
        <v>31</v>
      </c>
      <c r="AH73" s="4" t="n">
        <v>26700</v>
      </c>
      <c r="AI73" s="3" t="n">
        <v>763</v>
      </c>
      <c r="AJ73" s="7" t="n">
        <f aca="false">ROUND(AB73/I73,4)</f>
        <v>0.2905</v>
      </c>
      <c r="AK73" s="2" t="str">
        <f aca="false">IF(AND(AI73&gt;=750,AJ73&lt;=0.35),"Low",IF(AND(AI73&gt;=600,AJ73&lt;=0.5),"Medium","High"))</f>
        <v>Low</v>
      </c>
      <c r="AL73" s="3" t="n">
        <v>1</v>
      </c>
      <c r="AM73" s="2" t="s">
        <v>58</v>
      </c>
      <c r="AN73" s="2" t="s">
        <v>59</v>
      </c>
      <c r="AO73" s="2" t="s">
        <v>60</v>
      </c>
      <c r="AP73" s="7" t="n">
        <v>0.09</v>
      </c>
    </row>
    <row r="74" customFormat="false" ht="15" hidden="false" customHeight="false" outlineLevel="0" collapsed="false">
      <c r="A74" s="2" t="s">
        <v>444</v>
      </c>
      <c r="B74" s="2" t="s">
        <v>445</v>
      </c>
      <c r="C74" s="2" t="s">
        <v>446</v>
      </c>
      <c r="D74" s="2" t="s">
        <v>45</v>
      </c>
      <c r="E74" s="3" t="n">
        <v>23</v>
      </c>
      <c r="F74" s="2" t="s">
        <v>46</v>
      </c>
      <c r="G74" s="2" t="s">
        <v>246</v>
      </c>
      <c r="H74" s="2" t="s">
        <v>111</v>
      </c>
      <c r="I74" s="4" t="n">
        <v>15500</v>
      </c>
      <c r="J74" s="2" t="s">
        <v>145</v>
      </c>
      <c r="K74" s="3" t="n">
        <v>0</v>
      </c>
      <c r="L74" s="2" t="s">
        <v>279</v>
      </c>
      <c r="M74" s="2" t="s">
        <v>51</v>
      </c>
      <c r="N74" s="2" t="s">
        <v>52</v>
      </c>
      <c r="O74" s="3" t="n">
        <v>1</v>
      </c>
      <c r="P74" s="2" t="s">
        <v>53</v>
      </c>
      <c r="Q74" s="2" t="s">
        <v>54</v>
      </c>
      <c r="R74" s="2" t="s">
        <v>55</v>
      </c>
      <c r="S74" s="2" t="s">
        <v>51</v>
      </c>
      <c r="T74" s="2" t="s">
        <v>447</v>
      </c>
      <c r="U74" s="2" t="s">
        <v>192</v>
      </c>
      <c r="V74" s="4" t="n">
        <v>200000</v>
      </c>
      <c r="W74" s="5" t="n">
        <v>11.51</v>
      </c>
      <c r="X74" s="3" t="n">
        <v>54</v>
      </c>
      <c r="Y74" s="6" t="n">
        <v>46189</v>
      </c>
      <c r="Z74" s="6" t="n">
        <v>46192</v>
      </c>
      <c r="AA74" s="6" t="n">
        <v>46194</v>
      </c>
      <c r="AB74" s="4" t="n">
        <f aca="false">ROUND(PMT(W74/1200,X74,-V74),2)</f>
        <v>4762.65</v>
      </c>
      <c r="AC74" s="4" t="n">
        <v>271000</v>
      </c>
      <c r="AD74" s="3" t="n">
        <v>1</v>
      </c>
      <c r="AE74" s="4"/>
      <c r="AF74" s="4" t="n">
        <v>4500</v>
      </c>
      <c r="AG74" s="3"/>
      <c r="AH74" s="4" t="n">
        <v>12900</v>
      </c>
      <c r="AI74" s="3" t="n">
        <v>695</v>
      </c>
      <c r="AJ74" s="7" t="n">
        <f aca="false">ROUND(AB74/I74,4)</f>
        <v>0.3073</v>
      </c>
      <c r="AK74" s="2" t="str">
        <f aca="false">IF(AND(AI74&gt;=750,AJ74&lt;=0.35),"Low",IF(AND(AI74&gt;=600,AJ74&lt;=0.5),"Medium","High"))</f>
        <v>Medium</v>
      </c>
      <c r="AL74" s="3" t="n">
        <v>2</v>
      </c>
      <c r="AM74" s="2" t="s">
        <v>58</v>
      </c>
      <c r="AN74" s="2" t="s">
        <v>59</v>
      </c>
      <c r="AO74" s="2" t="s">
        <v>60</v>
      </c>
      <c r="AP74" s="7" t="n">
        <v>0.243</v>
      </c>
    </row>
    <row r="75" customFormat="false" ht="15" hidden="false" customHeight="false" outlineLevel="0" collapsed="false">
      <c r="A75" s="2" t="s">
        <v>448</v>
      </c>
      <c r="B75" s="2" t="s">
        <v>449</v>
      </c>
      <c r="C75" s="2" t="s">
        <v>450</v>
      </c>
      <c r="D75" s="2" t="s">
        <v>109</v>
      </c>
      <c r="E75" s="3" t="n">
        <v>51</v>
      </c>
      <c r="F75" s="2" t="s">
        <v>64</v>
      </c>
      <c r="G75" s="2" t="s">
        <v>207</v>
      </c>
      <c r="H75" s="2" t="s">
        <v>77</v>
      </c>
      <c r="I75" s="4" t="n">
        <v>50000</v>
      </c>
      <c r="J75" s="2" t="s">
        <v>49</v>
      </c>
      <c r="K75" s="3" t="n">
        <v>28</v>
      </c>
      <c r="L75" s="2" t="s">
        <v>168</v>
      </c>
      <c r="M75" s="2" t="s">
        <v>92</v>
      </c>
      <c r="N75" s="2" t="s">
        <v>52</v>
      </c>
      <c r="O75" s="3" t="n">
        <v>3</v>
      </c>
      <c r="P75" s="2" t="s">
        <v>124</v>
      </c>
      <c r="Q75" s="2" t="s">
        <v>125</v>
      </c>
      <c r="R75" s="2" t="s">
        <v>91</v>
      </c>
      <c r="S75" s="2" t="s">
        <v>92</v>
      </c>
      <c r="T75" s="2" t="s">
        <v>451</v>
      </c>
      <c r="U75" s="2" t="s">
        <v>180</v>
      </c>
      <c r="V75" s="4" t="n">
        <v>505000</v>
      </c>
      <c r="W75" s="5" t="n">
        <v>9.93</v>
      </c>
      <c r="X75" s="3" t="n">
        <v>36</v>
      </c>
      <c r="Y75" s="6" t="n">
        <v>46188</v>
      </c>
      <c r="Z75" s="6" t="n">
        <v>46196</v>
      </c>
      <c r="AA75" s="6" t="n">
        <v>46198</v>
      </c>
      <c r="AB75" s="4" t="n">
        <f aca="false">ROUND(PMT(W75/1200,X75,-V75),2)</f>
        <v>16278.34</v>
      </c>
      <c r="AC75" s="4" t="n">
        <v>741000</v>
      </c>
      <c r="AD75" s="3" t="n">
        <v>0</v>
      </c>
      <c r="AE75" s="4" t="n">
        <v>32300</v>
      </c>
      <c r="AF75" s="4" t="n">
        <v>5600</v>
      </c>
      <c r="AG75" s="3" t="n">
        <v>2</v>
      </c>
      <c r="AH75" s="4" t="n">
        <v>54500</v>
      </c>
      <c r="AI75" s="3" t="n">
        <v>723</v>
      </c>
      <c r="AJ75" s="7" t="n">
        <f aca="false">ROUND(AB75/I75,4)</f>
        <v>0.3256</v>
      </c>
      <c r="AK75" s="2" t="str">
        <f aca="false">IF(AND(AI75&gt;=750,AJ75&lt;=0.35),"Low",IF(AND(AI75&gt;=600,AJ75&lt;=0.5),"Medium","High"))</f>
        <v>Medium</v>
      </c>
      <c r="AL75" s="3" t="n">
        <v>2</v>
      </c>
      <c r="AM75" s="2" t="s">
        <v>58</v>
      </c>
      <c r="AN75" s="2" t="s">
        <v>59</v>
      </c>
      <c r="AO75" s="2" t="s">
        <v>60</v>
      </c>
      <c r="AP75" s="7" t="n">
        <v>0.234</v>
      </c>
    </row>
    <row r="76" customFormat="false" ht="15" hidden="false" customHeight="false" outlineLevel="0" collapsed="false">
      <c r="A76" s="2" t="s">
        <v>452</v>
      </c>
      <c r="B76" s="2" t="s">
        <v>453</v>
      </c>
      <c r="C76" s="2" t="s">
        <v>454</v>
      </c>
      <c r="D76" s="2" t="s">
        <v>45</v>
      </c>
      <c r="E76" s="3" t="n">
        <v>39</v>
      </c>
      <c r="F76" s="2" t="s">
        <v>64</v>
      </c>
      <c r="G76" s="2" t="s">
        <v>145</v>
      </c>
      <c r="H76" s="2" t="s">
        <v>48</v>
      </c>
      <c r="I76" s="4" t="n">
        <v>58500</v>
      </c>
      <c r="J76" s="2" t="s">
        <v>145</v>
      </c>
      <c r="K76" s="3" t="n">
        <v>18</v>
      </c>
      <c r="L76" s="2" t="s">
        <v>138</v>
      </c>
      <c r="M76" s="2" t="s">
        <v>139</v>
      </c>
      <c r="N76" s="2" t="s">
        <v>81</v>
      </c>
      <c r="O76" s="3" t="n">
        <v>3</v>
      </c>
      <c r="P76" s="2" t="s">
        <v>197</v>
      </c>
      <c r="Q76" s="2" t="s">
        <v>198</v>
      </c>
      <c r="R76" s="2" t="s">
        <v>139</v>
      </c>
      <c r="S76" s="2" t="s">
        <v>139</v>
      </c>
      <c r="T76" s="2" t="s">
        <v>455</v>
      </c>
      <c r="U76" s="2" t="s">
        <v>57</v>
      </c>
      <c r="V76" s="4" t="n">
        <v>2108000</v>
      </c>
      <c r="W76" s="5" t="n">
        <v>10.67</v>
      </c>
      <c r="X76" s="3" t="n">
        <v>168</v>
      </c>
      <c r="Y76" s="6" t="n">
        <v>46194</v>
      </c>
      <c r="Z76" s="6" t="n">
        <v>46200</v>
      </c>
      <c r="AA76" s="6" t="n">
        <v>46205</v>
      </c>
      <c r="AB76" s="4" t="n">
        <f aca="false">ROUND(PMT(W76/1200,X76,-V76),2)</f>
        <v>24216.74</v>
      </c>
      <c r="AC76" s="4"/>
      <c r="AD76" s="3" t="n">
        <v>1</v>
      </c>
      <c r="AE76" s="4" t="n">
        <v>200900</v>
      </c>
      <c r="AF76" s="4" t="n">
        <v>115000</v>
      </c>
      <c r="AG76" s="3"/>
      <c r="AH76" s="4" t="n">
        <v>49500</v>
      </c>
      <c r="AI76" s="3" t="n">
        <v>641</v>
      </c>
      <c r="AJ76" s="7" t="n">
        <f aca="false">ROUND(AB76/I76,4)</f>
        <v>0.414</v>
      </c>
      <c r="AK76" s="2" t="str">
        <f aca="false">IF(AND(AI76&gt;=750,AJ76&lt;=0.35),"Low",IF(AND(AI76&gt;=600,AJ76&lt;=0.5),"Medium","High"))</f>
        <v>Medium</v>
      </c>
      <c r="AL76" s="3" t="n">
        <v>2</v>
      </c>
      <c r="AM76" s="2" t="s">
        <v>58</v>
      </c>
      <c r="AN76" s="2" t="s">
        <v>258</v>
      </c>
      <c r="AO76" s="2" t="s">
        <v>60</v>
      </c>
      <c r="AP76" s="7" t="n">
        <v>0.328</v>
      </c>
    </row>
    <row r="77" customFormat="false" ht="15" hidden="false" customHeight="false" outlineLevel="0" collapsed="false">
      <c r="A77" s="2" t="s">
        <v>456</v>
      </c>
      <c r="B77" s="2" t="s">
        <v>457</v>
      </c>
      <c r="C77" s="2" t="s">
        <v>458</v>
      </c>
      <c r="D77" s="2" t="s">
        <v>45</v>
      </c>
      <c r="E77" s="3" t="n">
        <v>64</v>
      </c>
      <c r="F77" s="2" t="s">
        <v>64</v>
      </c>
      <c r="G77" s="2" t="s">
        <v>154</v>
      </c>
      <c r="H77" s="2" t="s">
        <v>77</v>
      </c>
      <c r="I77" s="4" t="n">
        <v>38500</v>
      </c>
      <c r="J77" s="2" t="s">
        <v>145</v>
      </c>
      <c r="K77" s="3" t="n">
        <v>40</v>
      </c>
      <c r="L77" s="2" t="s">
        <v>80</v>
      </c>
      <c r="M77" s="2" t="s">
        <v>80</v>
      </c>
      <c r="N77" s="2" t="s">
        <v>81</v>
      </c>
      <c r="O77" s="3" t="n">
        <v>2</v>
      </c>
      <c r="P77" s="2" t="s">
        <v>82</v>
      </c>
      <c r="Q77" s="2" t="s">
        <v>83</v>
      </c>
      <c r="R77" s="2" t="s">
        <v>80</v>
      </c>
      <c r="S77" s="2" t="s">
        <v>80</v>
      </c>
      <c r="T77" s="2" t="s">
        <v>459</v>
      </c>
      <c r="U77" s="2" t="s">
        <v>85</v>
      </c>
      <c r="V77" s="4" t="n">
        <v>4982092</v>
      </c>
      <c r="W77" s="5" t="n">
        <v>9.27</v>
      </c>
      <c r="X77" s="3" t="n">
        <v>12</v>
      </c>
      <c r="Y77" s="6" t="n">
        <v>46186</v>
      </c>
      <c r="Z77" s="6" t="n">
        <v>46190</v>
      </c>
      <c r="AA77" s="6" t="n">
        <v>46194</v>
      </c>
      <c r="AB77" s="4" t="n">
        <f aca="false">ROUND(PMT(W77/1200,X77,-V77),2)</f>
        <v>436315.34</v>
      </c>
      <c r="AC77" s="4" t="n">
        <v>0</v>
      </c>
      <c r="AD77" s="3" t="n">
        <v>2</v>
      </c>
      <c r="AE77" s="4" t="n">
        <v>124700</v>
      </c>
      <c r="AF77" s="4" t="n">
        <v>47800</v>
      </c>
      <c r="AG77" s="3" t="n">
        <v>24</v>
      </c>
      <c r="AH77" s="4" t="n">
        <v>34300</v>
      </c>
      <c r="AI77" s="3" t="n">
        <v>775</v>
      </c>
      <c r="AJ77" s="7" t="n">
        <f aca="false">ROUND(AB77/I77,4)</f>
        <v>11.3329</v>
      </c>
      <c r="AK77" s="2" t="str">
        <f aca="false">IF(AND(AI77&gt;=750,AJ77&lt;=0.35),"Low",IF(AND(AI77&gt;=600,AJ77&lt;=0.5),"Medium","High"))</f>
        <v>High</v>
      </c>
      <c r="AL77" s="3" t="n">
        <v>0</v>
      </c>
      <c r="AM77" s="2" t="s">
        <v>58</v>
      </c>
      <c r="AN77" s="2" t="s">
        <v>258</v>
      </c>
      <c r="AO77" s="2" t="s">
        <v>60</v>
      </c>
      <c r="AP77" s="7" t="n">
        <v>0.195</v>
      </c>
    </row>
    <row r="78" customFormat="false" ht="15" hidden="false" customHeight="false" outlineLevel="0" collapsed="false">
      <c r="A78" s="2" t="s">
        <v>460</v>
      </c>
      <c r="B78" s="2" t="s">
        <v>461</v>
      </c>
      <c r="C78" s="2" t="s">
        <v>462</v>
      </c>
      <c r="D78" s="2" t="s">
        <v>109</v>
      </c>
      <c r="E78" s="3" t="n">
        <v>35</v>
      </c>
      <c r="F78" s="2" t="s">
        <v>64</v>
      </c>
      <c r="G78" s="2" t="s">
        <v>154</v>
      </c>
      <c r="H78" s="2" t="s">
        <v>101</v>
      </c>
      <c r="I78" s="4" t="n">
        <v>66000</v>
      </c>
      <c r="J78" s="2" t="s">
        <v>145</v>
      </c>
      <c r="K78" s="3" t="n">
        <v>12</v>
      </c>
      <c r="L78" s="2" t="s">
        <v>463</v>
      </c>
      <c r="M78" s="2" t="s">
        <v>51</v>
      </c>
      <c r="N78" s="2" t="s">
        <v>140</v>
      </c>
      <c r="O78" s="3" t="n">
        <v>2</v>
      </c>
      <c r="P78" s="2" t="s">
        <v>189</v>
      </c>
      <c r="Q78" s="2" t="s">
        <v>190</v>
      </c>
      <c r="R78" s="2" t="s">
        <v>188</v>
      </c>
      <c r="S78" s="2" t="s">
        <v>51</v>
      </c>
      <c r="T78" s="2" t="s">
        <v>464</v>
      </c>
      <c r="U78" s="2" t="s">
        <v>97</v>
      </c>
      <c r="V78" s="4" t="n">
        <v>580000</v>
      </c>
      <c r="W78" s="5" t="n">
        <v>13.09</v>
      </c>
      <c r="X78" s="3" t="n">
        <v>30</v>
      </c>
      <c r="Y78" s="6" t="n">
        <v>46182</v>
      </c>
      <c r="Z78" s="6" t="n">
        <v>46185</v>
      </c>
      <c r="AA78" s="6" t="n">
        <v>46190</v>
      </c>
      <c r="AB78" s="4" t="n">
        <f aca="false">ROUND(PMT(W78/1200,X78,-V78),2)</f>
        <v>22773.31</v>
      </c>
      <c r="AC78" s="4" t="n">
        <v>0</v>
      </c>
      <c r="AD78" s="3" t="n">
        <v>2</v>
      </c>
      <c r="AE78" s="4" t="n">
        <v>122800</v>
      </c>
      <c r="AF78" s="4"/>
      <c r="AG78" s="3" t="n">
        <v>16</v>
      </c>
      <c r="AH78" s="4" t="n">
        <v>32300</v>
      </c>
      <c r="AI78" s="3" t="n">
        <v>714</v>
      </c>
      <c r="AJ78" s="7" t="n">
        <f aca="false">ROUND(AB78/I78,4)</f>
        <v>0.3451</v>
      </c>
      <c r="AK78" s="2" t="str">
        <f aca="false">IF(AND(AI78&gt;=750,AJ78&lt;=0.35),"Low",IF(AND(AI78&gt;=600,AJ78&lt;=0.5),"Medium","High"))</f>
        <v>Medium</v>
      </c>
      <c r="AL78" s="3" t="n">
        <v>1</v>
      </c>
      <c r="AM78" s="2" t="s">
        <v>233</v>
      </c>
      <c r="AN78" s="2" t="s">
        <v>258</v>
      </c>
      <c r="AO78" s="2" t="s">
        <v>60</v>
      </c>
      <c r="AP78" s="7" t="n">
        <v>0.389</v>
      </c>
    </row>
    <row r="79" customFormat="false" ht="15" hidden="false" customHeight="false" outlineLevel="0" collapsed="false">
      <c r="A79" s="2" t="s">
        <v>465</v>
      </c>
      <c r="B79" s="2" t="s">
        <v>466</v>
      </c>
      <c r="C79" s="2" t="s">
        <v>467</v>
      </c>
      <c r="D79" s="2" t="s">
        <v>45</v>
      </c>
      <c r="E79" s="3" t="n">
        <v>23</v>
      </c>
      <c r="F79" s="2" t="s">
        <v>64</v>
      </c>
      <c r="G79" s="2" t="s">
        <v>154</v>
      </c>
      <c r="H79" s="2" t="s">
        <v>48</v>
      </c>
      <c r="I79" s="4" t="n">
        <v>30500</v>
      </c>
      <c r="J79" s="2" t="s">
        <v>145</v>
      </c>
      <c r="K79" s="3" t="n">
        <v>4</v>
      </c>
      <c r="L79" s="2" t="s">
        <v>70</v>
      </c>
      <c r="M79" s="2" t="s">
        <v>67</v>
      </c>
      <c r="N79" s="2" t="s">
        <v>81</v>
      </c>
      <c r="O79" s="3" t="n">
        <v>0</v>
      </c>
      <c r="P79" s="2" t="s">
        <v>68</v>
      </c>
      <c r="Q79" s="2" t="s">
        <v>69</v>
      </c>
      <c r="R79" s="2" t="s">
        <v>70</v>
      </c>
      <c r="S79" s="2" t="s">
        <v>67</v>
      </c>
      <c r="T79" s="2" t="s">
        <v>468</v>
      </c>
      <c r="U79" s="2" t="s">
        <v>118</v>
      </c>
      <c r="V79" s="4" t="n">
        <v>207000</v>
      </c>
      <c r="W79" s="5" t="n">
        <v>9.11</v>
      </c>
      <c r="X79" s="3" t="n">
        <v>12</v>
      </c>
      <c r="Y79" s="6" t="n">
        <v>46194</v>
      </c>
      <c r="Z79" s="6" t="n">
        <v>46198</v>
      </c>
      <c r="AA79" s="6" t="n">
        <v>46204</v>
      </c>
      <c r="AB79" s="4" t="n">
        <f aca="false">ROUND(PMT(W79/1200,X79,-V79),2)</f>
        <v>18113.02</v>
      </c>
      <c r="AC79" s="4" t="n">
        <v>0</v>
      </c>
      <c r="AD79" s="3" t="n">
        <v>1</v>
      </c>
      <c r="AE79" s="4" t="n">
        <v>57800</v>
      </c>
      <c r="AF79" s="4" t="n">
        <v>22500</v>
      </c>
      <c r="AG79" s="3" t="n">
        <v>6</v>
      </c>
      <c r="AH79" s="4" t="n">
        <v>22200</v>
      </c>
      <c r="AI79" s="3" t="n">
        <v>631</v>
      </c>
      <c r="AJ79" s="7" t="n">
        <f aca="false">ROUND(AB79/I79,4)</f>
        <v>0.5939</v>
      </c>
      <c r="AK79" s="2" t="str">
        <f aca="false">IF(AND(AI79&gt;=750,AJ79&lt;=0.35),"Low",IF(AND(AI79&gt;=600,AJ79&lt;=0.5),"Medium","High"))</f>
        <v>High</v>
      </c>
      <c r="AL79" s="3" t="n">
        <v>2</v>
      </c>
      <c r="AM79" s="2" t="s">
        <v>58</v>
      </c>
      <c r="AN79" s="2" t="s">
        <v>59</v>
      </c>
      <c r="AO79" s="2" t="s">
        <v>86</v>
      </c>
      <c r="AP79" s="7" t="n">
        <v>0.269</v>
      </c>
    </row>
    <row r="80" customFormat="false" ht="15" hidden="false" customHeight="false" outlineLevel="0" collapsed="false">
      <c r="A80" s="2" t="s">
        <v>469</v>
      </c>
      <c r="B80" s="2" t="s">
        <v>470</v>
      </c>
      <c r="C80" s="2" t="s">
        <v>471</v>
      </c>
      <c r="D80" s="2" t="s">
        <v>109</v>
      </c>
      <c r="E80" s="3" t="n">
        <v>53</v>
      </c>
      <c r="F80" s="2" t="s">
        <v>64</v>
      </c>
      <c r="G80" s="2" t="s">
        <v>90</v>
      </c>
      <c r="H80" s="2" t="s">
        <v>123</v>
      </c>
      <c r="I80" s="4" t="n">
        <v>27000</v>
      </c>
      <c r="J80" s="2" t="s">
        <v>90</v>
      </c>
      <c r="K80" s="3" t="n">
        <v>26</v>
      </c>
      <c r="L80" s="2" t="s">
        <v>147</v>
      </c>
      <c r="M80" s="2" t="s">
        <v>147</v>
      </c>
      <c r="N80" s="2" t="s">
        <v>52</v>
      </c>
      <c r="O80" s="3" t="n">
        <v>3</v>
      </c>
      <c r="P80" s="2" t="s">
        <v>148</v>
      </c>
      <c r="Q80" s="2" t="s">
        <v>149</v>
      </c>
      <c r="R80" s="2" t="s">
        <v>147</v>
      </c>
      <c r="S80" s="2" t="s">
        <v>147</v>
      </c>
      <c r="T80" s="2" t="s">
        <v>472</v>
      </c>
      <c r="U80" s="2" t="s">
        <v>180</v>
      </c>
      <c r="V80" s="4" t="n">
        <v>300000</v>
      </c>
      <c r="W80" s="5" t="n">
        <v>13.23</v>
      </c>
      <c r="X80" s="3" t="n">
        <v>36</v>
      </c>
      <c r="Y80" s="6" t="n">
        <v>46197</v>
      </c>
      <c r="Z80" s="6" t="n">
        <v>46199</v>
      </c>
      <c r="AA80" s="6" t="n">
        <v>46202</v>
      </c>
      <c r="AB80" s="4" t="n">
        <f aca="false">ROUND(PMT(W80/1200,X80,-V80),2)</f>
        <v>10141.45</v>
      </c>
      <c r="AC80" s="4" t="n">
        <v>315000</v>
      </c>
      <c r="AD80" s="3" t="n">
        <v>0</v>
      </c>
      <c r="AE80" s="4" t="n">
        <v>40400</v>
      </c>
      <c r="AF80" s="4" t="n">
        <v>10200</v>
      </c>
      <c r="AG80" s="3" t="n">
        <v>26</v>
      </c>
      <c r="AH80" s="4" t="n">
        <v>25400</v>
      </c>
      <c r="AI80" s="3" t="n">
        <v>705</v>
      </c>
      <c r="AJ80" s="7" t="n">
        <f aca="false">ROUND(AB80/I80,4)</f>
        <v>0.3756</v>
      </c>
      <c r="AK80" s="2" t="str">
        <f aca="false">IF(AND(AI80&gt;=750,AJ80&lt;=0.35),"Low",IF(AND(AI80&gt;=600,AJ80&lt;=0.5),"Medium","High"))</f>
        <v>Medium</v>
      </c>
      <c r="AL80" s="3" t="n">
        <v>1</v>
      </c>
      <c r="AM80" s="2" t="s">
        <v>58</v>
      </c>
      <c r="AN80" s="2" t="s">
        <v>59</v>
      </c>
      <c r="AO80" s="2" t="s">
        <v>60</v>
      </c>
      <c r="AP80" s="7" t="n">
        <v>0.165</v>
      </c>
    </row>
    <row r="81" customFormat="false" ht="15" hidden="false" customHeight="false" outlineLevel="0" collapsed="false">
      <c r="A81" s="2" t="s">
        <v>473</v>
      </c>
      <c r="B81" s="2" t="s">
        <v>474</v>
      </c>
      <c r="C81" s="2" t="s">
        <v>475</v>
      </c>
      <c r="D81" s="2" t="s">
        <v>109</v>
      </c>
      <c r="E81" s="3" t="n">
        <v>21</v>
      </c>
      <c r="F81" s="2" t="s">
        <v>46</v>
      </c>
      <c r="G81" s="2" t="s">
        <v>246</v>
      </c>
      <c r="H81" s="2" t="s">
        <v>111</v>
      </c>
      <c r="I81" s="4" t="n">
        <v>12500</v>
      </c>
      <c r="J81" s="2" t="s">
        <v>145</v>
      </c>
      <c r="K81" s="3" t="n">
        <v>1</v>
      </c>
      <c r="L81" s="2" t="s">
        <v>476</v>
      </c>
      <c r="M81" s="2" t="s">
        <v>67</v>
      </c>
      <c r="N81" s="2" t="s">
        <v>140</v>
      </c>
      <c r="O81" s="3" t="n">
        <v>0</v>
      </c>
      <c r="P81" s="2" t="s">
        <v>103</v>
      </c>
      <c r="Q81" s="2" t="s">
        <v>104</v>
      </c>
      <c r="R81" s="2" t="s">
        <v>67</v>
      </c>
      <c r="S81" s="2" t="s">
        <v>67</v>
      </c>
      <c r="T81" s="2" t="s">
        <v>477</v>
      </c>
      <c r="U81" s="2" t="s">
        <v>85</v>
      </c>
      <c r="V81" s="4" t="n">
        <v>89000</v>
      </c>
      <c r="W81" s="5" t="n">
        <v>9.35</v>
      </c>
      <c r="X81" s="3" t="n">
        <v>24</v>
      </c>
      <c r="Y81" s="6" t="n">
        <v>46180</v>
      </c>
      <c r="Z81" s="6" t="n">
        <v>46184</v>
      </c>
      <c r="AA81" s="6" t="n">
        <v>46185</v>
      </c>
      <c r="AB81" s="4" t="n">
        <f aca="false">ROUND(PMT(W81/1200,X81,-V81),2)</f>
        <v>4080.25</v>
      </c>
      <c r="AC81" s="4" t="n">
        <v>0</v>
      </c>
      <c r="AD81" s="3" t="n">
        <v>1</v>
      </c>
      <c r="AE81" s="4" t="n">
        <v>17500</v>
      </c>
      <c r="AF81" s="4" t="n">
        <v>10200</v>
      </c>
      <c r="AG81" s="3" t="n">
        <v>14</v>
      </c>
      <c r="AH81" s="4" t="n">
        <v>8600</v>
      </c>
      <c r="AI81" s="3" t="n">
        <v>592</v>
      </c>
      <c r="AJ81" s="7" t="n">
        <f aca="false">ROUND(AB81/I81,4)</f>
        <v>0.3264</v>
      </c>
      <c r="AK81" s="2" t="str">
        <f aca="false">IF(AND(AI81&gt;=750,AJ81&lt;=0.35),"Low",IF(AND(AI81&gt;=600,AJ81&lt;=0.5),"Medium","High"))</f>
        <v>High</v>
      </c>
      <c r="AL81" s="3" t="n">
        <v>2</v>
      </c>
      <c r="AM81" s="2" t="s">
        <v>233</v>
      </c>
      <c r="AN81" s="2" t="s">
        <v>59</v>
      </c>
      <c r="AO81" s="2" t="s">
        <v>60</v>
      </c>
      <c r="AP81" s="7" t="n">
        <v>0.457</v>
      </c>
    </row>
    <row r="82" customFormat="false" ht="15" hidden="false" customHeight="false" outlineLevel="0" collapsed="false">
      <c r="A82" s="2" t="s">
        <v>478</v>
      </c>
      <c r="B82" s="2" t="s">
        <v>479</v>
      </c>
      <c r="C82" s="2" t="s">
        <v>480</v>
      </c>
      <c r="D82" s="2" t="s">
        <v>45</v>
      </c>
      <c r="E82" s="3" t="n">
        <v>40</v>
      </c>
      <c r="F82" s="2" t="s">
        <v>46</v>
      </c>
      <c r="G82" s="2" t="s">
        <v>76</v>
      </c>
      <c r="H82" s="2" t="s">
        <v>101</v>
      </c>
      <c r="I82" s="4" t="n">
        <v>90500</v>
      </c>
      <c r="J82" s="2" t="s">
        <v>78</v>
      </c>
      <c r="K82" s="3" t="n">
        <v>15</v>
      </c>
      <c r="L82" s="2" t="s">
        <v>481</v>
      </c>
      <c r="M82" s="2" t="s">
        <v>159</v>
      </c>
      <c r="N82" s="2" t="s">
        <v>52</v>
      </c>
      <c r="O82" s="3" t="n">
        <v>0</v>
      </c>
      <c r="P82" s="2" t="s">
        <v>160</v>
      </c>
      <c r="Q82" s="2" t="s">
        <v>161</v>
      </c>
      <c r="R82" s="2" t="s">
        <v>159</v>
      </c>
      <c r="S82" s="2" t="s">
        <v>159</v>
      </c>
      <c r="T82" s="2" t="s">
        <v>482</v>
      </c>
      <c r="U82" s="2" t="s">
        <v>180</v>
      </c>
      <c r="V82" s="4" t="n">
        <v>1173000</v>
      </c>
      <c r="W82" s="5" t="n">
        <v>10.23</v>
      </c>
      <c r="X82" s="3" t="n">
        <v>48</v>
      </c>
      <c r="Y82" s="6" t="n">
        <v>46197</v>
      </c>
      <c r="Z82" s="6" t="n">
        <v>46204</v>
      </c>
      <c r="AA82" s="6" t="n">
        <v>46207</v>
      </c>
      <c r="AB82" s="4" t="n">
        <f aca="false">ROUND(PMT(W82/1200,X82,-V82),2)</f>
        <v>29880.04</v>
      </c>
      <c r="AC82" s="4" t="n">
        <v>1414000</v>
      </c>
      <c r="AD82" s="3" t="n">
        <v>2</v>
      </c>
      <c r="AE82" s="4" t="n">
        <v>292500</v>
      </c>
      <c r="AF82" s="4" t="n">
        <v>69400</v>
      </c>
      <c r="AG82" s="3" t="n">
        <v>18</v>
      </c>
      <c r="AH82" s="4" t="n">
        <v>86700</v>
      </c>
      <c r="AI82" s="3" t="n">
        <v>746</v>
      </c>
      <c r="AJ82" s="7" t="n">
        <f aca="false">ROUND(AB82/I82,4)</f>
        <v>0.3302</v>
      </c>
      <c r="AK82" s="2" t="str">
        <f aca="false">IF(AND(AI82&gt;=750,AJ82&lt;=0.35),"Low",IF(AND(AI82&gt;=600,AJ82&lt;=0.5),"Medium","High"))</f>
        <v>Medium</v>
      </c>
      <c r="AL82" s="3" t="n">
        <v>0</v>
      </c>
      <c r="AM82" s="2" t="s">
        <v>58</v>
      </c>
      <c r="AN82" s="2" t="s">
        <v>258</v>
      </c>
      <c r="AO82" s="2" t="s">
        <v>60</v>
      </c>
      <c r="AP82" s="7" t="n">
        <v>0.131</v>
      </c>
    </row>
    <row r="83" customFormat="false" ht="15" hidden="false" customHeight="false" outlineLevel="0" collapsed="false">
      <c r="A83" s="2" t="s">
        <v>483</v>
      </c>
      <c r="B83" s="2" t="s">
        <v>484</v>
      </c>
      <c r="C83" s="2" t="s">
        <v>485</v>
      </c>
      <c r="D83" s="2" t="s">
        <v>45</v>
      </c>
      <c r="E83" s="3" t="n">
        <v>58</v>
      </c>
      <c r="F83" s="2" t="s">
        <v>434</v>
      </c>
      <c r="G83" s="2"/>
      <c r="H83" s="2" t="s">
        <v>48</v>
      </c>
      <c r="I83" s="4" t="n">
        <v>52000</v>
      </c>
      <c r="J83" s="2" t="s">
        <v>49</v>
      </c>
      <c r="K83" s="3" t="n">
        <v>35</v>
      </c>
      <c r="L83" s="2" t="s">
        <v>80</v>
      </c>
      <c r="M83" s="2" t="s">
        <v>80</v>
      </c>
      <c r="N83" s="2"/>
      <c r="O83" s="3" t="n">
        <v>0</v>
      </c>
      <c r="P83" s="2" t="s">
        <v>82</v>
      </c>
      <c r="Q83" s="2" t="s">
        <v>83</v>
      </c>
      <c r="R83" s="2" t="s">
        <v>80</v>
      </c>
      <c r="S83" s="2" t="s">
        <v>80</v>
      </c>
      <c r="T83" s="2" t="s">
        <v>486</v>
      </c>
      <c r="U83" s="2" t="s">
        <v>192</v>
      </c>
      <c r="V83" s="4" t="n">
        <v>225000</v>
      </c>
      <c r="W83" s="5" t="n">
        <v>11.11</v>
      </c>
      <c r="X83" s="3" t="n">
        <v>12</v>
      </c>
      <c r="Y83" s="6" t="n">
        <v>46193</v>
      </c>
      <c r="Z83" s="6"/>
      <c r="AA83" s="6"/>
      <c r="AB83" s="4" t="n">
        <f aca="false">ROUND(PMT(W83/1200,X83,-V83),2)</f>
        <v>19897.42</v>
      </c>
      <c r="AC83" s="4" t="n">
        <v>297000</v>
      </c>
      <c r="AD83" s="3" t="n">
        <v>1</v>
      </c>
      <c r="AE83" s="4" t="n">
        <v>68200</v>
      </c>
      <c r="AF83" s="4" t="n">
        <v>20100</v>
      </c>
      <c r="AG83" s="3" t="n">
        <v>58</v>
      </c>
      <c r="AH83" s="4" t="n">
        <v>40300</v>
      </c>
      <c r="AI83" s="3" t="n">
        <v>610</v>
      </c>
      <c r="AJ83" s="7" t="n">
        <f aca="false">ROUND(AB83/I83,4)</f>
        <v>0.3826</v>
      </c>
      <c r="AK83" s="2" t="str">
        <f aca="false">IF(AND(AI83&gt;=750,AJ83&lt;=0.35),"Low",IF(AND(AI83&gt;=600,AJ83&lt;=0.5),"Medium","High"))</f>
        <v>Medium</v>
      </c>
      <c r="AL83" s="3" t="n">
        <v>2</v>
      </c>
      <c r="AM83" s="2" t="s">
        <v>58</v>
      </c>
      <c r="AN83" s="2"/>
      <c r="AO83" s="2" t="s">
        <v>127</v>
      </c>
      <c r="AP83" s="7" t="n">
        <v>0.373</v>
      </c>
    </row>
    <row r="84" customFormat="false" ht="15" hidden="false" customHeight="false" outlineLevel="0" collapsed="false">
      <c r="A84" s="2" t="s">
        <v>487</v>
      </c>
      <c r="B84" s="2" t="s">
        <v>488</v>
      </c>
      <c r="C84" s="2" t="s">
        <v>489</v>
      </c>
      <c r="D84" s="2" t="s">
        <v>109</v>
      </c>
      <c r="E84" s="3" t="n">
        <v>41</v>
      </c>
      <c r="F84" s="2" t="s">
        <v>64</v>
      </c>
      <c r="G84" s="2" t="s">
        <v>90</v>
      </c>
      <c r="H84" s="2" t="s">
        <v>123</v>
      </c>
      <c r="I84" s="4" t="n">
        <v>20000</v>
      </c>
      <c r="J84" s="2" t="s">
        <v>90</v>
      </c>
      <c r="K84" s="3" t="n">
        <v>15</v>
      </c>
      <c r="L84" s="2" t="s">
        <v>178</v>
      </c>
      <c r="M84" s="2" t="s">
        <v>92</v>
      </c>
      <c r="N84" s="2" t="s">
        <v>140</v>
      </c>
      <c r="O84" s="3" t="n">
        <v>0</v>
      </c>
      <c r="P84" s="2" t="s">
        <v>169</v>
      </c>
      <c r="Q84" s="2" t="s">
        <v>170</v>
      </c>
      <c r="R84" s="2" t="s">
        <v>92</v>
      </c>
      <c r="S84" s="2" t="s">
        <v>92</v>
      </c>
      <c r="T84" s="2" t="s">
        <v>490</v>
      </c>
      <c r="U84" s="2" t="s">
        <v>85</v>
      </c>
      <c r="V84" s="4" t="n">
        <v>109000</v>
      </c>
      <c r="W84" s="5" t="n">
        <v>7.39</v>
      </c>
      <c r="X84" s="3" t="n">
        <v>24</v>
      </c>
      <c r="Y84" s="6" t="n">
        <v>46174</v>
      </c>
      <c r="Z84" s="6" t="n">
        <v>46184</v>
      </c>
      <c r="AA84" s="6" t="n">
        <v>46190</v>
      </c>
      <c r="AB84" s="4" t="n">
        <f aca="false">ROUND(PMT(W84/1200,X84,-V84),2)</f>
        <v>4899.51</v>
      </c>
      <c r="AC84" s="4" t="n">
        <v>0</v>
      </c>
      <c r="AD84" s="3" t="n">
        <v>1</v>
      </c>
      <c r="AE84" s="4" t="n">
        <v>15600</v>
      </c>
      <c r="AF84" s="4" t="n">
        <v>2200</v>
      </c>
      <c r="AG84" s="3" t="n">
        <v>35</v>
      </c>
      <c r="AH84" s="4" t="n">
        <v>20300</v>
      </c>
      <c r="AI84" s="3" t="n">
        <v>867</v>
      </c>
      <c r="AJ84" s="7" t="n">
        <f aca="false">ROUND(AB84/I84,4)</f>
        <v>0.245</v>
      </c>
      <c r="AK84" s="2" t="str">
        <f aca="false">IF(AND(AI84&gt;=750,AJ84&lt;=0.35),"Low",IF(AND(AI84&gt;=600,AJ84&lt;=0.5),"Medium","High"))</f>
        <v>Low</v>
      </c>
      <c r="AL84" s="3" t="n">
        <v>2</v>
      </c>
      <c r="AM84" s="2" t="s">
        <v>58</v>
      </c>
      <c r="AN84" s="2" t="s">
        <v>59</v>
      </c>
      <c r="AO84" s="2" t="s">
        <v>60</v>
      </c>
      <c r="AP84" s="7" t="n">
        <v>0.034</v>
      </c>
    </row>
    <row r="85" customFormat="false" ht="15" hidden="false" customHeight="false" outlineLevel="0" collapsed="false">
      <c r="A85" s="2" t="s">
        <v>491</v>
      </c>
      <c r="B85" s="2" t="s">
        <v>492</v>
      </c>
      <c r="C85" s="2" t="s">
        <v>493</v>
      </c>
      <c r="D85" s="2" t="s">
        <v>109</v>
      </c>
      <c r="E85" s="3" t="n">
        <v>31</v>
      </c>
      <c r="F85" s="2" t="s">
        <v>64</v>
      </c>
      <c r="G85" s="2" t="s">
        <v>110</v>
      </c>
      <c r="H85" s="2" t="s">
        <v>48</v>
      </c>
      <c r="I85" s="4" t="n">
        <v>14000</v>
      </c>
      <c r="J85" s="2" t="s">
        <v>112</v>
      </c>
      <c r="K85" s="3" t="n">
        <v>6</v>
      </c>
      <c r="L85" s="2" t="s">
        <v>70</v>
      </c>
      <c r="M85" s="2" t="s">
        <v>67</v>
      </c>
      <c r="N85" s="2" t="s">
        <v>140</v>
      </c>
      <c r="O85" s="3" t="n">
        <v>1</v>
      </c>
      <c r="P85" s="2" t="s">
        <v>68</v>
      </c>
      <c r="Q85" s="2" t="s">
        <v>69</v>
      </c>
      <c r="R85" s="2" t="s">
        <v>70</v>
      </c>
      <c r="S85" s="2" t="s">
        <v>67</v>
      </c>
      <c r="T85" s="2" t="s">
        <v>494</v>
      </c>
      <c r="U85" s="2" t="s">
        <v>97</v>
      </c>
      <c r="V85" s="4" t="n">
        <v>102000</v>
      </c>
      <c r="W85" s="5" t="n">
        <v>13.29</v>
      </c>
      <c r="X85" s="3" t="n">
        <v>24</v>
      </c>
      <c r="Y85" s="6" t="n">
        <v>46185</v>
      </c>
      <c r="Z85" s="6" t="n">
        <v>46190</v>
      </c>
      <c r="AA85" s="6" t="n">
        <v>46192</v>
      </c>
      <c r="AB85" s="4" t="n">
        <f aca="false">ROUND(PMT(W85/1200,X85,-V85),2)</f>
        <v>4863.17</v>
      </c>
      <c r="AC85" s="4" t="n">
        <v>0</v>
      </c>
      <c r="AD85" s="3" t="n">
        <v>0</v>
      </c>
      <c r="AE85" s="4" t="n">
        <v>42800</v>
      </c>
      <c r="AF85" s="4" t="n">
        <v>14200</v>
      </c>
      <c r="AG85" s="3"/>
      <c r="AH85" s="4" t="n">
        <v>4900</v>
      </c>
      <c r="AI85" s="3" t="n">
        <v>633</v>
      </c>
      <c r="AJ85" s="7" t="n">
        <f aca="false">ROUND(AB85/I85,4)</f>
        <v>0.3474</v>
      </c>
      <c r="AK85" s="2" t="str">
        <f aca="false">IF(AND(AI85&gt;=750,AJ85&lt;=0.35),"Low",IF(AND(AI85&gt;=600,AJ85&lt;=0.5),"Medium","High"))</f>
        <v>Medium</v>
      </c>
      <c r="AL85" s="3" t="n">
        <v>5</v>
      </c>
      <c r="AM85" s="2" t="s">
        <v>233</v>
      </c>
      <c r="AN85" s="2" t="s">
        <v>258</v>
      </c>
      <c r="AO85" s="2" t="s">
        <v>60</v>
      </c>
      <c r="AP85" s="7" t="n">
        <v>0.484</v>
      </c>
    </row>
    <row r="86" customFormat="false" ht="15" hidden="false" customHeight="false" outlineLevel="0" collapsed="false">
      <c r="A86" s="2" t="s">
        <v>495</v>
      </c>
      <c r="B86" s="2" t="s">
        <v>496</v>
      </c>
      <c r="C86" s="2" t="s">
        <v>497</v>
      </c>
      <c r="D86" s="2" t="s">
        <v>109</v>
      </c>
      <c r="E86" s="3" t="n">
        <v>44</v>
      </c>
      <c r="F86" s="2" t="s">
        <v>46</v>
      </c>
      <c r="G86" s="2" t="s">
        <v>110</v>
      </c>
      <c r="H86" s="2" t="s">
        <v>77</v>
      </c>
      <c r="I86" s="4" t="n">
        <v>17500</v>
      </c>
      <c r="J86" s="2" t="s">
        <v>112</v>
      </c>
      <c r="K86" s="3"/>
      <c r="L86" s="2" t="s">
        <v>220</v>
      </c>
      <c r="M86" s="2" t="s">
        <v>51</v>
      </c>
      <c r="N86" s="2" t="s">
        <v>52</v>
      </c>
      <c r="O86" s="3" t="n">
        <v>0</v>
      </c>
      <c r="P86" s="2" t="s">
        <v>115</v>
      </c>
      <c r="Q86" s="2" t="s">
        <v>116</v>
      </c>
      <c r="R86" s="2" t="s">
        <v>114</v>
      </c>
      <c r="S86" s="2" t="s">
        <v>114</v>
      </c>
      <c r="T86" s="2" t="s">
        <v>498</v>
      </c>
      <c r="U86" s="2" t="s">
        <v>72</v>
      </c>
      <c r="V86" s="4" t="n">
        <v>300000</v>
      </c>
      <c r="W86" s="5" t="n">
        <v>15</v>
      </c>
      <c r="X86" s="3" t="n">
        <v>72</v>
      </c>
      <c r="Y86" s="6" t="n">
        <v>46202</v>
      </c>
      <c r="Z86" s="6"/>
      <c r="AA86" s="6"/>
      <c r="AB86" s="4" t="n">
        <f aca="false">ROUND(PMT(W86/1200,X86,-V86),2)</f>
        <v>6343.5</v>
      </c>
      <c r="AC86" s="4" t="n">
        <v>439000</v>
      </c>
      <c r="AD86" s="3" t="n">
        <v>1</v>
      </c>
      <c r="AE86" s="4" t="n">
        <v>18100</v>
      </c>
      <c r="AF86" s="4" t="n">
        <v>10800</v>
      </c>
      <c r="AG86" s="3" t="n">
        <v>8</v>
      </c>
      <c r="AH86" s="4" t="n">
        <v>18200</v>
      </c>
      <c r="AI86" s="3" t="n">
        <v>630</v>
      </c>
      <c r="AJ86" s="7" t="n">
        <f aca="false">ROUND(AB86/I86,4)</f>
        <v>0.3625</v>
      </c>
      <c r="AK86" s="2" t="str">
        <f aca="false">IF(AND(AI86&gt;=750,AJ86&lt;=0.35),"Low",IF(AND(AI86&gt;=600,AJ86&lt;=0.5),"Medium","High"))</f>
        <v>Medium</v>
      </c>
      <c r="AL86" s="3" t="n">
        <v>2</v>
      </c>
      <c r="AM86" s="2" t="s">
        <v>58</v>
      </c>
      <c r="AN86" s="2"/>
      <c r="AO86" s="2" t="s">
        <v>127</v>
      </c>
      <c r="AP86" s="7" t="n">
        <v>0.295</v>
      </c>
    </row>
    <row r="87" customFormat="false" ht="15" hidden="false" customHeight="false" outlineLevel="0" collapsed="false">
      <c r="A87" s="2" t="s">
        <v>499</v>
      </c>
      <c r="B87" s="2" t="s">
        <v>500</v>
      </c>
      <c r="C87" s="2" t="s">
        <v>355</v>
      </c>
      <c r="D87" s="2" t="s">
        <v>109</v>
      </c>
      <c r="E87" s="3" t="n">
        <v>51</v>
      </c>
      <c r="F87" s="2" t="s">
        <v>46</v>
      </c>
      <c r="G87" s="2"/>
      <c r="H87" s="2" t="s">
        <v>123</v>
      </c>
      <c r="I87" s="4" t="n">
        <v>19000</v>
      </c>
      <c r="J87" s="2" t="s">
        <v>145</v>
      </c>
      <c r="K87" s="3" t="n">
        <v>24</v>
      </c>
      <c r="L87" s="2" t="s">
        <v>288</v>
      </c>
      <c r="M87" s="2" t="s">
        <v>147</v>
      </c>
      <c r="N87" s="2" t="s">
        <v>52</v>
      </c>
      <c r="O87" s="3" t="n">
        <v>0</v>
      </c>
      <c r="P87" s="2" t="s">
        <v>209</v>
      </c>
      <c r="Q87" s="2" t="s">
        <v>210</v>
      </c>
      <c r="R87" s="2" t="s">
        <v>211</v>
      </c>
      <c r="S87" s="2" t="s">
        <v>147</v>
      </c>
      <c r="T87" s="2" t="s">
        <v>501</v>
      </c>
      <c r="U87" s="2" t="s">
        <v>85</v>
      </c>
      <c r="V87" s="4" t="n">
        <v>82000</v>
      </c>
      <c r="W87" s="5" t="n">
        <v>8.49</v>
      </c>
      <c r="X87" s="3" t="n">
        <v>12</v>
      </c>
      <c r="Y87" s="6" t="n">
        <v>46199</v>
      </c>
      <c r="Z87" s="6" t="n">
        <v>46205</v>
      </c>
      <c r="AA87" s="6" t="n">
        <v>46210</v>
      </c>
      <c r="AB87" s="4" t="n">
        <f aca="false">ROUND(PMT(W87/1200,X87,-V87),2)</f>
        <v>7151.64</v>
      </c>
      <c r="AC87" s="4" t="n">
        <v>0</v>
      </c>
      <c r="AD87" s="3"/>
      <c r="AE87" s="4" t="n">
        <v>71800</v>
      </c>
      <c r="AF87" s="4" t="n">
        <v>27100</v>
      </c>
      <c r="AG87" s="3" t="n">
        <v>24</v>
      </c>
      <c r="AH87" s="4" t="n">
        <v>10300</v>
      </c>
      <c r="AI87" s="3" t="n">
        <v>667</v>
      </c>
      <c r="AJ87" s="7" t="n">
        <f aca="false">ROUND(AB87/I87,4)</f>
        <v>0.3764</v>
      </c>
      <c r="AK87" s="2" t="str">
        <f aca="false">IF(AND(AI87&gt;=750,AJ87&lt;=0.35),"Low",IF(AND(AI87&gt;=600,AJ87&lt;=0.5),"Medium","High"))</f>
        <v>Medium</v>
      </c>
      <c r="AL87" s="3" t="n">
        <v>3</v>
      </c>
      <c r="AM87" s="2" t="s">
        <v>233</v>
      </c>
      <c r="AN87" s="2" t="s">
        <v>59</v>
      </c>
      <c r="AO87" s="2" t="s">
        <v>60</v>
      </c>
      <c r="AP87" s="7" t="n">
        <v>0.368</v>
      </c>
    </row>
    <row r="88" customFormat="false" ht="15" hidden="false" customHeight="false" outlineLevel="0" collapsed="false">
      <c r="A88" s="2" t="s">
        <v>502</v>
      </c>
      <c r="B88" s="2" t="s">
        <v>503</v>
      </c>
      <c r="C88" s="2" t="s">
        <v>215</v>
      </c>
      <c r="D88" s="2" t="s">
        <v>45</v>
      </c>
      <c r="E88" s="3" t="n">
        <v>25</v>
      </c>
      <c r="F88" s="2" t="s">
        <v>46</v>
      </c>
      <c r="G88" s="2" t="s">
        <v>65</v>
      </c>
      <c r="H88" s="2" t="s">
        <v>48</v>
      </c>
      <c r="I88" s="4" t="n">
        <v>19000</v>
      </c>
      <c r="J88" s="2" t="s">
        <v>49</v>
      </c>
      <c r="K88" s="3" t="n">
        <v>3</v>
      </c>
      <c r="L88" s="2" t="s">
        <v>504</v>
      </c>
      <c r="M88" s="2" t="s">
        <v>51</v>
      </c>
      <c r="N88" s="2" t="s">
        <v>140</v>
      </c>
      <c r="O88" s="3" t="n">
        <v>0</v>
      </c>
      <c r="P88" s="2" t="s">
        <v>131</v>
      </c>
      <c r="Q88" s="2" t="s">
        <v>132</v>
      </c>
      <c r="R88" s="2" t="s">
        <v>51</v>
      </c>
      <c r="S88" s="2" t="s">
        <v>51</v>
      </c>
      <c r="T88" s="2" t="s">
        <v>505</v>
      </c>
      <c r="U88" s="2" t="s">
        <v>118</v>
      </c>
      <c r="V88" s="4" t="n">
        <v>105000</v>
      </c>
      <c r="W88" s="5" t="n">
        <v>10.27</v>
      </c>
      <c r="X88" s="3" t="n">
        <v>18</v>
      </c>
      <c r="Y88" s="6" t="n">
        <v>46185</v>
      </c>
      <c r="Z88" s="6" t="n">
        <v>46194</v>
      </c>
      <c r="AA88" s="6" t="n">
        <v>46200</v>
      </c>
      <c r="AB88" s="4" t="n">
        <f aca="false">ROUND(PMT(W88/1200,X88,-V88),2)</f>
        <v>6319.05</v>
      </c>
      <c r="AC88" s="4" t="n">
        <v>0</v>
      </c>
      <c r="AD88" s="3" t="n">
        <v>1</v>
      </c>
      <c r="AE88" s="4" t="n">
        <v>67900</v>
      </c>
      <c r="AF88" s="4" t="n">
        <v>36300</v>
      </c>
      <c r="AG88" s="3" t="n">
        <v>44</v>
      </c>
      <c r="AH88" s="4" t="n">
        <v>18000</v>
      </c>
      <c r="AI88" s="3" t="n">
        <v>710</v>
      </c>
      <c r="AJ88" s="7" t="n">
        <f aca="false">ROUND(AB88/I88,4)</f>
        <v>0.3326</v>
      </c>
      <c r="AK88" s="2" t="str">
        <f aca="false">IF(AND(AI88&gt;=750,AJ88&lt;=0.35),"Low",IF(AND(AI88&gt;=600,AJ88&lt;=0.5),"Medium","High"))</f>
        <v>Medium</v>
      </c>
      <c r="AL88" s="3" t="n">
        <v>1</v>
      </c>
      <c r="AM88" s="2" t="s">
        <v>58</v>
      </c>
      <c r="AN88" s="2" t="s">
        <v>59</v>
      </c>
      <c r="AO88" s="2" t="s">
        <v>60</v>
      </c>
      <c r="AP88" s="7" t="n">
        <v>0.211</v>
      </c>
    </row>
    <row r="89" customFormat="false" ht="15" hidden="false" customHeight="false" outlineLevel="0" collapsed="false">
      <c r="A89" s="2" t="s">
        <v>506</v>
      </c>
      <c r="B89" s="2" t="s">
        <v>507</v>
      </c>
      <c r="C89" s="2" t="s">
        <v>508</v>
      </c>
      <c r="D89" s="2" t="s">
        <v>45</v>
      </c>
      <c r="E89" s="3" t="n">
        <v>30</v>
      </c>
      <c r="F89" s="2" t="s">
        <v>64</v>
      </c>
      <c r="G89" s="2" t="s">
        <v>65</v>
      </c>
      <c r="H89" s="2" t="s">
        <v>101</v>
      </c>
      <c r="I89" s="4" t="n">
        <v>58500</v>
      </c>
      <c r="J89" s="2" t="s">
        <v>49</v>
      </c>
      <c r="K89" s="3" t="n">
        <v>2</v>
      </c>
      <c r="L89" s="2" t="s">
        <v>220</v>
      </c>
      <c r="M89" s="2" t="s">
        <v>51</v>
      </c>
      <c r="N89" s="2" t="s">
        <v>81</v>
      </c>
      <c r="O89" s="3" t="n">
        <v>0</v>
      </c>
      <c r="P89" s="2" t="s">
        <v>189</v>
      </c>
      <c r="Q89" s="2" t="s">
        <v>190</v>
      </c>
      <c r="R89" s="2" t="s">
        <v>188</v>
      </c>
      <c r="S89" s="2" t="s">
        <v>51</v>
      </c>
      <c r="T89" s="2" t="s">
        <v>509</v>
      </c>
      <c r="U89" s="2" t="s">
        <v>57</v>
      </c>
      <c r="V89" s="4" t="n">
        <v>1200000</v>
      </c>
      <c r="W89" s="5" t="n">
        <v>11.23</v>
      </c>
      <c r="X89" s="3" t="n">
        <v>216</v>
      </c>
      <c r="Y89" s="6" t="n">
        <v>46191</v>
      </c>
      <c r="Z89" s="6" t="n">
        <v>46196</v>
      </c>
      <c r="AA89" s="6" t="n">
        <v>46201</v>
      </c>
      <c r="AB89" s="4" t="n">
        <f aca="false">ROUND(PMT(W89/1200,X89,-V89),2)</f>
        <v>12963.49</v>
      </c>
      <c r="AC89" s="4" t="n">
        <v>1693000</v>
      </c>
      <c r="AD89" s="3" t="n">
        <v>0</v>
      </c>
      <c r="AE89" s="4" t="n">
        <v>153400</v>
      </c>
      <c r="AF89" s="4" t="n">
        <v>74000</v>
      </c>
      <c r="AG89" s="3" t="n">
        <v>39</v>
      </c>
      <c r="AH89" s="4" t="n">
        <v>25700</v>
      </c>
      <c r="AI89" s="3" t="n">
        <v>777</v>
      </c>
      <c r="AJ89" s="7" t="n">
        <f aca="false">ROUND(AB89/I89,4)</f>
        <v>0.2216</v>
      </c>
      <c r="AK89" s="2" t="str">
        <f aca="false">IF(AND(AI89&gt;=750,AJ89&lt;=0.35),"Low",IF(AND(AI89&gt;=600,AJ89&lt;=0.5),"Medium","High"))</f>
        <v>Low</v>
      </c>
      <c r="AL89" s="3" t="n">
        <v>0</v>
      </c>
      <c r="AM89" s="2" t="s">
        <v>58</v>
      </c>
      <c r="AN89" s="2" t="s">
        <v>59</v>
      </c>
      <c r="AO89" s="2" t="s">
        <v>60</v>
      </c>
      <c r="AP89" s="7" t="n">
        <v>0.152</v>
      </c>
    </row>
    <row r="90" customFormat="false" ht="15" hidden="false" customHeight="false" outlineLevel="0" collapsed="false">
      <c r="A90" s="2" t="s">
        <v>510</v>
      </c>
      <c r="B90" s="2" t="s">
        <v>511</v>
      </c>
      <c r="C90" s="2" t="s">
        <v>512</v>
      </c>
      <c r="D90" s="2" t="s">
        <v>109</v>
      </c>
      <c r="E90" s="3" t="n">
        <v>21</v>
      </c>
      <c r="F90" s="2" t="s">
        <v>64</v>
      </c>
      <c r="G90" s="2" t="s">
        <v>76</v>
      </c>
      <c r="H90" s="2" t="s">
        <v>77</v>
      </c>
      <c r="I90" s="4" t="n">
        <v>32000</v>
      </c>
      <c r="J90" s="2" t="s">
        <v>78</v>
      </c>
      <c r="K90" s="3" t="n">
        <v>0</v>
      </c>
      <c r="L90" s="2" t="s">
        <v>66</v>
      </c>
      <c r="M90" s="2" t="s">
        <v>67</v>
      </c>
      <c r="N90" s="2" t="s">
        <v>81</v>
      </c>
      <c r="O90" s="3" t="n">
        <v>0</v>
      </c>
      <c r="P90" s="2" t="s">
        <v>103</v>
      </c>
      <c r="Q90" s="2" t="s">
        <v>104</v>
      </c>
      <c r="R90" s="2" t="s">
        <v>67</v>
      </c>
      <c r="S90" s="2" t="s">
        <v>67</v>
      </c>
      <c r="T90" s="2" t="s">
        <v>513</v>
      </c>
      <c r="U90" s="2" t="s">
        <v>118</v>
      </c>
      <c r="V90" s="4" t="n">
        <v>382000</v>
      </c>
      <c r="W90" s="5" t="n">
        <v>8.9</v>
      </c>
      <c r="X90" s="3" t="n">
        <v>42</v>
      </c>
      <c r="Y90" s="6" t="n">
        <v>46189</v>
      </c>
      <c r="Z90" s="6"/>
      <c r="AA90" s="6"/>
      <c r="AB90" s="4" t="n">
        <f aca="false">ROUND(PMT(W90/1200,X90,-V90),2)</f>
        <v>10618.66</v>
      </c>
      <c r="AC90" s="4" t="n">
        <v>0</v>
      </c>
      <c r="AD90" s="3" t="n">
        <v>0</v>
      </c>
      <c r="AE90" s="4" t="n">
        <v>40200</v>
      </c>
      <c r="AF90" s="4" t="n">
        <v>16500</v>
      </c>
      <c r="AG90" s="3" t="n">
        <v>16</v>
      </c>
      <c r="AH90" s="4" t="n">
        <v>26200</v>
      </c>
      <c r="AI90" s="3" t="n">
        <v>746</v>
      </c>
      <c r="AJ90" s="7" t="n">
        <f aca="false">ROUND(AB90/I90,4)</f>
        <v>0.3318</v>
      </c>
      <c r="AK90" s="2" t="str">
        <f aca="false">IF(AND(AI90&gt;=750,AJ90&lt;=0.35),"Low",IF(AND(AI90&gt;=600,AJ90&lt;=0.5),"Medium","High"))</f>
        <v>Medium</v>
      </c>
      <c r="AL90" s="3"/>
      <c r="AM90" s="2" t="s">
        <v>58</v>
      </c>
      <c r="AN90" s="2"/>
      <c r="AO90" s="2" t="s">
        <v>134</v>
      </c>
      <c r="AP90" s="7" t="n">
        <v>0.207</v>
      </c>
    </row>
    <row r="91" customFormat="false" ht="15" hidden="false" customHeight="false" outlineLevel="0" collapsed="false">
      <c r="A91" s="2" t="s">
        <v>514</v>
      </c>
      <c r="B91" s="2" t="s">
        <v>515</v>
      </c>
      <c r="C91" s="2" t="s">
        <v>516</v>
      </c>
      <c r="D91" s="2" t="s">
        <v>45</v>
      </c>
      <c r="E91" s="3" t="n">
        <v>35</v>
      </c>
      <c r="F91" s="2" t="s">
        <v>64</v>
      </c>
      <c r="G91" s="2" t="s">
        <v>76</v>
      </c>
      <c r="H91" s="2" t="s">
        <v>48</v>
      </c>
      <c r="I91" s="4" t="n">
        <v>70500</v>
      </c>
      <c r="J91" s="2" t="s">
        <v>78</v>
      </c>
      <c r="K91" s="3" t="n">
        <v>8</v>
      </c>
      <c r="L91" s="2" t="s">
        <v>429</v>
      </c>
      <c r="M91" s="2" t="s">
        <v>159</v>
      </c>
      <c r="N91" s="2" t="s">
        <v>140</v>
      </c>
      <c r="O91" s="3" t="n">
        <v>0</v>
      </c>
      <c r="P91" s="2" t="s">
        <v>160</v>
      </c>
      <c r="Q91" s="2" t="s">
        <v>161</v>
      </c>
      <c r="R91" s="2" t="s">
        <v>159</v>
      </c>
      <c r="S91" s="2" t="s">
        <v>159</v>
      </c>
      <c r="T91" s="2" t="s">
        <v>517</v>
      </c>
      <c r="U91" s="2" t="s">
        <v>180</v>
      </c>
      <c r="V91" s="4" t="n">
        <v>895000</v>
      </c>
      <c r="W91" s="5" t="n">
        <v>9.97</v>
      </c>
      <c r="X91" s="3" t="n">
        <v>54</v>
      </c>
      <c r="Y91" s="6" t="n">
        <v>46201</v>
      </c>
      <c r="Z91" s="6"/>
      <c r="AA91" s="6"/>
      <c r="AB91" s="4" t="n">
        <f aca="false">ROUND(PMT(W91/1200,X91,-V91),2)</f>
        <v>20636.76</v>
      </c>
      <c r="AC91" s="4" t="n">
        <v>923000</v>
      </c>
      <c r="AD91" s="3" t="n">
        <v>1</v>
      </c>
      <c r="AE91" s="4" t="n">
        <v>236100</v>
      </c>
      <c r="AF91" s="4" t="n">
        <v>96200</v>
      </c>
      <c r="AG91" s="3"/>
      <c r="AH91" s="4" t="n">
        <v>38400</v>
      </c>
      <c r="AI91" s="3" t="n">
        <v>673</v>
      </c>
      <c r="AJ91" s="7" t="n">
        <f aca="false">ROUND(AB91/I91,4)</f>
        <v>0.2927</v>
      </c>
      <c r="AK91" s="2" t="str">
        <f aca="false">IF(AND(AI91&gt;=750,AJ91&lt;=0.35),"Low",IF(AND(AI91&gt;=600,AJ91&lt;=0.5),"Medium","High"))</f>
        <v>Medium</v>
      </c>
      <c r="AL91" s="3" t="n">
        <v>1</v>
      </c>
      <c r="AM91" s="2" t="s">
        <v>233</v>
      </c>
      <c r="AN91" s="2"/>
      <c r="AO91" s="2" t="s">
        <v>127</v>
      </c>
      <c r="AP91" s="7" t="n">
        <v>0.369</v>
      </c>
    </row>
    <row r="92" customFormat="false" ht="15" hidden="false" customHeight="false" outlineLevel="0" collapsed="false">
      <c r="A92" s="2" t="s">
        <v>518</v>
      </c>
      <c r="B92" s="2" t="s">
        <v>519</v>
      </c>
      <c r="C92" s="2" t="s">
        <v>520</v>
      </c>
      <c r="D92" s="2" t="s">
        <v>45</v>
      </c>
      <c r="E92" s="3" t="n">
        <v>43</v>
      </c>
      <c r="F92" s="2" t="s">
        <v>64</v>
      </c>
      <c r="G92" s="2" t="s">
        <v>246</v>
      </c>
      <c r="H92" s="2" t="s">
        <v>111</v>
      </c>
      <c r="I92" s="4" t="n">
        <v>29000</v>
      </c>
      <c r="J92" s="2" t="s">
        <v>145</v>
      </c>
      <c r="K92" s="3" t="n">
        <v>24</v>
      </c>
      <c r="L92" s="2" t="s">
        <v>66</v>
      </c>
      <c r="M92" s="2" t="s">
        <v>67</v>
      </c>
      <c r="N92" s="2" t="s">
        <v>52</v>
      </c>
      <c r="O92" s="3" t="n">
        <v>1</v>
      </c>
      <c r="P92" s="2" t="s">
        <v>68</v>
      </c>
      <c r="Q92" s="2" t="s">
        <v>69</v>
      </c>
      <c r="R92" s="2" t="s">
        <v>70</v>
      </c>
      <c r="S92" s="2" t="s">
        <v>67</v>
      </c>
      <c r="T92" s="2" t="s">
        <v>521</v>
      </c>
      <c r="U92" s="2" t="s">
        <v>72</v>
      </c>
      <c r="V92" s="4" t="n">
        <v>300000</v>
      </c>
      <c r="W92" s="5" t="n">
        <v>11.6</v>
      </c>
      <c r="X92" s="3" t="n">
        <v>42</v>
      </c>
      <c r="Y92" s="6" t="n">
        <v>46181</v>
      </c>
      <c r="Z92" s="6"/>
      <c r="AA92" s="6"/>
      <c r="AB92" s="4" t="n">
        <f aca="false">ROUND(PMT(W92/1200,X92,-V92),2)</f>
        <v>8724.71</v>
      </c>
      <c r="AC92" s="4" t="n">
        <v>372000</v>
      </c>
      <c r="AD92" s="3" t="n">
        <v>1</v>
      </c>
      <c r="AE92" s="4" t="n">
        <v>68800</v>
      </c>
      <c r="AF92" s="4" t="n">
        <v>14300</v>
      </c>
      <c r="AG92" s="3" t="n">
        <v>33</v>
      </c>
      <c r="AH92" s="4" t="n">
        <v>9000</v>
      </c>
      <c r="AI92" s="3" t="n">
        <v>683</v>
      </c>
      <c r="AJ92" s="7" t="n">
        <f aca="false">ROUND(AB92/I92,4)</f>
        <v>0.3009</v>
      </c>
      <c r="AK92" s="2" t="str">
        <f aca="false">IF(AND(AI92&gt;=750,AJ92&lt;=0.35),"Low",IF(AND(AI92&gt;=600,AJ92&lt;=0.5),"Medium","High"))</f>
        <v>Medium</v>
      </c>
      <c r="AL92" s="3" t="n">
        <v>3</v>
      </c>
      <c r="AM92" s="2" t="s">
        <v>58</v>
      </c>
      <c r="AN92" s="2"/>
      <c r="AO92" s="2" t="s">
        <v>134</v>
      </c>
      <c r="AP92" s="7" t="n">
        <v>0.26</v>
      </c>
    </row>
    <row r="93" customFormat="false" ht="15" hidden="false" customHeight="false" outlineLevel="0" collapsed="false">
      <c r="A93" s="2" t="s">
        <v>522</v>
      </c>
      <c r="B93" s="2" t="s">
        <v>523</v>
      </c>
      <c r="C93" s="2" t="s">
        <v>524</v>
      </c>
      <c r="D93" s="2" t="s">
        <v>109</v>
      </c>
      <c r="E93" s="3" t="n">
        <v>27</v>
      </c>
      <c r="F93" s="2" t="s">
        <v>64</v>
      </c>
      <c r="G93" s="2" t="s">
        <v>166</v>
      </c>
      <c r="H93" s="2" t="s">
        <v>101</v>
      </c>
      <c r="I93" s="4" t="n">
        <v>135500</v>
      </c>
      <c r="J93" s="2" t="s">
        <v>145</v>
      </c>
      <c r="K93" s="3" t="n">
        <v>2</v>
      </c>
      <c r="L93" s="2" t="s">
        <v>188</v>
      </c>
      <c r="M93" s="2" t="s">
        <v>51</v>
      </c>
      <c r="N93" s="2" t="s">
        <v>52</v>
      </c>
      <c r="O93" s="3" t="n">
        <v>3</v>
      </c>
      <c r="P93" s="2" t="s">
        <v>189</v>
      </c>
      <c r="Q93" s="2" t="s">
        <v>190</v>
      </c>
      <c r="R93" s="2" t="s">
        <v>188</v>
      </c>
      <c r="S93" s="2" t="s">
        <v>51</v>
      </c>
      <c r="T93" s="2" t="s">
        <v>525</v>
      </c>
      <c r="U93" s="2" t="s">
        <v>118</v>
      </c>
      <c r="V93" s="4" t="n">
        <v>1318000</v>
      </c>
      <c r="W93" s="5" t="n">
        <v>8.76</v>
      </c>
      <c r="X93" s="3" t="n">
        <v>48</v>
      </c>
      <c r="Y93" s="6" t="n">
        <v>46181</v>
      </c>
      <c r="Z93" s="6" t="n">
        <v>46187</v>
      </c>
      <c r="AA93" s="6" t="n">
        <v>46188</v>
      </c>
      <c r="AB93" s="4" t="n">
        <f aca="false">ROUND(PMT(W93/1200,X93,-V93),2)</f>
        <v>32648.49</v>
      </c>
      <c r="AC93" s="4" t="n">
        <v>0</v>
      </c>
      <c r="AD93" s="3" t="n">
        <v>0</v>
      </c>
      <c r="AE93" s="4" t="n">
        <v>520800</v>
      </c>
      <c r="AF93" s="4" t="n">
        <v>257000</v>
      </c>
      <c r="AG93" s="3" t="n">
        <v>30</v>
      </c>
      <c r="AH93" s="4" t="n">
        <v>74800</v>
      </c>
      <c r="AI93" s="3" t="n">
        <v>670</v>
      </c>
      <c r="AJ93" s="7" t="n">
        <f aca="false">ROUND(AB93/I93,4)</f>
        <v>0.2409</v>
      </c>
      <c r="AK93" s="2" t="str">
        <f aca="false">IF(AND(AI93&gt;=750,AJ93&lt;=0.35),"Low",IF(AND(AI93&gt;=600,AJ93&lt;=0.5),"Medium","High"))</f>
        <v>Medium</v>
      </c>
      <c r="AL93" s="3" t="n">
        <v>2</v>
      </c>
      <c r="AM93" s="2" t="s">
        <v>58</v>
      </c>
      <c r="AN93" s="2" t="s">
        <v>59</v>
      </c>
      <c r="AO93" s="2" t="s">
        <v>60</v>
      </c>
      <c r="AP93" s="7" t="n">
        <v>0.291</v>
      </c>
    </row>
    <row r="94" customFormat="false" ht="15" hidden="false" customHeight="false" outlineLevel="0" collapsed="false">
      <c r="A94" s="2" t="s">
        <v>526</v>
      </c>
      <c r="B94" s="2" t="s">
        <v>527</v>
      </c>
      <c r="C94" s="2" t="s">
        <v>528</v>
      </c>
      <c r="D94" s="2" t="s">
        <v>109</v>
      </c>
      <c r="E94" s="3" t="n">
        <v>31</v>
      </c>
      <c r="F94" s="2" t="s">
        <v>46</v>
      </c>
      <c r="G94" s="2" t="s">
        <v>145</v>
      </c>
      <c r="H94" s="2" t="s">
        <v>123</v>
      </c>
      <c r="I94" s="4" t="n">
        <v>49500</v>
      </c>
      <c r="J94" s="2" t="s">
        <v>145</v>
      </c>
      <c r="K94" s="3" t="n">
        <v>6</v>
      </c>
      <c r="L94" s="2" t="s">
        <v>380</v>
      </c>
      <c r="M94" s="2" t="s">
        <v>92</v>
      </c>
      <c r="N94" s="2" t="s">
        <v>52</v>
      </c>
      <c r="O94" s="3" t="n">
        <v>0</v>
      </c>
      <c r="P94" s="2" t="s">
        <v>169</v>
      </c>
      <c r="Q94" s="2" t="s">
        <v>170</v>
      </c>
      <c r="R94" s="2" t="s">
        <v>92</v>
      </c>
      <c r="S94" s="2" t="s">
        <v>92</v>
      </c>
      <c r="T94" s="2" t="s">
        <v>529</v>
      </c>
      <c r="U94" s="2" t="s">
        <v>192</v>
      </c>
      <c r="V94" s="4" t="n">
        <v>350000</v>
      </c>
      <c r="W94" s="5" t="n">
        <v>12.95</v>
      </c>
      <c r="X94" s="3" t="n">
        <v>18</v>
      </c>
      <c r="Y94" s="6" t="n">
        <v>46182</v>
      </c>
      <c r="Z94" s="6"/>
      <c r="AA94" s="6"/>
      <c r="AB94" s="4" t="n">
        <f aca="false">ROUND(PMT(W94/1200,X94,-V94),2)</f>
        <v>21498.49</v>
      </c>
      <c r="AC94" s="4" t="n">
        <v>441000</v>
      </c>
      <c r="AD94" s="3" t="n">
        <v>1</v>
      </c>
      <c r="AE94" s="4" t="n">
        <v>113500</v>
      </c>
      <c r="AF94" s="4" t="n">
        <v>50000</v>
      </c>
      <c r="AG94" s="3" t="n">
        <v>18</v>
      </c>
      <c r="AH94" s="4" t="n">
        <v>16500</v>
      </c>
      <c r="AI94" s="3" t="n">
        <v>701</v>
      </c>
      <c r="AJ94" s="7" t="n">
        <f aca="false">ROUND(AB94/I94,4)</f>
        <v>0.4343</v>
      </c>
      <c r="AK94" s="2" t="str">
        <f aca="false">IF(AND(AI94&gt;=750,AJ94&lt;=0.35),"Low",IF(AND(AI94&gt;=600,AJ94&lt;=0.5),"Medium","High"))</f>
        <v>Medium</v>
      </c>
      <c r="AL94" s="3" t="n">
        <v>3</v>
      </c>
      <c r="AM94" s="2" t="s">
        <v>58</v>
      </c>
      <c r="AN94" s="2"/>
      <c r="AO94" s="2" t="s">
        <v>127</v>
      </c>
      <c r="AP94" s="7" t="n">
        <v>0.284</v>
      </c>
    </row>
    <row r="95" customFormat="false" ht="15" hidden="false" customHeight="false" outlineLevel="0" collapsed="false">
      <c r="A95" s="2" t="s">
        <v>530</v>
      </c>
      <c r="B95" s="2" t="s">
        <v>531</v>
      </c>
      <c r="C95" s="2" t="s">
        <v>532</v>
      </c>
      <c r="D95" s="2" t="s">
        <v>109</v>
      </c>
      <c r="E95" s="3" t="n">
        <v>40</v>
      </c>
      <c r="F95" s="2" t="s">
        <v>64</v>
      </c>
      <c r="G95" s="2" t="s">
        <v>246</v>
      </c>
      <c r="H95" s="2" t="s">
        <v>111</v>
      </c>
      <c r="I95" s="4" t="n">
        <v>12500</v>
      </c>
      <c r="J95" s="2" t="s">
        <v>145</v>
      </c>
      <c r="K95" s="3" t="n">
        <v>21</v>
      </c>
      <c r="L95" s="2" t="s">
        <v>533</v>
      </c>
      <c r="M95" s="2" t="s">
        <v>114</v>
      </c>
      <c r="N95" s="2" t="s">
        <v>140</v>
      </c>
      <c r="O95" s="3" t="n">
        <v>0</v>
      </c>
      <c r="P95" s="2" t="s">
        <v>115</v>
      </c>
      <c r="Q95" s="2" t="s">
        <v>116</v>
      </c>
      <c r="R95" s="2" t="s">
        <v>114</v>
      </c>
      <c r="S95" s="2" t="s">
        <v>114</v>
      </c>
      <c r="T95" s="2" t="s">
        <v>534</v>
      </c>
      <c r="U95" s="2" t="s">
        <v>85</v>
      </c>
      <c r="V95" s="4" t="n">
        <v>132000</v>
      </c>
      <c r="W95" s="5" t="n">
        <v>9.97</v>
      </c>
      <c r="X95" s="3" t="n">
        <v>24</v>
      </c>
      <c r="Y95" s="6" t="n">
        <v>46178</v>
      </c>
      <c r="Z95" s="6" t="n">
        <v>46187</v>
      </c>
      <c r="AA95" s="6" t="n">
        <v>46189</v>
      </c>
      <c r="AB95" s="4" t="n">
        <f aca="false">ROUND(PMT(W95/1200,X95,-V95),2)</f>
        <v>6089.3</v>
      </c>
      <c r="AC95" s="4" t="n">
        <v>0</v>
      </c>
      <c r="AD95" s="3" t="n">
        <v>0</v>
      </c>
      <c r="AE95" s="4" t="n">
        <v>10600</v>
      </c>
      <c r="AF95" s="4" t="n">
        <v>4600</v>
      </c>
      <c r="AG95" s="3" t="n">
        <v>21</v>
      </c>
      <c r="AH95" s="4" t="n">
        <v>11400</v>
      </c>
      <c r="AI95" s="3" t="n">
        <v>640</v>
      </c>
      <c r="AJ95" s="7" t="n">
        <f aca="false">ROUND(AB95/I95,4)</f>
        <v>0.4871</v>
      </c>
      <c r="AK95" s="2" t="str">
        <f aca="false">IF(AND(AI95&gt;=750,AJ95&lt;=0.35),"Low",IF(AND(AI95&gt;=600,AJ95&lt;=0.5),"Medium","High"))</f>
        <v>Medium</v>
      </c>
      <c r="AL95" s="3" t="n">
        <v>1</v>
      </c>
      <c r="AM95" s="2" t="s">
        <v>58</v>
      </c>
      <c r="AN95" s="2" t="s">
        <v>59</v>
      </c>
      <c r="AO95" s="2" t="s">
        <v>60</v>
      </c>
      <c r="AP95" s="7" t="n">
        <v>0.275</v>
      </c>
    </row>
    <row r="96" customFormat="false" ht="15" hidden="false" customHeight="false" outlineLevel="0" collapsed="false">
      <c r="A96" s="2" t="s">
        <v>535</v>
      </c>
      <c r="B96" s="2" t="s">
        <v>536</v>
      </c>
      <c r="C96" s="2" t="s">
        <v>537</v>
      </c>
      <c r="D96" s="2" t="s">
        <v>45</v>
      </c>
      <c r="E96" s="3" t="n">
        <v>48</v>
      </c>
      <c r="F96" s="2" t="s">
        <v>46</v>
      </c>
      <c r="G96" s="2" t="s">
        <v>166</v>
      </c>
      <c r="H96" s="2" t="s">
        <v>167</v>
      </c>
      <c r="I96" s="4" t="n">
        <v>183500</v>
      </c>
      <c r="J96" s="2" t="s">
        <v>145</v>
      </c>
      <c r="K96" s="3" t="n">
        <v>23</v>
      </c>
      <c r="L96" s="2" t="s">
        <v>95</v>
      </c>
      <c r="M96" s="2" t="s">
        <v>92</v>
      </c>
      <c r="N96" s="2" t="s">
        <v>81</v>
      </c>
      <c r="O96" s="3" t="n">
        <v>0</v>
      </c>
      <c r="P96" s="2" t="s">
        <v>93</v>
      </c>
      <c r="Q96" s="2" t="s">
        <v>94</v>
      </c>
      <c r="R96" s="2" t="s">
        <v>95</v>
      </c>
      <c r="S96" s="2" t="s">
        <v>92</v>
      </c>
      <c r="T96" s="2" t="s">
        <v>538</v>
      </c>
      <c r="U96" s="2" t="s">
        <v>180</v>
      </c>
      <c r="V96" s="4" t="n">
        <v>3000000</v>
      </c>
      <c r="W96" s="5" t="n">
        <v>9.63</v>
      </c>
      <c r="X96" s="3" t="n">
        <v>72</v>
      </c>
      <c r="Y96" s="6" t="n">
        <v>46187</v>
      </c>
      <c r="Z96" s="6" t="n">
        <v>46188</v>
      </c>
      <c r="AA96" s="6" t="n">
        <v>46193</v>
      </c>
      <c r="AB96" s="4" t="n">
        <f aca="false">ROUND(PMT(W96/1200,X96,-V96),2)</f>
        <v>55019.39</v>
      </c>
      <c r="AC96" s="4" t="n">
        <v>4198000</v>
      </c>
      <c r="AD96" s="3" t="n">
        <v>0</v>
      </c>
      <c r="AE96" s="4" t="n">
        <v>572200</v>
      </c>
      <c r="AF96" s="4" t="n">
        <v>289500</v>
      </c>
      <c r="AG96" s="3" t="n">
        <v>53</v>
      </c>
      <c r="AH96" s="4" t="n">
        <v>151400</v>
      </c>
      <c r="AI96" s="3" t="n">
        <v>716</v>
      </c>
      <c r="AJ96" s="7" t="n">
        <f aca="false">ROUND(AB96/I96,4)</f>
        <v>0.2998</v>
      </c>
      <c r="AK96" s="2" t="str">
        <f aca="false">IF(AND(AI96&gt;=750,AJ96&lt;=0.35),"Low",IF(AND(AI96&gt;=600,AJ96&lt;=0.5),"Medium","High"))</f>
        <v>Medium</v>
      </c>
      <c r="AL96" s="3" t="n">
        <v>3</v>
      </c>
      <c r="AM96" s="2" t="s">
        <v>58</v>
      </c>
      <c r="AN96" s="2" t="s">
        <v>59</v>
      </c>
      <c r="AO96" s="2" t="s">
        <v>60</v>
      </c>
      <c r="AP96" s="7" t="n">
        <v>0.31</v>
      </c>
    </row>
    <row r="97" customFormat="false" ht="15" hidden="false" customHeight="false" outlineLevel="0" collapsed="false">
      <c r="A97" s="2" t="s">
        <v>539</v>
      </c>
      <c r="B97" s="2" t="s">
        <v>540</v>
      </c>
      <c r="C97" s="2" t="s">
        <v>541</v>
      </c>
      <c r="D97" s="2" t="s">
        <v>109</v>
      </c>
      <c r="E97" s="3" t="n">
        <v>33</v>
      </c>
      <c r="F97" s="2" t="s">
        <v>64</v>
      </c>
      <c r="G97" s="2" t="s">
        <v>176</v>
      </c>
      <c r="H97" s="2" t="s">
        <v>48</v>
      </c>
      <c r="I97" s="4" t="n">
        <v>64000</v>
      </c>
      <c r="J97" s="2" t="s">
        <v>177</v>
      </c>
      <c r="K97" s="3" t="n">
        <v>13</v>
      </c>
      <c r="L97" s="2" t="s">
        <v>178</v>
      </c>
      <c r="M97" s="2" t="s">
        <v>92</v>
      </c>
      <c r="N97" s="2" t="s">
        <v>52</v>
      </c>
      <c r="O97" s="3" t="n">
        <v>2</v>
      </c>
      <c r="P97" s="2" t="s">
        <v>93</v>
      </c>
      <c r="Q97" s="2" t="s">
        <v>94</v>
      </c>
      <c r="R97" s="2" t="s">
        <v>95</v>
      </c>
      <c r="S97" s="2" t="s">
        <v>92</v>
      </c>
      <c r="T97" s="2" t="s">
        <v>542</v>
      </c>
      <c r="U97" s="2" t="s">
        <v>192</v>
      </c>
      <c r="V97" s="4" t="n">
        <v>247000</v>
      </c>
      <c r="W97" s="5" t="n">
        <v>10.49</v>
      </c>
      <c r="X97" s="3" t="n">
        <v>24</v>
      </c>
      <c r="Y97" s="6" t="n">
        <v>46196</v>
      </c>
      <c r="Z97" s="6" t="n">
        <v>46205</v>
      </c>
      <c r="AA97" s="6" t="n">
        <v>46210</v>
      </c>
      <c r="AB97" s="4" t="n">
        <f aca="false">ROUND(PMT(W97/1200,X97,-V97),2)</f>
        <v>11453.74</v>
      </c>
      <c r="AC97" s="4" t="n">
        <v>357000</v>
      </c>
      <c r="AD97" s="3" t="n">
        <v>0</v>
      </c>
      <c r="AE97" s="4" t="n">
        <v>214800</v>
      </c>
      <c r="AF97" s="4" t="n">
        <v>114000</v>
      </c>
      <c r="AG97" s="3" t="n">
        <v>40</v>
      </c>
      <c r="AH97" s="4" t="n">
        <v>62500</v>
      </c>
      <c r="AI97" s="3" t="n">
        <v>900</v>
      </c>
      <c r="AJ97" s="7" t="n">
        <f aca="false">ROUND(AB97/I97,4)</f>
        <v>0.179</v>
      </c>
      <c r="AK97" s="2" t="str">
        <f aca="false">IF(AND(AI97&gt;=750,AJ97&lt;=0.35),"Low",IF(AND(AI97&gt;=600,AJ97&lt;=0.5),"Medium","High"))</f>
        <v>Low</v>
      </c>
      <c r="AL97" s="3"/>
      <c r="AM97" s="2" t="s">
        <v>58</v>
      </c>
      <c r="AN97" s="2" t="s">
        <v>119</v>
      </c>
      <c r="AO97" s="2" t="s">
        <v>60</v>
      </c>
      <c r="AP97" s="7" t="n">
        <v>0.01</v>
      </c>
    </row>
    <row r="98" customFormat="false" ht="15" hidden="false" customHeight="false" outlineLevel="0" collapsed="false">
      <c r="A98" s="2" t="s">
        <v>543</v>
      </c>
      <c r="B98" s="2" t="s">
        <v>136</v>
      </c>
      <c r="C98" s="2" t="s">
        <v>544</v>
      </c>
      <c r="D98" s="2" t="s">
        <v>109</v>
      </c>
      <c r="E98" s="3" t="n">
        <v>36</v>
      </c>
      <c r="F98" s="2" t="s">
        <v>64</v>
      </c>
      <c r="G98" s="2" t="s">
        <v>207</v>
      </c>
      <c r="H98" s="2" t="s">
        <v>101</v>
      </c>
      <c r="I98" s="4" t="n">
        <v>71000</v>
      </c>
      <c r="J98" s="2" t="s">
        <v>49</v>
      </c>
      <c r="K98" s="3" t="n">
        <v>11</v>
      </c>
      <c r="L98" s="2" t="s">
        <v>231</v>
      </c>
      <c r="M98" s="2" t="s">
        <v>92</v>
      </c>
      <c r="N98" s="2" t="s">
        <v>140</v>
      </c>
      <c r="O98" s="3" t="n">
        <v>4</v>
      </c>
      <c r="P98" s="2" t="s">
        <v>229</v>
      </c>
      <c r="Q98" s="2" t="s">
        <v>230</v>
      </c>
      <c r="R98" s="2" t="s">
        <v>231</v>
      </c>
      <c r="S98" s="2" t="s">
        <v>92</v>
      </c>
      <c r="T98" s="2" t="s">
        <v>545</v>
      </c>
      <c r="U98" s="2" t="s">
        <v>72</v>
      </c>
      <c r="V98" s="4" t="n">
        <v>493000</v>
      </c>
      <c r="W98" s="5" t="n">
        <v>12.19</v>
      </c>
      <c r="X98" s="3" t="n">
        <v>24</v>
      </c>
      <c r="Y98" s="6" t="n">
        <v>46199</v>
      </c>
      <c r="Z98" s="6" t="n">
        <v>46209</v>
      </c>
      <c r="AA98" s="6" t="n">
        <v>46213</v>
      </c>
      <c r="AB98" s="4" t="n">
        <f aca="false">ROUND(PMT(W98/1200,X98,-V98),2)</f>
        <v>23250.99</v>
      </c>
      <c r="AC98" s="4" t="n">
        <v>672000</v>
      </c>
      <c r="AD98" s="3" t="n">
        <v>1</v>
      </c>
      <c r="AE98" s="4" t="n">
        <v>161200</v>
      </c>
      <c r="AF98" s="4" t="n">
        <v>83900</v>
      </c>
      <c r="AG98" s="3" t="n">
        <v>36</v>
      </c>
      <c r="AH98" s="4" t="n">
        <v>62900</v>
      </c>
      <c r="AI98" s="3" t="n">
        <v>755</v>
      </c>
      <c r="AJ98" s="7" t="n">
        <f aca="false">ROUND(AB98/I98,4)</f>
        <v>0.3275</v>
      </c>
      <c r="AK98" s="2" t="str">
        <f aca="false">IF(AND(AI98&gt;=750,AJ98&lt;=0.35),"Low",IF(AND(AI98&gt;=600,AJ98&lt;=0.5),"Medium","High"))</f>
        <v>Low</v>
      </c>
      <c r="AL98" s="3" t="n">
        <v>1</v>
      </c>
      <c r="AM98" s="2" t="s">
        <v>58</v>
      </c>
      <c r="AN98" s="2" t="s">
        <v>59</v>
      </c>
      <c r="AO98" s="2" t="s">
        <v>60</v>
      </c>
      <c r="AP98" s="7" t="n">
        <v>0.166</v>
      </c>
    </row>
    <row r="99" customFormat="false" ht="15" hidden="false" customHeight="false" outlineLevel="0" collapsed="false">
      <c r="A99" s="2" t="s">
        <v>546</v>
      </c>
      <c r="B99" s="2" t="s">
        <v>547</v>
      </c>
      <c r="C99" s="2" t="s">
        <v>548</v>
      </c>
      <c r="D99" s="2" t="s">
        <v>109</v>
      </c>
      <c r="E99" s="3" t="n">
        <v>63</v>
      </c>
      <c r="F99" s="2" t="s">
        <v>46</v>
      </c>
      <c r="G99" s="2" t="s">
        <v>246</v>
      </c>
      <c r="H99" s="2" t="s">
        <v>77</v>
      </c>
      <c r="I99" s="4" t="n">
        <v>32500</v>
      </c>
      <c r="J99" s="2" t="s">
        <v>145</v>
      </c>
      <c r="K99" s="3" t="n">
        <v>39</v>
      </c>
      <c r="L99" s="2" t="s">
        <v>79</v>
      </c>
      <c r="M99" s="2" t="s">
        <v>80</v>
      </c>
      <c r="N99" s="2" t="s">
        <v>52</v>
      </c>
      <c r="O99" s="3" t="n">
        <v>0</v>
      </c>
      <c r="P99" s="2" t="s">
        <v>148</v>
      </c>
      <c r="Q99" s="2" t="s">
        <v>149</v>
      </c>
      <c r="R99" s="2" t="s">
        <v>147</v>
      </c>
      <c r="S99" s="2" t="s">
        <v>147</v>
      </c>
      <c r="T99" s="2" t="s">
        <v>549</v>
      </c>
      <c r="U99" s="2" t="s">
        <v>85</v>
      </c>
      <c r="V99" s="4" t="n">
        <v>137000</v>
      </c>
      <c r="W99" s="5" t="n">
        <v>9.28</v>
      </c>
      <c r="X99" s="3" t="n">
        <v>12</v>
      </c>
      <c r="Y99" s="6" t="n">
        <v>46186</v>
      </c>
      <c r="Z99" s="6"/>
      <c r="AA99" s="6"/>
      <c r="AB99" s="4" t="n">
        <f aca="false">ROUND(PMT(W99/1200,X99,-V99),2)</f>
        <v>11998.65</v>
      </c>
      <c r="AC99" s="4" t="n">
        <v>0</v>
      </c>
      <c r="AD99" s="3" t="n">
        <v>0</v>
      </c>
      <c r="AE99" s="4" t="n">
        <v>44300</v>
      </c>
      <c r="AF99" s="4" t="n">
        <v>20500</v>
      </c>
      <c r="AG99" s="3" t="n">
        <v>27</v>
      </c>
      <c r="AH99" s="4" t="n">
        <v>35500</v>
      </c>
      <c r="AI99" s="3" t="n">
        <v>900</v>
      </c>
      <c r="AJ99" s="7" t="n">
        <f aca="false">ROUND(AB99/I99,4)</f>
        <v>0.3692</v>
      </c>
      <c r="AK99" s="2" t="str">
        <f aca="false">IF(AND(AI99&gt;=750,AJ99&lt;=0.35),"Low",IF(AND(AI99&gt;=600,AJ99&lt;=0.5),"Medium","High"))</f>
        <v>Medium</v>
      </c>
      <c r="AL99" s="3" t="n">
        <v>1</v>
      </c>
      <c r="AM99" s="2" t="s">
        <v>58</v>
      </c>
      <c r="AN99" s="2"/>
      <c r="AO99" s="2" t="s">
        <v>127</v>
      </c>
      <c r="AP99" s="7" t="n">
        <v>0.044</v>
      </c>
    </row>
    <row r="100" customFormat="false" ht="15" hidden="false" customHeight="false" outlineLevel="0" collapsed="false">
      <c r="A100" s="2" t="s">
        <v>550</v>
      </c>
      <c r="B100" s="2" t="s">
        <v>551</v>
      </c>
      <c r="C100" s="2" t="s">
        <v>552</v>
      </c>
      <c r="D100" s="2" t="s">
        <v>109</v>
      </c>
      <c r="E100" s="3" t="n">
        <v>35</v>
      </c>
      <c r="F100" s="2" t="s">
        <v>46</v>
      </c>
      <c r="G100" s="2" t="s">
        <v>207</v>
      </c>
      <c r="H100" s="2" t="s">
        <v>101</v>
      </c>
      <c r="I100" s="4" t="n">
        <v>50500</v>
      </c>
      <c r="J100" s="2" t="s">
        <v>49</v>
      </c>
      <c r="K100" s="3" t="n">
        <v>11</v>
      </c>
      <c r="L100" s="2" t="s">
        <v>463</v>
      </c>
      <c r="M100" s="2" t="s">
        <v>51</v>
      </c>
      <c r="N100" s="2" t="s">
        <v>52</v>
      </c>
      <c r="O100" s="3" t="n">
        <v>1</v>
      </c>
      <c r="P100" s="2" t="s">
        <v>82</v>
      </c>
      <c r="Q100" s="2" t="s">
        <v>83</v>
      </c>
      <c r="R100" s="2" t="s">
        <v>80</v>
      </c>
      <c r="S100" s="2" t="s">
        <v>80</v>
      </c>
      <c r="T100" s="2" t="s">
        <v>553</v>
      </c>
      <c r="U100" s="2" t="s">
        <v>118</v>
      </c>
      <c r="V100" s="4" t="n">
        <v>229000</v>
      </c>
      <c r="W100" s="5" t="n">
        <v>10.04</v>
      </c>
      <c r="X100" s="3" t="n">
        <v>12</v>
      </c>
      <c r="Y100" s="6" t="n">
        <v>46181</v>
      </c>
      <c r="Z100" s="6" t="n">
        <v>46190</v>
      </c>
      <c r="AA100" s="6" t="n">
        <v>46192</v>
      </c>
      <c r="AB100" s="4" t="n">
        <f aca="false">ROUND(PMT(W100/1200,X100,-V100),2)</f>
        <v>20137</v>
      </c>
      <c r="AC100" s="4" t="n">
        <v>0</v>
      </c>
      <c r="AD100" s="3" t="n">
        <v>1</v>
      </c>
      <c r="AE100" s="4" t="n">
        <v>194600</v>
      </c>
      <c r="AF100" s="4" t="n">
        <v>55300</v>
      </c>
      <c r="AG100" s="3" t="n">
        <v>37</v>
      </c>
      <c r="AH100" s="4" t="n">
        <v>28400</v>
      </c>
      <c r="AI100" s="3" t="n">
        <v>598</v>
      </c>
      <c r="AJ100" s="7" t="n">
        <f aca="false">ROUND(AB100/I100,4)</f>
        <v>0.3988</v>
      </c>
      <c r="AK100" s="2" t="str">
        <f aca="false">IF(AND(AI100&gt;=750,AJ100&lt;=0.35),"Low",IF(AND(AI100&gt;=600,AJ100&lt;=0.5),"Medium","High"))</f>
        <v>High</v>
      </c>
      <c r="AL100" s="3" t="n">
        <v>3</v>
      </c>
      <c r="AM100" s="2" t="s">
        <v>58</v>
      </c>
      <c r="AN100" s="2" t="s">
        <v>119</v>
      </c>
      <c r="AO100" s="2" t="s">
        <v>60</v>
      </c>
      <c r="AP100" s="7" t="n">
        <v>0.328</v>
      </c>
    </row>
    <row r="101" customFormat="false" ht="15" hidden="false" customHeight="false" outlineLevel="0" collapsed="false">
      <c r="A101" s="2" t="s">
        <v>554</v>
      </c>
      <c r="B101" s="2" t="s">
        <v>555</v>
      </c>
      <c r="C101" s="2" t="s">
        <v>536</v>
      </c>
      <c r="D101" s="2" t="s">
        <v>45</v>
      </c>
      <c r="E101" s="3" t="n">
        <v>33</v>
      </c>
      <c r="F101" s="2" t="s">
        <v>64</v>
      </c>
      <c r="G101" s="2" t="s">
        <v>90</v>
      </c>
      <c r="H101" s="2" t="s">
        <v>101</v>
      </c>
      <c r="I101" s="4" t="n">
        <v>26000</v>
      </c>
      <c r="J101" s="2" t="s">
        <v>90</v>
      </c>
      <c r="K101" s="3" t="n">
        <v>5</v>
      </c>
      <c r="L101" s="2" t="s">
        <v>556</v>
      </c>
      <c r="M101" s="2" t="s">
        <v>147</v>
      </c>
      <c r="N101" s="2"/>
      <c r="O101" s="3" t="n">
        <v>3</v>
      </c>
      <c r="P101" s="2" t="s">
        <v>209</v>
      </c>
      <c r="Q101" s="2" t="s">
        <v>210</v>
      </c>
      <c r="R101" s="2" t="s">
        <v>211</v>
      </c>
      <c r="S101" s="2" t="s">
        <v>147</v>
      </c>
      <c r="T101" s="2" t="s">
        <v>557</v>
      </c>
      <c r="U101" s="2" t="s">
        <v>85</v>
      </c>
      <c r="V101" s="4" t="n">
        <v>71000</v>
      </c>
      <c r="W101" s="5" t="n">
        <v>9.71</v>
      </c>
      <c r="X101" s="3" t="n">
        <v>18</v>
      </c>
      <c r="Y101" s="6" t="n">
        <v>46183</v>
      </c>
      <c r="Z101" s="6"/>
      <c r="AA101" s="6"/>
      <c r="AB101" s="4" t="n">
        <f aca="false">ROUND(PMT(W101/1200,X101,-V101),2)</f>
        <v>4254.58</v>
      </c>
      <c r="AC101" s="4" t="n">
        <v>0</v>
      </c>
      <c r="AD101" s="3" t="n">
        <v>2</v>
      </c>
      <c r="AE101" s="4" t="n">
        <v>71500</v>
      </c>
      <c r="AF101" s="4" t="n">
        <v>9500</v>
      </c>
      <c r="AG101" s="3" t="n">
        <v>63</v>
      </c>
      <c r="AH101" s="4" t="n">
        <v>19900</v>
      </c>
      <c r="AI101" s="3" t="n">
        <v>559</v>
      </c>
      <c r="AJ101" s="7" t="n">
        <f aca="false">ROUND(AB101/I101,4)</f>
        <v>0.1636</v>
      </c>
      <c r="AK101" s="2" t="str">
        <f aca="false">IF(AND(AI101&gt;=750,AJ101&lt;=0.35),"Low",IF(AND(AI101&gt;=600,AJ101&lt;=0.5),"Medium","High"))</f>
        <v>High</v>
      </c>
      <c r="AL101" s="3" t="n">
        <v>1</v>
      </c>
      <c r="AM101" s="2" t="s">
        <v>58</v>
      </c>
      <c r="AN101" s="2"/>
      <c r="AO101" s="2" t="s">
        <v>127</v>
      </c>
      <c r="AP101" s="7" t="n">
        <v>0.345</v>
      </c>
    </row>
    <row r="102" customFormat="false" ht="15" hidden="false" customHeight="false" outlineLevel="0" collapsed="false">
      <c r="A102" s="2" t="s">
        <v>558</v>
      </c>
      <c r="B102" s="2" t="s">
        <v>559</v>
      </c>
      <c r="C102" s="2" t="s">
        <v>173</v>
      </c>
      <c r="D102" s="2" t="s">
        <v>109</v>
      </c>
      <c r="E102" s="3" t="n">
        <v>58</v>
      </c>
      <c r="F102" s="2" t="s">
        <v>64</v>
      </c>
      <c r="G102" s="2" t="s">
        <v>207</v>
      </c>
      <c r="H102" s="2" t="s">
        <v>77</v>
      </c>
      <c r="I102" s="4" t="n">
        <v>92000</v>
      </c>
      <c r="J102" s="2" t="s">
        <v>49</v>
      </c>
      <c r="K102" s="3" t="n">
        <v>31</v>
      </c>
      <c r="L102" s="2" t="s">
        <v>147</v>
      </c>
      <c r="M102" s="2" t="s">
        <v>147</v>
      </c>
      <c r="N102" s="2" t="s">
        <v>52</v>
      </c>
      <c r="O102" s="3"/>
      <c r="P102" s="2" t="s">
        <v>148</v>
      </c>
      <c r="Q102" s="2" t="s">
        <v>149</v>
      </c>
      <c r="R102" s="2" t="s">
        <v>147</v>
      </c>
      <c r="S102" s="2" t="s">
        <v>147</v>
      </c>
      <c r="T102" s="2" t="s">
        <v>560</v>
      </c>
      <c r="U102" s="2" t="s">
        <v>72</v>
      </c>
      <c r="V102" s="4" t="n">
        <v>722000</v>
      </c>
      <c r="W102" s="5" t="n">
        <v>13.7</v>
      </c>
      <c r="X102" s="3" t="n">
        <v>42</v>
      </c>
      <c r="Y102" s="6" t="n">
        <v>46183</v>
      </c>
      <c r="Z102" s="6"/>
      <c r="AA102" s="6"/>
      <c r="AB102" s="4" t="n">
        <f aca="false">ROUND(PMT(W102/1200,X102,-V102),2)</f>
        <v>21736.11</v>
      </c>
      <c r="AC102" s="4" t="n">
        <v>775000</v>
      </c>
      <c r="AD102" s="3" t="n">
        <v>1</v>
      </c>
      <c r="AE102" s="4" t="n">
        <v>74500</v>
      </c>
      <c r="AF102" s="4" t="n">
        <v>15700</v>
      </c>
      <c r="AG102" s="3" t="n">
        <v>2</v>
      </c>
      <c r="AH102" s="4" t="n">
        <v>71600</v>
      </c>
      <c r="AI102" s="3" t="n">
        <v>854</v>
      </c>
      <c r="AJ102" s="7" t="n">
        <f aca="false">ROUND(AB102/I102,4)</f>
        <v>0.2363</v>
      </c>
      <c r="AK102" s="2" t="str">
        <f aca="false">IF(AND(AI102&gt;=750,AJ102&lt;=0.35),"Low",IF(AND(AI102&gt;=600,AJ102&lt;=0.5),"Medium","High"))</f>
        <v>Low</v>
      </c>
      <c r="AL102" s="3" t="n">
        <v>1</v>
      </c>
      <c r="AM102" s="2" t="s">
        <v>58</v>
      </c>
      <c r="AN102" s="2"/>
      <c r="AO102" s="2" t="s">
        <v>134</v>
      </c>
      <c r="AP102" s="7" t="n">
        <v>0.068</v>
      </c>
    </row>
    <row r="103" customFormat="false" ht="15" hidden="false" customHeight="false" outlineLevel="0" collapsed="false">
      <c r="A103" s="2" t="s">
        <v>561</v>
      </c>
      <c r="B103" s="2" t="s">
        <v>562</v>
      </c>
      <c r="C103" s="2" t="s">
        <v>563</v>
      </c>
      <c r="D103" s="2" t="s">
        <v>109</v>
      </c>
      <c r="E103" s="3" t="n">
        <v>40</v>
      </c>
      <c r="F103" s="2" t="s">
        <v>64</v>
      </c>
      <c r="G103" s="2" t="s">
        <v>90</v>
      </c>
      <c r="H103" s="2" t="s">
        <v>101</v>
      </c>
      <c r="I103" s="4" t="n">
        <v>46000</v>
      </c>
      <c r="J103" s="2" t="s">
        <v>90</v>
      </c>
      <c r="K103" s="3" t="n">
        <v>17</v>
      </c>
      <c r="L103" s="2" t="s">
        <v>564</v>
      </c>
      <c r="M103" s="2" t="s">
        <v>80</v>
      </c>
      <c r="N103" s="2" t="s">
        <v>81</v>
      </c>
      <c r="O103" s="3" t="n">
        <v>3</v>
      </c>
      <c r="P103" s="2" t="s">
        <v>189</v>
      </c>
      <c r="Q103" s="2" t="s">
        <v>190</v>
      </c>
      <c r="R103" s="2" t="s">
        <v>188</v>
      </c>
      <c r="S103" s="2" t="s">
        <v>51</v>
      </c>
      <c r="T103" s="2" t="s">
        <v>565</v>
      </c>
      <c r="U103" s="2" t="s">
        <v>180</v>
      </c>
      <c r="V103" s="4" t="n">
        <v>543000</v>
      </c>
      <c r="W103" s="5" t="n">
        <v>10.92</v>
      </c>
      <c r="X103" s="3" t="n">
        <v>30</v>
      </c>
      <c r="Y103" s="6" t="n">
        <v>46194</v>
      </c>
      <c r="Z103" s="6" t="n">
        <v>46197</v>
      </c>
      <c r="AA103" s="6" t="n">
        <v>46198</v>
      </c>
      <c r="AB103" s="4" t="n">
        <f aca="false">ROUND(PMT(W103/1200,X103,-V103),2)</f>
        <v>20764.65</v>
      </c>
      <c r="AC103" s="4" t="n">
        <v>550000</v>
      </c>
      <c r="AD103" s="3" t="n">
        <v>0</v>
      </c>
      <c r="AE103" s="4" t="n">
        <v>71100</v>
      </c>
      <c r="AF103" s="4" t="n">
        <v>40600</v>
      </c>
      <c r="AG103" s="3" t="n">
        <v>3</v>
      </c>
      <c r="AH103" s="4" t="n">
        <v>23300</v>
      </c>
      <c r="AI103" s="3" t="n">
        <v>712</v>
      </c>
      <c r="AJ103" s="7" t="n">
        <f aca="false">ROUND(AB103/I103,4)</f>
        <v>0.4514</v>
      </c>
      <c r="AK103" s="2" t="str">
        <f aca="false">IF(AND(AI103&gt;=750,AJ103&lt;=0.35),"Low",IF(AND(AI103&gt;=600,AJ103&lt;=0.5),"Medium","High"))</f>
        <v>Medium</v>
      </c>
      <c r="AL103" s="3" t="n">
        <v>2</v>
      </c>
      <c r="AM103" s="2" t="s">
        <v>58</v>
      </c>
      <c r="AN103" s="2" t="s">
        <v>119</v>
      </c>
      <c r="AO103" s="2" t="s">
        <v>60</v>
      </c>
      <c r="AP103" s="7" t="n">
        <v>0.247</v>
      </c>
    </row>
    <row r="104" customFormat="false" ht="15" hidden="false" customHeight="false" outlineLevel="0" collapsed="false">
      <c r="A104" s="2" t="s">
        <v>566</v>
      </c>
      <c r="B104" s="2" t="s">
        <v>567</v>
      </c>
      <c r="C104" s="2" t="s">
        <v>568</v>
      </c>
      <c r="D104" s="2" t="s">
        <v>109</v>
      </c>
      <c r="E104" s="3" t="n">
        <v>49</v>
      </c>
      <c r="F104" s="2" t="s">
        <v>64</v>
      </c>
      <c r="G104" s="2" t="s">
        <v>110</v>
      </c>
      <c r="H104" s="2" t="s">
        <v>111</v>
      </c>
      <c r="I104" s="4" t="n">
        <v>12000</v>
      </c>
      <c r="J104" s="2" t="s">
        <v>112</v>
      </c>
      <c r="K104" s="3" t="n">
        <v>28</v>
      </c>
      <c r="L104" s="2" t="s">
        <v>569</v>
      </c>
      <c r="M104" s="2" t="s">
        <v>67</v>
      </c>
      <c r="N104" s="2" t="s">
        <v>140</v>
      </c>
      <c r="O104" s="3" t="n">
        <v>1</v>
      </c>
      <c r="P104" s="2" t="s">
        <v>103</v>
      </c>
      <c r="Q104" s="2" t="s">
        <v>104</v>
      </c>
      <c r="R104" s="2" t="s">
        <v>67</v>
      </c>
      <c r="S104" s="2" t="s">
        <v>67</v>
      </c>
      <c r="T104" s="2" t="s">
        <v>570</v>
      </c>
      <c r="U104" s="2" t="s">
        <v>85</v>
      </c>
      <c r="V104" s="4" t="n">
        <v>4892847</v>
      </c>
      <c r="W104" s="5" t="n">
        <v>9.05</v>
      </c>
      <c r="X104" s="3" t="n">
        <v>24</v>
      </c>
      <c r="Y104" s="6" t="n">
        <v>46186</v>
      </c>
      <c r="Z104" s="6" t="n">
        <v>46191</v>
      </c>
      <c r="AA104" s="6" t="n">
        <v>46194</v>
      </c>
      <c r="AB104" s="4" t="n">
        <f aca="false">ROUND(PMT(W104/1200,X104,-V104),2)</f>
        <v>223640.72</v>
      </c>
      <c r="AC104" s="4" t="n">
        <v>0</v>
      </c>
      <c r="AD104" s="3" t="n">
        <v>1</v>
      </c>
      <c r="AE104" s="4" t="n">
        <v>31600</v>
      </c>
      <c r="AF104" s="4" t="n">
        <v>5300</v>
      </c>
      <c r="AG104" s="3" t="n">
        <v>34</v>
      </c>
      <c r="AH104" s="4" t="n">
        <v>10800</v>
      </c>
      <c r="AI104" s="3" t="n">
        <v>605</v>
      </c>
      <c r="AJ104" s="7" t="n">
        <f aca="false">ROUND(AB104/I104,4)</f>
        <v>18.6367</v>
      </c>
      <c r="AK104" s="2" t="str">
        <f aca="false">IF(AND(AI104&gt;=750,AJ104&lt;=0.35),"Low",IF(AND(AI104&gt;=600,AJ104&lt;=0.5),"Medium","High"))</f>
        <v>High</v>
      </c>
      <c r="AL104" s="3" t="n">
        <v>2</v>
      </c>
      <c r="AM104" s="2" t="s">
        <v>233</v>
      </c>
      <c r="AN104" s="2" t="s">
        <v>59</v>
      </c>
      <c r="AO104" s="2" t="s">
        <v>60</v>
      </c>
      <c r="AP104" s="7" t="n">
        <v>0.415</v>
      </c>
    </row>
    <row r="105" customFormat="false" ht="15" hidden="false" customHeight="false" outlineLevel="0" collapsed="false">
      <c r="A105" s="2" t="s">
        <v>571</v>
      </c>
      <c r="B105" s="2" t="s">
        <v>572</v>
      </c>
      <c r="C105" s="2" t="s">
        <v>573</v>
      </c>
      <c r="D105" s="2" t="s">
        <v>109</v>
      </c>
      <c r="E105" s="3" t="n">
        <v>41</v>
      </c>
      <c r="F105" s="2" t="s">
        <v>64</v>
      </c>
      <c r="G105" s="2" t="s">
        <v>110</v>
      </c>
      <c r="H105" s="2" t="s">
        <v>77</v>
      </c>
      <c r="I105" s="4" t="n">
        <v>18000</v>
      </c>
      <c r="J105" s="2" t="s">
        <v>112</v>
      </c>
      <c r="K105" s="3" t="n">
        <v>20</v>
      </c>
      <c r="L105" s="2" t="s">
        <v>55</v>
      </c>
      <c r="M105" s="2" t="s">
        <v>51</v>
      </c>
      <c r="N105" s="2" t="s">
        <v>52</v>
      </c>
      <c r="O105" s="3" t="n">
        <v>0</v>
      </c>
      <c r="P105" s="2" t="s">
        <v>53</v>
      </c>
      <c r="Q105" s="2" t="s">
        <v>54</v>
      </c>
      <c r="R105" s="2" t="s">
        <v>55</v>
      </c>
      <c r="S105" s="2" t="s">
        <v>51</v>
      </c>
      <c r="T105" s="2" t="s">
        <v>574</v>
      </c>
      <c r="U105" s="2" t="s">
        <v>57</v>
      </c>
      <c r="V105" s="4" t="n">
        <v>800000</v>
      </c>
      <c r="W105" s="5" t="n">
        <v>9.48</v>
      </c>
      <c r="X105" s="3" t="n">
        <v>240</v>
      </c>
      <c r="Y105" s="6" t="n">
        <v>46189</v>
      </c>
      <c r="Z105" s="6" t="n">
        <v>46199</v>
      </c>
      <c r="AA105" s="6" t="n">
        <v>46202</v>
      </c>
      <c r="AB105" s="4" t="n">
        <f aca="false">ROUND(PMT(W105/1200,X105,-V105),2)</f>
        <v>7446.6</v>
      </c>
      <c r="AC105" s="4" t="n">
        <v>980000</v>
      </c>
      <c r="AD105" s="3" t="n">
        <v>0</v>
      </c>
      <c r="AE105" s="4" t="n">
        <v>12900</v>
      </c>
      <c r="AF105" s="4" t="n">
        <v>7100</v>
      </c>
      <c r="AG105" s="3" t="n">
        <v>27</v>
      </c>
      <c r="AH105" s="4" t="n">
        <v>7400</v>
      </c>
      <c r="AI105" s="3" t="n">
        <v>636</v>
      </c>
      <c r="AJ105" s="7" t="n">
        <f aca="false">ROUND(AB105/I105,4)</f>
        <v>0.4137</v>
      </c>
      <c r="AK105" s="2" t="str">
        <f aca="false">IF(AND(AI105&gt;=750,AJ105&lt;=0.35),"Low",IF(AND(AI105&gt;=600,AJ105&lt;=0.5),"Medium","High"))</f>
        <v>Medium</v>
      </c>
      <c r="AL105" s="3" t="n">
        <v>2</v>
      </c>
      <c r="AM105" s="2" t="s">
        <v>58</v>
      </c>
      <c r="AN105" s="2" t="s">
        <v>59</v>
      </c>
      <c r="AO105" s="2" t="s">
        <v>60</v>
      </c>
      <c r="AP105" s="7" t="n">
        <v>0.29</v>
      </c>
    </row>
    <row r="106" customFormat="false" ht="15" hidden="false" customHeight="false" outlineLevel="0" collapsed="false">
      <c r="A106" s="2" t="s">
        <v>575</v>
      </c>
      <c r="B106" s="2" t="s">
        <v>576</v>
      </c>
      <c r="C106" s="2" t="s">
        <v>577</v>
      </c>
      <c r="D106" s="2" t="s">
        <v>45</v>
      </c>
      <c r="E106" s="3" t="n">
        <v>21</v>
      </c>
      <c r="F106" s="2" t="s">
        <v>46</v>
      </c>
      <c r="G106" s="2" t="s">
        <v>154</v>
      </c>
      <c r="H106" s="2" t="s">
        <v>77</v>
      </c>
      <c r="I106" s="4" t="n">
        <v>35000</v>
      </c>
      <c r="J106" s="2" t="s">
        <v>145</v>
      </c>
      <c r="K106" s="3" t="n">
        <v>0</v>
      </c>
      <c r="L106" s="2" t="s">
        <v>70</v>
      </c>
      <c r="M106" s="2" t="s">
        <v>67</v>
      </c>
      <c r="N106" s="2" t="s">
        <v>140</v>
      </c>
      <c r="O106" s="3" t="n">
        <v>0</v>
      </c>
      <c r="P106" s="2" t="s">
        <v>68</v>
      </c>
      <c r="Q106" s="2" t="s">
        <v>69</v>
      </c>
      <c r="R106" s="2" t="s">
        <v>70</v>
      </c>
      <c r="S106" s="2" t="s">
        <v>67</v>
      </c>
      <c r="T106" s="2" t="s">
        <v>578</v>
      </c>
      <c r="U106" s="2" t="s">
        <v>118</v>
      </c>
      <c r="V106" s="4" t="n">
        <v>320000</v>
      </c>
      <c r="W106" s="5" t="n">
        <v>8.71</v>
      </c>
      <c r="X106" s="3" t="n">
        <v>30</v>
      </c>
      <c r="Y106" s="6" t="n">
        <v>46177</v>
      </c>
      <c r="Z106" s="6" t="n">
        <v>46186</v>
      </c>
      <c r="AA106" s="6" t="n">
        <v>46191</v>
      </c>
      <c r="AB106" s="4" t="n">
        <f aca="false">ROUND(PMT(W106/1200,X106,-V106),2)</f>
        <v>11908.63</v>
      </c>
      <c r="AC106" s="4" t="n">
        <v>0</v>
      </c>
      <c r="AD106" s="3" t="n">
        <v>1</v>
      </c>
      <c r="AE106" s="4" t="n">
        <v>41800</v>
      </c>
      <c r="AF106" s="4" t="n">
        <v>16000</v>
      </c>
      <c r="AG106" s="3" t="n">
        <v>10</v>
      </c>
      <c r="AH106" s="4" t="n">
        <v>23500</v>
      </c>
      <c r="AI106" s="3" t="n">
        <v>719</v>
      </c>
      <c r="AJ106" s="7" t="n">
        <f aca="false">ROUND(AB106/I106,4)</f>
        <v>0.3402</v>
      </c>
      <c r="AK106" s="2" t="str">
        <f aca="false">IF(AND(AI106&gt;=750,AJ106&lt;=0.35),"Low",IF(AND(AI106&gt;=600,AJ106&lt;=0.5),"Medium","High"))</f>
        <v>Medium</v>
      </c>
      <c r="AL106" s="3" t="n">
        <v>2</v>
      </c>
      <c r="AM106" s="2" t="s">
        <v>58</v>
      </c>
      <c r="AN106" s="2" t="s">
        <v>59</v>
      </c>
      <c r="AO106" s="2" t="s">
        <v>60</v>
      </c>
      <c r="AP106" s="7" t="n">
        <v>0.266</v>
      </c>
    </row>
    <row r="107" customFormat="false" ht="15" hidden="false" customHeight="false" outlineLevel="0" collapsed="false">
      <c r="A107" s="2" t="s">
        <v>579</v>
      </c>
      <c r="B107" s="2" t="s">
        <v>580</v>
      </c>
      <c r="C107" s="2" t="s">
        <v>581</v>
      </c>
      <c r="D107" s="2" t="s">
        <v>45</v>
      </c>
      <c r="E107" s="3" t="n">
        <v>38</v>
      </c>
      <c r="F107" s="2" t="s">
        <v>64</v>
      </c>
      <c r="G107" s="2" t="s">
        <v>76</v>
      </c>
      <c r="H107" s="2" t="s">
        <v>101</v>
      </c>
      <c r="I107" s="4" t="n">
        <v>65000</v>
      </c>
      <c r="J107" s="2" t="s">
        <v>78</v>
      </c>
      <c r="K107" s="3" t="n">
        <v>13</v>
      </c>
      <c r="L107" s="2" t="s">
        <v>91</v>
      </c>
      <c r="M107" s="2" t="s">
        <v>92</v>
      </c>
      <c r="N107" s="2" t="s">
        <v>140</v>
      </c>
      <c r="O107" s="3" t="n">
        <v>1</v>
      </c>
      <c r="P107" s="2" t="s">
        <v>124</v>
      </c>
      <c r="Q107" s="2" t="s">
        <v>125</v>
      </c>
      <c r="R107" s="2" t="s">
        <v>91</v>
      </c>
      <c r="S107" s="2" t="s">
        <v>92</v>
      </c>
      <c r="T107" s="2" t="s">
        <v>582</v>
      </c>
      <c r="U107" s="2" t="s">
        <v>180</v>
      </c>
      <c r="V107" s="4" t="n">
        <v>661000</v>
      </c>
      <c r="W107" s="5" t="n">
        <v>13.02</v>
      </c>
      <c r="X107" s="3" t="n">
        <v>54</v>
      </c>
      <c r="Y107" s="6" t="n">
        <v>46175</v>
      </c>
      <c r="Z107" s="6" t="n">
        <v>46180</v>
      </c>
      <c r="AA107" s="6" t="n">
        <v>46186</v>
      </c>
      <c r="AB107" s="4" t="n">
        <f aca="false">ROUND(PMT(W107/1200,X107,-V107),2)</f>
        <v>16239.28</v>
      </c>
      <c r="AC107" s="4" t="n">
        <v>683000</v>
      </c>
      <c r="AD107" s="3" t="n">
        <v>0</v>
      </c>
      <c r="AE107" s="4" t="n">
        <v>51100</v>
      </c>
      <c r="AF107" s="4"/>
      <c r="AG107" s="3" t="n">
        <v>53</v>
      </c>
      <c r="AH107" s="4" t="n">
        <v>44700</v>
      </c>
      <c r="AI107" s="3" t="n">
        <v>667</v>
      </c>
      <c r="AJ107" s="7" t="n">
        <f aca="false">ROUND(AB107/I107,4)</f>
        <v>0.2498</v>
      </c>
      <c r="AK107" s="2" t="str">
        <f aca="false">IF(AND(AI107&gt;=750,AJ107&lt;=0.35),"Low",IF(AND(AI107&gt;=600,AJ107&lt;=0.5),"Medium","High"))</f>
        <v>Medium</v>
      </c>
      <c r="AL107" s="3" t="n">
        <v>3</v>
      </c>
      <c r="AM107" s="2" t="s">
        <v>58</v>
      </c>
      <c r="AN107" s="2" t="s">
        <v>59</v>
      </c>
      <c r="AO107" s="2" t="s">
        <v>60</v>
      </c>
      <c r="AP107" s="7" t="n">
        <v>0.312</v>
      </c>
    </row>
    <row r="108" customFormat="false" ht="15" hidden="false" customHeight="false" outlineLevel="0" collapsed="false">
      <c r="A108" s="2" t="s">
        <v>583</v>
      </c>
      <c r="B108" s="2" t="s">
        <v>584</v>
      </c>
      <c r="C108" s="2" t="s">
        <v>585</v>
      </c>
      <c r="D108" s="2" t="s">
        <v>45</v>
      </c>
      <c r="E108" s="3" t="n">
        <v>42</v>
      </c>
      <c r="F108" s="2" t="s">
        <v>64</v>
      </c>
      <c r="G108" s="2" t="s">
        <v>90</v>
      </c>
      <c r="H108" s="2" t="s">
        <v>101</v>
      </c>
      <c r="I108" s="4" t="n">
        <v>53500</v>
      </c>
      <c r="J108" s="2" t="s">
        <v>90</v>
      </c>
      <c r="K108" s="3" t="n">
        <v>22</v>
      </c>
      <c r="L108" s="2" t="s">
        <v>231</v>
      </c>
      <c r="M108" s="2" t="s">
        <v>92</v>
      </c>
      <c r="N108" s="2" t="s">
        <v>52</v>
      </c>
      <c r="O108" s="3" t="n">
        <v>1</v>
      </c>
      <c r="P108" s="2" t="s">
        <v>93</v>
      </c>
      <c r="Q108" s="2" t="s">
        <v>94</v>
      </c>
      <c r="R108" s="2" t="s">
        <v>95</v>
      </c>
      <c r="S108" s="2" t="s">
        <v>92</v>
      </c>
      <c r="T108" s="2" t="s">
        <v>586</v>
      </c>
      <c r="U108" s="2" t="s">
        <v>72</v>
      </c>
      <c r="V108" s="4" t="n">
        <v>300000</v>
      </c>
      <c r="W108" s="5" t="n">
        <v>15.3</v>
      </c>
      <c r="X108" s="3" t="n">
        <v>24</v>
      </c>
      <c r="Y108" s="6" t="n">
        <v>46197</v>
      </c>
      <c r="Z108" s="6" t="n">
        <v>46204</v>
      </c>
      <c r="AA108" s="6" t="n">
        <v>46207</v>
      </c>
      <c r="AB108" s="4" t="n">
        <f aca="false">ROUND(PMT(W108/1200,X108,-V108),2)</f>
        <v>14588.79</v>
      </c>
      <c r="AC108" s="4" t="n">
        <v>339000</v>
      </c>
      <c r="AD108" s="3" t="n">
        <v>1</v>
      </c>
      <c r="AE108" s="4" t="n">
        <v>168500</v>
      </c>
      <c r="AF108" s="4" t="n">
        <v>60600</v>
      </c>
      <c r="AG108" s="3" t="n">
        <v>14</v>
      </c>
      <c r="AH108" s="4" t="n">
        <v>24800</v>
      </c>
      <c r="AI108" s="3" t="n">
        <v>753</v>
      </c>
      <c r="AJ108" s="7" t="n">
        <f aca="false">ROUND(AB108/I108,4)</f>
        <v>0.2727</v>
      </c>
      <c r="AK108" s="2" t="str">
        <f aca="false">IF(AND(AI108&gt;=750,AJ108&lt;=0.35),"Low",IF(AND(AI108&gt;=600,AJ108&lt;=0.5),"Medium","High"))</f>
        <v>Low</v>
      </c>
      <c r="AL108" s="3" t="n">
        <v>2</v>
      </c>
      <c r="AM108" s="2" t="s">
        <v>58</v>
      </c>
      <c r="AN108" s="2" t="s">
        <v>258</v>
      </c>
      <c r="AO108" s="2" t="s">
        <v>60</v>
      </c>
      <c r="AP108" s="7" t="n">
        <v>0.184</v>
      </c>
    </row>
    <row r="109" customFormat="false" ht="15" hidden="false" customHeight="false" outlineLevel="0" collapsed="false">
      <c r="A109" s="2" t="s">
        <v>587</v>
      </c>
      <c r="B109" s="2" t="s">
        <v>588</v>
      </c>
      <c r="C109" s="2" t="s">
        <v>589</v>
      </c>
      <c r="D109" s="2" t="s">
        <v>109</v>
      </c>
      <c r="E109" s="3" t="n">
        <v>34</v>
      </c>
      <c r="F109" s="2" t="s">
        <v>64</v>
      </c>
      <c r="G109" s="2" t="s">
        <v>110</v>
      </c>
      <c r="H109" s="2" t="s">
        <v>48</v>
      </c>
      <c r="I109" s="4" t="n">
        <v>22000</v>
      </c>
      <c r="J109" s="2" t="s">
        <v>112</v>
      </c>
      <c r="K109" s="3" t="n">
        <v>7</v>
      </c>
      <c r="L109" s="2" t="s">
        <v>590</v>
      </c>
      <c r="M109" s="2" t="s">
        <v>114</v>
      </c>
      <c r="N109" s="2"/>
      <c r="O109" s="3" t="n">
        <v>3</v>
      </c>
      <c r="P109" s="2" t="s">
        <v>115</v>
      </c>
      <c r="Q109" s="2" t="s">
        <v>116</v>
      </c>
      <c r="R109" s="2" t="s">
        <v>114</v>
      </c>
      <c r="S109" s="2" t="s">
        <v>114</v>
      </c>
      <c r="T109" s="2" t="s">
        <v>591</v>
      </c>
      <c r="U109" s="2" t="s">
        <v>180</v>
      </c>
      <c r="V109" s="4" t="n">
        <v>305000</v>
      </c>
      <c r="W109" s="5" t="n">
        <v>11.87</v>
      </c>
      <c r="X109" s="3" t="n">
        <v>60</v>
      </c>
      <c r="Y109" s="6" t="n">
        <v>46174</v>
      </c>
      <c r="Z109" s="6"/>
      <c r="AA109" s="6"/>
      <c r="AB109" s="4" t="n">
        <f aca="false">ROUND(PMT(W109/1200,X109,-V109),2)</f>
        <v>6764.54</v>
      </c>
      <c r="AC109" s="4" t="n">
        <v>363000</v>
      </c>
      <c r="AD109" s="3" t="n">
        <v>0</v>
      </c>
      <c r="AE109" s="4" t="n">
        <v>33100</v>
      </c>
      <c r="AF109" s="4" t="n">
        <v>16400</v>
      </c>
      <c r="AG109" s="3" t="n">
        <v>7</v>
      </c>
      <c r="AH109" s="4" t="n">
        <v>16800</v>
      </c>
      <c r="AI109" s="3" t="n">
        <v>803</v>
      </c>
      <c r="AJ109" s="7" t="n">
        <f aca="false">ROUND(AB109/I109,4)</f>
        <v>0.3075</v>
      </c>
      <c r="AK109" s="2" t="str">
        <f aca="false">IF(AND(AI109&gt;=750,AJ109&lt;=0.35),"Low",IF(AND(AI109&gt;=600,AJ109&lt;=0.5),"Medium","High"))</f>
        <v>Low</v>
      </c>
      <c r="AL109" s="3" t="n">
        <v>2</v>
      </c>
      <c r="AM109" s="2" t="s">
        <v>233</v>
      </c>
      <c r="AN109" s="2"/>
      <c r="AO109" s="2" t="s">
        <v>134</v>
      </c>
      <c r="AP109" s="7" t="n">
        <v>0.262</v>
      </c>
    </row>
    <row r="110" customFormat="false" ht="15" hidden="false" customHeight="false" outlineLevel="0" collapsed="false">
      <c r="A110" s="2" t="s">
        <v>592</v>
      </c>
      <c r="B110" s="2" t="s">
        <v>593</v>
      </c>
      <c r="C110" s="2" t="s">
        <v>165</v>
      </c>
      <c r="D110" s="2" t="s">
        <v>45</v>
      </c>
      <c r="E110" s="3" t="n">
        <v>51</v>
      </c>
      <c r="F110" s="2" t="s">
        <v>64</v>
      </c>
      <c r="G110" s="2" t="s">
        <v>90</v>
      </c>
      <c r="H110" s="2" t="s">
        <v>123</v>
      </c>
      <c r="I110" s="4" t="n">
        <v>28000</v>
      </c>
      <c r="J110" s="2" t="s">
        <v>90</v>
      </c>
      <c r="K110" s="3" t="n">
        <v>30</v>
      </c>
      <c r="L110" s="2" t="s">
        <v>114</v>
      </c>
      <c r="M110" s="2" t="s">
        <v>114</v>
      </c>
      <c r="N110" s="2" t="s">
        <v>140</v>
      </c>
      <c r="O110" s="3" t="n">
        <v>2</v>
      </c>
      <c r="P110" s="2" t="s">
        <v>115</v>
      </c>
      <c r="Q110" s="2" t="s">
        <v>116</v>
      </c>
      <c r="R110" s="2" t="s">
        <v>114</v>
      </c>
      <c r="S110" s="2" t="s">
        <v>114</v>
      </c>
      <c r="T110" s="2" t="s">
        <v>594</v>
      </c>
      <c r="U110" s="2" t="s">
        <v>85</v>
      </c>
      <c r="V110" s="4" t="n">
        <v>335000</v>
      </c>
      <c r="W110" s="5" t="n">
        <v>9.76</v>
      </c>
      <c r="X110" s="3" t="n">
        <v>36</v>
      </c>
      <c r="Y110" s="6" t="n">
        <v>46181</v>
      </c>
      <c r="Z110" s="6" t="n">
        <v>46183</v>
      </c>
      <c r="AA110" s="6" t="n">
        <v>46188</v>
      </c>
      <c r="AB110" s="4" t="n">
        <f aca="false">ROUND(PMT(W110/1200,X110,-V110),2)</f>
        <v>10771.8</v>
      </c>
      <c r="AC110" s="4" t="n">
        <v>0</v>
      </c>
      <c r="AD110" s="3" t="n">
        <v>0</v>
      </c>
      <c r="AE110" s="4" t="n">
        <v>32100</v>
      </c>
      <c r="AF110" s="4" t="n">
        <v>17600</v>
      </c>
      <c r="AG110" s="3" t="n">
        <v>22</v>
      </c>
      <c r="AH110" s="4" t="n">
        <v>23100</v>
      </c>
      <c r="AI110" s="3" t="n">
        <v>824</v>
      </c>
      <c r="AJ110" s="7" t="n">
        <f aca="false">ROUND(AB110/I110,4)</f>
        <v>0.3847</v>
      </c>
      <c r="AK110" s="2" t="str">
        <f aca="false">IF(AND(AI110&gt;=750,AJ110&lt;=0.35),"Low",IF(AND(AI110&gt;=600,AJ110&lt;=0.5),"Medium","High"))</f>
        <v>Medium</v>
      </c>
      <c r="AL110" s="3" t="n">
        <v>0</v>
      </c>
      <c r="AM110" s="2" t="s">
        <v>58</v>
      </c>
      <c r="AN110" s="2" t="s">
        <v>59</v>
      </c>
      <c r="AO110" s="2" t="s">
        <v>60</v>
      </c>
      <c r="AP110" s="7" t="n">
        <v>0.096</v>
      </c>
    </row>
    <row r="111" customFormat="false" ht="15" hidden="false" customHeight="false" outlineLevel="0" collapsed="false">
      <c r="A111" s="2" t="s">
        <v>595</v>
      </c>
      <c r="B111" s="2" t="s">
        <v>596</v>
      </c>
      <c r="C111" s="2" t="s">
        <v>597</v>
      </c>
      <c r="D111" s="2" t="s">
        <v>45</v>
      </c>
      <c r="E111" s="3" t="n">
        <v>35</v>
      </c>
      <c r="F111" s="2" t="s">
        <v>434</v>
      </c>
      <c r="G111" s="2" t="s">
        <v>176</v>
      </c>
      <c r="H111" s="2" t="s">
        <v>48</v>
      </c>
      <c r="I111" s="4" t="n">
        <v>56000</v>
      </c>
      <c r="J111" s="2" t="s">
        <v>177</v>
      </c>
      <c r="K111" s="3" t="n">
        <v>10</v>
      </c>
      <c r="L111" s="2" t="s">
        <v>114</v>
      </c>
      <c r="M111" s="2" t="s">
        <v>114</v>
      </c>
      <c r="N111" s="2" t="s">
        <v>52</v>
      </c>
      <c r="O111" s="3" t="n">
        <v>0</v>
      </c>
      <c r="P111" s="2" t="s">
        <v>115</v>
      </c>
      <c r="Q111" s="2" t="s">
        <v>116</v>
      </c>
      <c r="R111" s="2" t="s">
        <v>114</v>
      </c>
      <c r="S111" s="2" t="s">
        <v>114</v>
      </c>
      <c r="T111" s="2" t="s">
        <v>598</v>
      </c>
      <c r="U111" s="2" t="s">
        <v>72</v>
      </c>
      <c r="V111" s="4" t="n">
        <v>812000</v>
      </c>
      <c r="W111" s="5" t="n">
        <v>16.35</v>
      </c>
      <c r="X111" s="3" t="n">
        <v>60</v>
      </c>
      <c r="Y111" s="6" t="n">
        <v>46190</v>
      </c>
      <c r="Z111" s="6" t="n">
        <v>46195</v>
      </c>
      <c r="AA111" s="6" t="n">
        <v>46198</v>
      </c>
      <c r="AB111" s="4" t="n">
        <f aca="false">ROUND(PMT(W111/1200,X111,-V111),2)</f>
        <v>19897.58</v>
      </c>
      <c r="AC111" s="4" t="n">
        <v>1070000</v>
      </c>
      <c r="AD111" s="3" t="n">
        <v>0</v>
      </c>
      <c r="AE111" s="4" t="n">
        <v>30500</v>
      </c>
      <c r="AF111" s="4" t="n">
        <v>11600</v>
      </c>
      <c r="AG111" s="3" t="n">
        <v>24</v>
      </c>
      <c r="AH111" s="4" t="n">
        <v>40400</v>
      </c>
      <c r="AI111" s="3" t="n">
        <v>728</v>
      </c>
      <c r="AJ111" s="7" t="n">
        <f aca="false">ROUND(AB111/I111,4)</f>
        <v>0.3553</v>
      </c>
      <c r="AK111" s="2" t="str">
        <f aca="false">IF(AND(AI111&gt;=750,AJ111&lt;=0.35),"Low",IF(AND(AI111&gt;=600,AJ111&lt;=0.5),"Medium","High"))</f>
        <v>Medium</v>
      </c>
      <c r="AL111" s="3" t="n">
        <v>2</v>
      </c>
      <c r="AM111" s="2" t="s">
        <v>58</v>
      </c>
      <c r="AN111" s="2" t="s">
        <v>59</v>
      </c>
      <c r="AO111" s="2" t="s">
        <v>60</v>
      </c>
      <c r="AP111" s="7" t="n">
        <v>0.179</v>
      </c>
    </row>
    <row r="112" customFormat="false" ht="15" hidden="false" customHeight="false" outlineLevel="0" collapsed="false">
      <c r="A112" s="2" t="s">
        <v>599</v>
      </c>
      <c r="B112" s="2" t="s">
        <v>600</v>
      </c>
      <c r="C112" s="2" t="s">
        <v>292</v>
      </c>
      <c r="D112" s="2" t="s">
        <v>109</v>
      </c>
      <c r="E112" s="3" t="n">
        <v>44</v>
      </c>
      <c r="F112" s="2" t="s">
        <v>64</v>
      </c>
      <c r="G112" s="2" t="s">
        <v>207</v>
      </c>
      <c r="H112" s="2" t="s">
        <v>48</v>
      </c>
      <c r="I112" s="4" t="n">
        <v>66500</v>
      </c>
      <c r="J112" s="2" t="s">
        <v>49</v>
      </c>
      <c r="K112" s="3" t="n">
        <v>21</v>
      </c>
      <c r="L112" s="2" t="s">
        <v>327</v>
      </c>
      <c r="M112" s="2" t="s">
        <v>92</v>
      </c>
      <c r="N112" s="2" t="s">
        <v>52</v>
      </c>
      <c r="O112" s="3" t="n">
        <v>0</v>
      </c>
      <c r="P112" s="2" t="s">
        <v>229</v>
      </c>
      <c r="Q112" s="2" t="s">
        <v>230</v>
      </c>
      <c r="R112" s="2" t="s">
        <v>231</v>
      </c>
      <c r="S112" s="2" t="s">
        <v>92</v>
      </c>
      <c r="T112" s="2" t="s">
        <v>601</v>
      </c>
      <c r="U112" s="2" t="s">
        <v>57</v>
      </c>
      <c r="V112" s="4" t="n">
        <v>2557000</v>
      </c>
      <c r="W112" s="5" t="n">
        <v>9.77</v>
      </c>
      <c r="X112" s="3" t="n">
        <v>258</v>
      </c>
      <c r="Y112" s="6" t="n">
        <v>46178</v>
      </c>
      <c r="Z112" s="6"/>
      <c r="AA112" s="6"/>
      <c r="AB112" s="4" t="n">
        <f aca="false">ROUND(PMT(W112/1200,X112,-V112),2)</f>
        <v>23749.78</v>
      </c>
      <c r="AC112" s="4" t="n">
        <v>3144000</v>
      </c>
      <c r="AD112" s="3" t="n">
        <v>1</v>
      </c>
      <c r="AE112" s="4" t="n">
        <v>226000</v>
      </c>
      <c r="AF112" s="4" t="n">
        <v>60500</v>
      </c>
      <c r="AG112" s="3" t="n">
        <v>2</v>
      </c>
      <c r="AH112" s="4" t="n">
        <v>29200</v>
      </c>
      <c r="AI112" s="3" t="n">
        <v>758</v>
      </c>
      <c r="AJ112" s="7" t="n">
        <f aca="false">ROUND(AB112/I112,4)</f>
        <v>0.3571</v>
      </c>
      <c r="AK112" s="2" t="str">
        <f aca="false">IF(AND(AI112&gt;=750,AJ112&lt;=0.35),"Low",IF(AND(AI112&gt;=600,AJ112&lt;=0.5),"Medium","High"))</f>
        <v>Medium</v>
      </c>
      <c r="AL112" s="3" t="n">
        <v>2</v>
      </c>
      <c r="AM112" s="2" t="s">
        <v>58</v>
      </c>
      <c r="AN112" s="2"/>
      <c r="AO112" s="2" t="s">
        <v>127</v>
      </c>
      <c r="AP112" s="7" t="n">
        <v>0.195</v>
      </c>
    </row>
    <row r="113" customFormat="false" ht="15" hidden="false" customHeight="false" outlineLevel="0" collapsed="false">
      <c r="A113" s="2" t="s">
        <v>602</v>
      </c>
      <c r="B113" s="2" t="s">
        <v>603</v>
      </c>
      <c r="C113" s="2" t="s">
        <v>604</v>
      </c>
      <c r="D113" s="2" t="s">
        <v>45</v>
      </c>
      <c r="E113" s="3" t="n">
        <v>47</v>
      </c>
      <c r="F113" s="2" t="s">
        <v>64</v>
      </c>
      <c r="G113" s="2" t="s">
        <v>47</v>
      </c>
      <c r="H113" s="2" t="s">
        <v>101</v>
      </c>
      <c r="I113" s="4" t="n">
        <v>157000</v>
      </c>
      <c r="J113" s="2" t="s">
        <v>49</v>
      </c>
      <c r="K113" s="3" t="n">
        <v>24</v>
      </c>
      <c r="L113" s="2" t="s">
        <v>114</v>
      </c>
      <c r="M113" s="2" t="s">
        <v>114</v>
      </c>
      <c r="N113" s="2" t="s">
        <v>140</v>
      </c>
      <c r="O113" s="3" t="n">
        <v>0</v>
      </c>
      <c r="P113" s="2" t="s">
        <v>115</v>
      </c>
      <c r="Q113" s="2" t="s">
        <v>116</v>
      </c>
      <c r="R113" s="2" t="s">
        <v>114</v>
      </c>
      <c r="S113" s="2" t="s">
        <v>114</v>
      </c>
      <c r="T113" s="2" t="s">
        <v>605</v>
      </c>
      <c r="U113" s="2" t="s">
        <v>72</v>
      </c>
      <c r="V113" s="4" t="n">
        <v>1277000</v>
      </c>
      <c r="W113" s="5" t="n">
        <v>15.66</v>
      </c>
      <c r="X113" s="3" t="n">
        <v>48</v>
      </c>
      <c r="Y113" s="6" t="n">
        <v>46186</v>
      </c>
      <c r="Z113" s="6" t="n">
        <v>46196</v>
      </c>
      <c r="AA113" s="6" t="n">
        <v>46197</v>
      </c>
      <c r="AB113" s="4" t="n">
        <f aca="false">ROUND(PMT(W113/1200,X113,-V113),2)</f>
        <v>35968.56</v>
      </c>
      <c r="AC113" s="4" t="n">
        <v>1902000</v>
      </c>
      <c r="AD113" s="3" t="n">
        <v>0</v>
      </c>
      <c r="AE113" s="4" t="n">
        <v>450100</v>
      </c>
      <c r="AF113" s="4" t="n">
        <v>118200</v>
      </c>
      <c r="AG113" s="3" t="n">
        <v>32</v>
      </c>
      <c r="AH113" s="4" t="n">
        <v>133300</v>
      </c>
      <c r="AI113" s="3" t="n">
        <v>717</v>
      </c>
      <c r="AJ113" s="7" t="n">
        <f aca="false">ROUND(AB113/I113,4)</f>
        <v>0.2291</v>
      </c>
      <c r="AK113" s="2" t="str">
        <f aca="false">IF(AND(AI113&gt;=750,AJ113&lt;=0.35),"Low",IF(AND(AI113&gt;=600,AJ113&lt;=0.5),"Medium","High"))</f>
        <v>Medium</v>
      </c>
      <c r="AL113" s="3" t="n">
        <v>4</v>
      </c>
      <c r="AM113" s="2" t="s">
        <v>233</v>
      </c>
      <c r="AN113" s="2" t="s">
        <v>119</v>
      </c>
      <c r="AO113" s="2" t="s">
        <v>86</v>
      </c>
      <c r="AP113" s="7" t="n">
        <v>0.329</v>
      </c>
    </row>
    <row r="114" customFormat="false" ht="15" hidden="false" customHeight="false" outlineLevel="0" collapsed="false">
      <c r="A114" s="2" t="s">
        <v>606</v>
      </c>
      <c r="B114" s="2" t="s">
        <v>607</v>
      </c>
      <c r="C114" s="2" t="s">
        <v>608</v>
      </c>
      <c r="D114" s="2" t="s">
        <v>109</v>
      </c>
      <c r="E114" s="3" t="n">
        <v>33</v>
      </c>
      <c r="F114" s="2" t="s">
        <v>64</v>
      </c>
      <c r="G114" s="2" t="s">
        <v>90</v>
      </c>
      <c r="H114" s="2" t="s">
        <v>123</v>
      </c>
      <c r="I114" s="4" t="n">
        <v>21500</v>
      </c>
      <c r="J114" s="2" t="s">
        <v>90</v>
      </c>
      <c r="K114" s="3" t="n">
        <v>7</v>
      </c>
      <c r="L114" s="2" t="s">
        <v>196</v>
      </c>
      <c r="M114" s="2" t="s">
        <v>139</v>
      </c>
      <c r="N114" s="2" t="s">
        <v>140</v>
      </c>
      <c r="O114" s="3" t="n">
        <v>2</v>
      </c>
      <c r="P114" s="2" t="s">
        <v>148</v>
      </c>
      <c r="Q114" s="2" t="s">
        <v>149</v>
      </c>
      <c r="R114" s="2" t="s">
        <v>147</v>
      </c>
      <c r="S114" s="2" t="s">
        <v>147</v>
      </c>
      <c r="T114" s="2" t="s">
        <v>609</v>
      </c>
      <c r="U114" s="2" t="s">
        <v>85</v>
      </c>
      <c r="V114" s="4" t="n">
        <v>130000</v>
      </c>
      <c r="W114" s="5" t="n">
        <v>8.65</v>
      </c>
      <c r="X114" s="3" t="n">
        <v>24</v>
      </c>
      <c r="Y114" s="6" t="n">
        <v>46181</v>
      </c>
      <c r="Z114" s="6" t="n">
        <v>46186</v>
      </c>
      <c r="AA114" s="6" t="n">
        <v>46190</v>
      </c>
      <c r="AB114" s="4" t="n">
        <f aca="false">ROUND(PMT(W114/1200,X114,-V114),2)</f>
        <v>5918.16</v>
      </c>
      <c r="AC114" s="4" t="n">
        <v>0</v>
      </c>
      <c r="AD114" s="3" t="n">
        <v>1</v>
      </c>
      <c r="AE114" s="4" t="n">
        <v>60800</v>
      </c>
      <c r="AF114" s="4" t="n">
        <v>14000</v>
      </c>
      <c r="AG114" s="3" t="n">
        <v>37</v>
      </c>
      <c r="AH114" s="4" t="n">
        <v>22100</v>
      </c>
      <c r="AI114" s="3" t="n">
        <v>604</v>
      </c>
      <c r="AJ114" s="7" t="n">
        <f aca="false">ROUND(AB114/I114,4)</f>
        <v>0.2753</v>
      </c>
      <c r="AK114" s="2" t="str">
        <f aca="false">IF(AND(AI114&gt;=750,AJ114&lt;=0.35),"Low",IF(AND(AI114&gt;=600,AJ114&lt;=0.5),"Medium","High"))</f>
        <v>Medium</v>
      </c>
      <c r="AL114" s="3" t="n">
        <v>0</v>
      </c>
      <c r="AM114" s="2" t="s">
        <v>58</v>
      </c>
      <c r="AN114" s="2" t="s">
        <v>59</v>
      </c>
      <c r="AO114" s="2" t="s">
        <v>60</v>
      </c>
      <c r="AP114" s="7" t="n">
        <v>0.34</v>
      </c>
    </row>
    <row r="115" customFormat="false" ht="15" hidden="false" customHeight="false" outlineLevel="0" collapsed="false">
      <c r="A115" s="2" t="s">
        <v>610</v>
      </c>
      <c r="B115" s="2" t="s">
        <v>611</v>
      </c>
      <c r="C115" s="2" t="s">
        <v>157</v>
      </c>
      <c r="D115" s="2" t="s">
        <v>109</v>
      </c>
      <c r="E115" s="3" t="n">
        <v>45</v>
      </c>
      <c r="F115" s="2" t="s">
        <v>46</v>
      </c>
      <c r="G115" s="2" t="s">
        <v>176</v>
      </c>
      <c r="H115" s="2" t="s">
        <v>123</v>
      </c>
      <c r="I115" s="4" t="n">
        <v>103500</v>
      </c>
      <c r="J115" s="2" t="s">
        <v>177</v>
      </c>
      <c r="K115" s="3" t="n">
        <v>20</v>
      </c>
      <c r="L115" s="2" t="s">
        <v>139</v>
      </c>
      <c r="M115" s="2" t="s">
        <v>139</v>
      </c>
      <c r="N115" s="2" t="s">
        <v>52</v>
      </c>
      <c r="O115" s="3" t="n">
        <v>0</v>
      </c>
      <c r="P115" s="2" t="s">
        <v>197</v>
      </c>
      <c r="Q115" s="2" t="s">
        <v>198</v>
      </c>
      <c r="R115" s="2" t="s">
        <v>139</v>
      </c>
      <c r="S115" s="2" t="s">
        <v>139</v>
      </c>
      <c r="T115" s="2" t="s">
        <v>612</v>
      </c>
      <c r="U115" s="2" t="s">
        <v>192</v>
      </c>
      <c r="V115" s="4" t="n">
        <v>1752000</v>
      </c>
      <c r="W115" s="5" t="n">
        <v>11.65</v>
      </c>
      <c r="X115" s="3" t="n">
        <v>84</v>
      </c>
      <c r="Y115" s="6" t="n">
        <v>46178</v>
      </c>
      <c r="Z115" s="6" t="n">
        <v>46187</v>
      </c>
      <c r="AA115" s="6" t="n">
        <v>46192</v>
      </c>
      <c r="AB115" s="4" t="n">
        <f aca="false">ROUND(PMT(W115/1200,X115,-V115),2)</f>
        <v>30600.62</v>
      </c>
      <c r="AC115" s="4" t="n">
        <v>1849000</v>
      </c>
      <c r="AD115" s="3" t="n">
        <v>0</v>
      </c>
      <c r="AE115" s="4" t="n">
        <v>319800</v>
      </c>
      <c r="AF115" s="4" t="n">
        <v>178800</v>
      </c>
      <c r="AG115" s="3" t="n">
        <v>26</v>
      </c>
      <c r="AH115" s="4" t="n">
        <v>54200</v>
      </c>
      <c r="AI115" s="3" t="n">
        <v>847</v>
      </c>
      <c r="AJ115" s="7" t="n">
        <f aca="false">ROUND(AB115/I115,4)</f>
        <v>0.2957</v>
      </c>
      <c r="AK115" s="2" t="str">
        <f aca="false">IF(AND(AI115&gt;=750,AJ115&lt;=0.35),"Low",IF(AND(AI115&gt;=600,AJ115&lt;=0.5),"Medium","High"))</f>
        <v>Low</v>
      </c>
      <c r="AL115" s="3" t="n">
        <v>0</v>
      </c>
      <c r="AM115" s="2" t="s">
        <v>58</v>
      </c>
      <c r="AN115" s="2" t="s">
        <v>59</v>
      </c>
      <c r="AO115" s="2" t="s">
        <v>60</v>
      </c>
      <c r="AP115" s="7" t="n">
        <v>0.067</v>
      </c>
    </row>
    <row r="116" customFormat="false" ht="15" hidden="false" customHeight="false" outlineLevel="0" collapsed="false">
      <c r="A116" s="2" t="s">
        <v>613</v>
      </c>
      <c r="B116" s="2" t="s">
        <v>614</v>
      </c>
      <c r="C116" s="2" t="s">
        <v>615</v>
      </c>
      <c r="D116" s="2" t="s">
        <v>45</v>
      </c>
      <c r="E116" s="3" t="n">
        <v>33</v>
      </c>
      <c r="F116" s="2" t="s">
        <v>46</v>
      </c>
      <c r="G116" s="2"/>
      <c r="H116" s="2" t="s">
        <v>101</v>
      </c>
      <c r="I116" s="4" t="n">
        <v>179000</v>
      </c>
      <c r="J116" s="2" t="s">
        <v>145</v>
      </c>
      <c r="K116" s="3" t="n">
        <v>5</v>
      </c>
      <c r="L116" s="2" t="s">
        <v>262</v>
      </c>
      <c r="M116" s="2" t="s">
        <v>139</v>
      </c>
      <c r="N116" s="2" t="s">
        <v>140</v>
      </c>
      <c r="O116" s="3" t="n">
        <v>2</v>
      </c>
      <c r="P116" s="2" t="s">
        <v>197</v>
      </c>
      <c r="Q116" s="2" t="s">
        <v>198</v>
      </c>
      <c r="R116" s="2" t="s">
        <v>139</v>
      </c>
      <c r="S116" s="2" t="s">
        <v>139</v>
      </c>
      <c r="T116" s="2" t="s">
        <v>616</v>
      </c>
      <c r="U116" s="2" t="s">
        <v>85</v>
      </c>
      <c r="V116" s="4" t="n">
        <v>523000</v>
      </c>
      <c r="W116" s="5" t="n">
        <v>9.84</v>
      </c>
      <c r="X116" s="3" t="n">
        <v>12</v>
      </c>
      <c r="Y116" s="6" t="n">
        <v>46178</v>
      </c>
      <c r="Z116" s="6" t="n">
        <v>46186</v>
      </c>
      <c r="AA116" s="6" t="n">
        <v>46188</v>
      </c>
      <c r="AB116" s="4" t="n">
        <f aca="false">ROUND(PMT(W116/1200,X116,-V116),2)</f>
        <v>45941.1</v>
      </c>
      <c r="AC116" s="4" t="n">
        <v>0</v>
      </c>
      <c r="AD116" s="3" t="n">
        <v>0</v>
      </c>
      <c r="AE116" s="4" t="n">
        <v>150000</v>
      </c>
      <c r="AF116" s="4" t="n">
        <v>33100</v>
      </c>
      <c r="AG116" s="3" t="n">
        <v>53</v>
      </c>
      <c r="AH116" s="4" t="n">
        <v>55500</v>
      </c>
      <c r="AI116" s="3" t="n">
        <v>812</v>
      </c>
      <c r="AJ116" s="7" t="n">
        <f aca="false">ROUND(AB116/I116,4)</f>
        <v>0.2567</v>
      </c>
      <c r="AK116" s="2" t="str">
        <f aca="false">IF(AND(AI116&gt;=750,AJ116&lt;=0.35),"Low",IF(AND(AI116&gt;=600,AJ116&lt;=0.5),"Medium","High"))</f>
        <v>Low</v>
      </c>
      <c r="AL116" s="3" t="n">
        <v>0</v>
      </c>
      <c r="AM116" s="2" t="s">
        <v>58</v>
      </c>
      <c r="AN116" s="2" t="s">
        <v>119</v>
      </c>
      <c r="AO116" s="2" t="s">
        <v>86</v>
      </c>
      <c r="AP116" s="7" t="n">
        <v>0.135</v>
      </c>
    </row>
    <row r="117" customFormat="false" ht="15" hidden="false" customHeight="false" outlineLevel="0" collapsed="false">
      <c r="A117" s="2" t="s">
        <v>617</v>
      </c>
      <c r="B117" s="2" t="s">
        <v>618</v>
      </c>
      <c r="C117" s="2" t="s">
        <v>137</v>
      </c>
      <c r="D117" s="2" t="s">
        <v>109</v>
      </c>
      <c r="E117" s="3" t="n">
        <v>21</v>
      </c>
      <c r="F117" s="2" t="s">
        <v>64</v>
      </c>
      <c r="G117" s="2" t="s">
        <v>176</v>
      </c>
      <c r="H117" s="2" t="s">
        <v>48</v>
      </c>
      <c r="I117" s="4" t="n">
        <v>64000</v>
      </c>
      <c r="J117" s="2" t="s">
        <v>177</v>
      </c>
      <c r="K117" s="3" t="n">
        <v>1</v>
      </c>
      <c r="L117" s="2" t="s">
        <v>92</v>
      </c>
      <c r="M117" s="2" t="s">
        <v>92</v>
      </c>
      <c r="N117" s="2" t="s">
        <v>52</v>
      </c>
      <c r="O117" s="3" t="n">
        <v>1</v>
      </c>
      <c r="P117" s="2" t="s">
        <v>124</v>
      </c>
      <c r="Q117" s="2" t="s">
        <v>125</v>
      </c>
      <c r="R117" s="2" t="s">
        <v>91</v>
      </c>
      <c r="S117" s="2" t="s">
        <v>92</v>
      </c>
      <c r="T117" s="2" t="s">
        <v>619</v>
      </c>
      <c r="U117" s="2" t="s">
        <v>192</v>
      </c>
      <c r="V117" s="4" t="n">
        <v>1691000</v>
      </c>
      <c r="W117" s="5" t="n">
        <v>11.23</v>
      </c>
      <c r="X117" s="3" t="n">
        <v>72</v>
      </c>
      <c r="Y117" s="6" t="n">
        <v>46194</v>
      </c>
      <c r="Z117" s="6"/>
      <c r="AA117" s="6"/>
      <c r="AB117" s="4" t="n">
        <f aca="false">ROUND(PMT(W117/1200,X117,-V117),2)</f>
        <v>32386.19</v>
      </c>
      <c r="AC117" s="4" t="n">
        <v>1720000</v>
      </c>
      <c r="AD117" s="3" t="n">
        <v>0</v>
      </c>
      <c r="AE117" s="4" t="n">
        <v>46300</v>
      </c>
      <c r="AF117" s="4" t="n">
        <v>23900</v>
      </c>
      <c r="AG117" s="3" t="n">
        <v>44</v>
      </c>
      <c r="AH117" s="4" t="n">
        <v>49900</v>
      </c>
      <c r="AI117" s="3" t="n">
        <v>793</v>
      </c>
      <c r="AJ117" s="7" t="n">
        <f aca="false">ROUND(AB117/I117,4)</f>
        <v>0.506</v>
      </c>
      <c r="AK117" s="2" t="str">
        <f aca="false">IF(AND(AI117&gt;=750,AJ117&lt;=0.35),"Low",IF(AND(AI117&gt;=600,AJ117&lt;=0.5),"Medium","High"))</f>
        <v>High</v>
      </c>
      <c r="AL117" s="3" t="n">
        <v>2</v>
      </c>
      <c r="AM117" s="2" t="s">
        <v>233</v>
      </c>
      <c r="AN117" s="2"/>
      <c r="AO117" s="2" t="s">
        <v>127</v>
      </c>
      <c r="AP117" s="7" t="n">
        <v>0.269</v>
      </c>
    </row>
    <row r="118" customFormat="false" ht="15" hidden="false" customHeight="false" outlineLevel="0" collapsed="false">
      <c r="A118" s="2" t="s">
        <v>620</v>
      </c>
      <c r="B118" s="2" t="s">
        <v>621</v>
      </c>
      <c r="C118" s="2" t="s">
        <v>622</v>
      </c>
      <c r="D118" s="2" t="s">
        <v>45</v>
      </c>
      <c r="E118" s="3" t="n">
        <v>40</v>
      </c>
      <c r="F118" s="2" t="s">
        <v>46</v>
      </c>
      <c r="G118" s="2" t="s">
        <v>166</v>
      </c>
      <c r="H118" s="2" t="s">
        <v>101</v>
      </c>
      <c r="I118" s="4" t="n">
        <v>207000</v>
      </c>
      <c r="J118" s="2" t="s">
        <v>145</v>
      </c>
      <c r="K118" s="3" t="n">
        <v>19</v>
      </c>
      <c r="L118" s="2" t="s">
        <v>92</v>
      </c>
      <c r="M118" s="2" t="s">
        <v>92</v>
      </c>
      <c r="N118" s="2" t="s">
        <v>81</v>
      </c>
      <c r="O118" s="3" t="n">
        <v>2</v>
      </c>
      <c r="P118" s="2" t="s">
        <v>169</v>
      </c>
      <c r="Q118" s="2" t="s">
        <v>170</v>
      </c>
      <c r="R118" s="2" t="s">
        <v>92</v>
      </c>
      <c r="S118" s="2" t="s">
        <v>92</v>
      </c>
      <c r="T118" s="2" t="s">
        <v>623</v>
      </c>
      <c r="U118" s="2" t="s">
        <v>85</v>
      </c>
      <c r="V118" s="4" t="n">
        <v>318000</v>
      </c>
      <c r="W118" s="5" t="n">
        <v>9.65</v>
      </c>
      <c r="X118" s="3" t="n">
        <v>12</v>
      </c>
      <c r="Y118" s="6" t="n">
        <v>46177</v>
      </c>
      <c r="Z118" s="6" t="n">
        <v>46181</v>
      </c>
      <c r="AA118" s="6" t="n">
        <v>46183</v>
      </c>
      <c r="AB118" s="4" t="n">
        <f aca="false">ROUND(PMT(W118/1200,X118,-V118),2)</f>
        <v>27905.51</v>
      </c>
      <c r="AC118" s="4" t="n">
        <v>0</v>
      </c>
      <c r="AD118" s="3" t="n">
        <v>1</v>
      </c>
      <c r="AE118" s="4" t="n">
        <v>382100</v>
      </c>
      <c r="AF118" s="4" t="n">
        <v>131400</v>
      </c>
      <c r="AG118" s="3" t="n">
        <v>28</v>
      </c>
      <c r="AH118" s="4" t="n">
        <v>170100</v>
      </c>
      <c r="AI118" s="3" t="n">
        <v>682</v>
      </c>
      <c r="AJ118" s="7" t="n">
        <f aca="false">ROUND(AB118/I118,4)</f>
        <v>0.1348</v>
      </c>
      <c r="AK118" s="2" t="str">
        <f aca="false">IF(AND(AI118&gt;=750,AJ118&lt;=0.35),"Low",IF(AND(AI118&gt;=600,AJ118&lt;=0.5),"Medium","High"))</f>
        <v>Medium</v>
      </c>
      <c r="AL118" s="3" t="n">
        <v>6</v>
      </c>
      <c r="AM118" s="2" t="s">
        <v>233</v>
      </c>
      <c r="AN118" s="2" t="s">
        <v>59</v>
      </c>
      <c r="AO118" s="2" t="s">
        <v>60</v>
      </c>
      <c r="AP118" s="7" t="n">
        <v>0.387</v>
      </c>
    </row>
    <row r="119" customFormat="false" ht="15" hidden="false" customHeight="false" outlineLevel="0" collapsed="false">
      <c r="A119" s="2" t="s">
        <v>624</v>
      </c>
      <c r="B119" s="2" t="s">
        <v>625</v>
      </c>
      <c r="C119" s="2" t="s">
        <v>173</v>
      </c>
      <c r="D119" s="2" t="s">
        <v>109</v>
      </c>
      <c r="E119" s="3" t="n">
        <v>39</v>
      </c>
      <c r="F119" s="2" t="s">
        <v>64</v>
      </c>
      <c r="G119" s="2" t="s">
        <v>154</v>
      </c>
      <c r="H119" s="2" t="s">
        <v>101</v>
      </c>
      <c r="I119" s="4" t="n">
        <v>65000</v>
      </c>
      <c r="J119" s="2" t="s">
        <v>145</v>
      </c>
      <c r="K119" s="3" t="n">
        <v>21</v>
      </c>
      <c r="L119" s="2" t="s">
        <v>50</v>
      </c>
      <c r="M119" s="2" t="s">
        <v>51</v>
      </c>
      <c r="N119" s="2" t="s">
        <v>52</v>
      </c>
      <c r="O119" s="3" t="n">
        <v>3</v>
      </c>
      <c r="P119" s="2" t="s">
        <v>131</v>
      </c>
      <c r="Q119" s="2" t="s">
        <v>132</v>
      </c>
      <c r="R119" s="2" t="s">
        <v>51</v>
      </c>
      <c r="S119" s="2" t="s">
        <v>51</v>
      </c>
      <c r="T119" s="2" t="s">
        <v>626</v>
      </c>
      <c r="U119" s="2" t="s">
        <v>180</v>
      </c>
      <c r="V119" s="4" t="n">
        <v>300000</v>
      </c>
      <c r="W119" s="5" t="n">
        <v>10.03</v>
      </c>
      <c r="X119" s="3" t="n">
        <v>30</v>
      </c>
      <c r="Y119" s="6" t="n">
        <v>46194</v>
      </c>
      <c r="Z119" s="6" t="n">
        <v>46197</v>
      </c>
      <c r="AA119" s="6" t="n">
        <v>46198</v>
      </c>
      <c r="AB119" s="4" t="n">
        <f aca="false">ROUND(PMT(W119/1200,X119,-V119),2)</f>
        <v>11347.61</v>
      </c>
      <c r="AC119" s="4" t="n">
        <v>446000</v>
      </c>
      <c r="AD119" s="3" t="n">
        <v>0</v>
      </c>
      <c r="AE119" s="4" t="n">
        <v>77100</v>
      </c>
      <c r="AF119" s="4" t="n">
        <v>31300</v>
      </c>
      <c r="AG119" s="3" t="n">
        <v>2</v>
      </c>
      <c r="AH119" s="4" t="n">
        <v>34100</v>
      </c>
      <c r="AI119" s="3" t="n">
        <v>711</v>
      </c>
      <c r="AJ119" s="7" t="n">
        <f aca="false">ROUND(AB119/I119,4)</f>
        <v>0.1746</v>
      </c>
      <c r="AK119" s="2" t="str">
        <f aca="false">IF(AND(AI119&gt;=750,AJ119&lt;=0.35),"Low",IF(AND(AI119&gt;=600,AJ119&lt;=0.5),"Medium","High"))</f>
        <v>Medium</v>
      </c>
      <c r="AL119" s="3" t="n">
        <v>0</v>
      </c>
      <c r="AM119" s="2" t="s">
        <v>58</v>
      </c>
      <c r="AN119" s="2" t="s">
        <v>59</v>
      </c>
      <c r="AO119" s="2" t="s">
        <v>60</v>
      </c>
      <c r="AP119" s="7" t="n">
        <v>0.204</v>
      </c>
    </row>
    <row r="120" customFormat="false" ht="15" hidden="false" customHeight="false" outlineLevel="0" collapsed="false">
      <c r="A120" s="2" t="s">
        <v>627</v>
      </c>
      <c r="B120" s="2" t="s">
        <v>628</v>
      </c>
      <c r="C120" s="2" t="s">
        <v>629</v>
      </c>
      <c r="D120" s="2" t="s">
        <v>45</v>
      </c>
      <c r="E120" s="3" t="n">
        <v>38</v>
      </c>
      <c r="F120" s="2" t="s">
        <v>46</v>
      </c>
      <c r="G120" s="2" t="s">
        <v>154</v>
      </c>
      <c r="H120" s="2" t="s">
        <v>48</v>
      </c>
      <c r="I120" s="4" t="n">
        <v>27500</v>
      </c>
      <c r="J120" s="2" t="s">
        <v>145</v>
      </c>
      <c r="K120" s="3" t="n">
        <v>16</v>
      </c>
      <c r="L120" s="2" t="s">
        <v>188</v>
      </c>
      <c r="M120" s="2" t="s">
        <v>51</v>
      </c>
      <c r="N120" s="2" t="s">
        <v>81</v>
      </c>
      <c r="O120" s="3" t="n">
        <v>0</v>
      </c>
      <c r="P120" s="2" t="s">
        <v>189</v>
      </c>
      <c r="Q120" s="2" t="s">
        <v>190</v>
      </c>
      <c r="R120" s="2" t="s">
        <v>188</v>
      </c>
      <c r="S120" s="2" t="s">
        <v>51</v>
      </c>
      <c r="T120" s="2" t="s">
        <v>630</v>
      </c>
      <c r="U120" s="2" t="s">
        <v>192</v>
      </c>
      <c r="V120" s="4" t="n">
        <v>378000</v>
      </c>
      <c r="W120" s="5" t="n">
        <v>11.71</v>
      </c>
      <c r="X120" s="3" t="n">
        <v>78</v>
      </c>
      <c r="Y120" s="6" t="n">
        <v>46191</v>
      </c>
      <c r="Z120" s="6" t="n">
        <v>46192</v>
      </c>
      <c r="AA120" s="6" t="n">
        <v>46194</v>
      </c>
      <c r="AB120" s="4" t="n">
        <f aca="false">ROUND(PMT(W120/1200,X120,-V120),2)</f>
        <v>6944.72</v>
      </c>
      <c r="AC120" s="4" t="n">
        <v>453000</v>
      </c>
      <c r="AD120" s="3" t="n">
        <v>0</v>
      </c>
      <c r="AE120" s="4" t="n">
        <v>24700</v>
      </c>
      <c r="AF120" s="4" t="n">
        <v>6700</v>
      </c>
      <c r="AG120" s="3" t="n">
        <v>17</v>
      </c>
      <c r="AH120" s="4" t="n">
        <v>19400</v>
      </c>
      <c r="AI120" s="3" t="n">
        <v>687</v>
      </c>
      <c r="AJ120" s="7" t="n">
        <f aca="false">ROUND(AB120/I120,4)</f>
        <v>0.2525</v>
      </c>
      <c r="AK120" s="2" t="str">
        <f aca="false">IF(AND(AI120&gt;=750,AJ120&lt;=0.35),"Low",IF(AND(AI120&gt;=600,AJ120&lt;=0.5),"Medium","High"))</f>
        <v>Medium</v>
      </c>
      <c r="AL120" s="3" t="n">
        <v>2</v>
      </c>
      <c r="AM120" s="2" t="s">
        <v>58</v>
      </c>
      <c r="AN120" s="2" t="s">
        <v>258</v>
      </c>
      <c r="AO120" s="2" t="s">
        <v>60</v>
      </c>
      <c r="AP120" s="7" t="n">
        <v>0.272</v>
      </c>
    </row>
    <row r="121" customFormat="false" ht="15" hidden="false" customHeight="false" outlineLevel="0" collapsed="false">
      <c r="A121" s="2" t="s">
        <v>631</v>
      </c>
      <c r="B121" s="2" t="s">
        <v>632</v>
      </c>
      <c r="C121" s="2" t="s">
        <v>633</v>
      </c>
      <c r="D121" s="2" t="s">
        <v>45</v>
      </c>
      <c r="E121" s="3" t="n">
        <v>37</v>
      </c>
      <c r="F121" s="2" t="s">
        <v>64</v>
      </c>
      <c r="G121" s="2"/>
      <c r="H121" s="2" t="s">
        <v>101</v>
      </c>
      <c r="I121" s="4" t="n">
        <v>1358586</v>
      </c>
      <c r="J121" s="2" t="s">
        <v>145</v>
      </c>
      <c r="K121" s="3" t="n">
        <v>9</v>
      </c>
      <c r="L121" s="2" t="s">
        <v>70</v>
      </c>
      <c r="M121" s="2" t="s">
        <v>67</v>
      </c>
      <c r="N121" s="2" t="s">
        <v>52</v>
      </c>
      <c r="O121" s="3" t="n">
        <v>2</v>
      </c>
      <c r="P121" s="2" t="s">
        <v>68</v>
      </c>
      <c r="Q121" s="2" t="s">
        <v>69</v>
      </c>
      <c r="R121" s="2" t="s">
        <v>70</v>
      </c>
      <c r="S121" s="2" t="s">
        <v>67</v>
      </c>
      <c r="T121" s="2" t="s">
        <v>634</v>
      </c>
      <c r="U121" s="2" t="s">
        <v>72</v>
      </c>
      <c r="V121" s="4" t="n">
        <v>1458000</v>
      </c>
      <c r="W121" s="5" t="n">
        <v>15.85</v>
      </c>
      <c r="X121" s="3" t="n">
        <v>78</v>
      </c>
      <c r="Y121" s="6" t="n">
        <v>46196</v>
      </c>
      <c r="Z121" s="6"/>
      <c r="AA121" s="6"/>
      <c r="AB121" s="4" t="n">
        <f aca="false">ROUND(PMT(W121/1200,X121,-V121),2)</f>
        <v>30058.91</v>
      </c>
      <c r="AC121" s="4" t="n">
        <v>2057000</v>
      </c>
      <c r="AD121" s="3" t="n">
        <v>0</v>
      </c>
      <c r="AE121" s="4" t="n">
        <v>605300</v>
      </c>
      <c r="AF121" s="4" t="n">
        <v>95200</v>
      </c>
      <c r="AG121" s="3" t="n">
        <v>19</v>
      </c>
      <c r="AH121" s="4" t="n">
        <v>126600</v>
      </c>
      <c r="AI121" s="3" t="n">
        <v>609</v>
      </c>
      <c r="AJ121" s="7" t="n">
        <f aca="false">ROUND(AB121/I121,4)</f>
        <v>0.0221</v>
      </c>
      <c r="AK121" s="2" t="str">
        <f aca="false">IF(AND(AI121&gt;=750,AJ121&lt;=0.35),"Low",IF(AND(AI121&gt;=600,AJ121&lt;=0.5),"Medium","High"))</f>
        <v>Medium</v>
      </c>
      <c r="AL121" s="3" t="n">
        <v>4</v>
      </c>
      <c r="AM121" s="2" t="s">
        <v>58</v>
      </c>
      <c r="AN121" s="2"/>
      <c r="AO121" s="2" t="s">
        <v>127</v>
      </c>
      <c r="AP121" s="7" t="n">
        <v>0.37</v>
      </c>
    </row>
    <row r="122" customFormat="false" ht="15" hidden="false" customHeight="false" outlineLevel="0" collapsed="false">
      <c r="A122" s="2" t="s">
        <v>635</v>
      </c>
      <c r="B122" s="2" t="s">
        <v>636</v>
      </c>
      <c r="C122" s="2" t="s">
        <v>637</v>
      </c>
      <c r="D122" s="2" t="s">
        <v>45</v>
      </c>
      <c r="E122" s="3" t="n">
        <v>21</v>
      </c>
      <c r="F122" s="2"/>
      <c r="G122" s="2" t="s">
        <v>47</v>
      </c>
      <c r="H122" s="2" t="s">
        <v>101</v>
      </c>
      <c r="I122" s="4" t="n">
        <v>80000</v>
      </c>
      <c r="J122" s="2" t="s">
        <v>49</v>
      </c>
      <c r="K122" s="3" t="n">
        <v>1</v>
      </c>
      <c r="L122" s="2" t="s">
        <v>114</v>
      </c>
      <c r="M122" s="2" t="s">
        <v>114</v>
      </c>
      <c r="N122" s="2"/>
      <c r="O122" s="3" t="n">
        <v>0</v>
      </c>
      <c r="P122" s="2" t="s">
        <v>115</v>
      </c>
      <c r="Q122" s="2" t="s">
        <v>116</v>
      </c>
      <c r="R122" s="2" t="s">
        <v>114</v>
      </c>
      <c r="S122" s="2" t="s">
        <v>114</v>
      </c>
      <c r="T122" s="2" t="s">
        <v>638</v>
      </c>
      <c r="U122" s="2" t="s">
        <v>118</v>
      </c>
      <c r="V122" s="4" t="n">
        <v>1500000</v>
      </c>
      <c r="W122" s="5" t="n">
        <v>8.58</v>
      </c>
      <c r="X122" s="3" t="n">
        <v>78</v>
      </c>
      <c r="Y122" s="6" t="n">
        <v>46191</v>
      </c>
      <c r="Z122" s="6"/>
      <c r="AA122" s="6"/>
      <c r="AB122" s="4" t="n">
        <f aca="false">ROUND(PMT(W122/1200,X122,-V122),2)</f>
        <v>25156.07</v>
      </c>
      <c r="AC122" s="4" t="n">
        <v>0</v>
      </c>
      <c r="AD122" s="3" t="n">
        <v>0</v>
      </c>
      <c r="AE122" s="4" t="n">
        <v>141300</v>
      </c>
      <c r="AF122" s="4" t="n">
        <v>56100</v>
      </c>
      <c r="AG122" s="3" t="n">
        <v>44</v>
      </c>
      <c r="AH122" s="4" t="n">
        <v>24600</v>
      </c>
      <c r="AI122" s="3" t="n">
        <v>692</v>
      </c>
      <c r="AJ122" s="7" t="n">
        <f aca="false">ROUND(AB122/I122,4)</f>
        <v>0.3145</v>
      </c>
      <c r="AK122" s="2" t="str">
        <f aca="false">IF(AND(AI122&gt;=750,AJ122&lt;=0.35),"Low",IF(AND(AI122&gt;=600,AJ122&lt;=0.5),"Medium","High"))</f>
        <v>Medium</v>
      </c>
      <c r="AL122" s="3" t="n">
        <v>0</v>
      </c>
      <c r="AM122" s="2" t="s">
        <v>58</v>
      </c>
      <c r="AN122" s="2"/>
      <c r="AO122" s="2" t="s">
        <v>134</v>
      </c>
      <c r="AP122" s="7" t="n">
        <v>0.28</v>
      </c>
    </row>
    <row r="123" customFormat="false" ht="15" hidden="false" customHeight="false" outlineLevel="0" collapsed="false">
      <c r="A123" s="2" t="s">
        <v>639</v>
      </c>
      <c r="B123" s="2" t="s">
        <v>640</v>
      </c>
      <c r="C123" s="2" t="s">
        <v>641</v>
      </c>
      <c r="D123" s="2" t="s">
        <v>45</v>
      </c>
      <c r="E123" s="3" t="n">
        <v>45</v>
      </c>
      <c r="F123" s="2" t="s">
        <v>64</v>
      </c>
      <c r="G123" s="2" t="s">
        <v>176</v>
      </c>
      <c r="H123" s="2" t="s">
        <v>77</v>
      </c>
      <c r="I123" s="4" t="n">
        <v>77000</v>
      </c>
      <c r="J123" s="2" t="s">
        <v>177</v>
      </c>
      <c r="K123" s="3" t="n">
        <v>22</v>
      </c>
      <c r="L123" s="2" t="s">
        <v>51</v>
      </c>
      <c r="M123" s="2" t="s">
        <v>51</v>
      </c>
      <c r="N123" s="2" t="s">
        <v>52</v>
      </c>
      <c r="O123" s="3" t="n">
        <v>3</v>
      </c>
      <c r="P123" s="2" t="s">
        <v>131</v>
      </c>
      <c r="Q123" s="2" t="s">
        <v>132</v>
      </c>
      <c r="R123" s="2" t="s">
        <v>51</v>
      </c>
      <c r="S123" s="2" t="s">
        <v>51</v>
      </c>
      <c r="T123" s="2" t="s">
        <v>642</v>
      </c>
      <c r="U123" s="2" t="s">
        <v>57</v>
      </c>
      <c r="V123" s="4" t="n">
        <v>2214000</v>
      </c>
      <c r="W123" s="5" t="n">
        <v>9.98</v>
      </c>
      <c r="X123" s="3" t="n">
        <v>132</v>
      </c>
      <c r="Y123" s="6" t="n">
        <v>46183</v>
      </c>
      <c r="Z123" s="6" t="n">
        <v>46188</v>
      </c>
      <c r="AA123" s="6" t="n">
        <v>46189</v>
      </c>
      <c r="AB123" s="4" t="n">
        <f aca="false">ROUND(PMT(W123/1200,X123,-V123),2)</f>
        <v>27693.96</v>
      </c>
      <c r="AC123" s="4" t="n">
        <v>2752000</v>
      </c>
      <c r="AD123" s="3" t="n">
        <v>1</v>
      </c>
      <c r="AE123" s="4"/>
      <c r="AF123" s="4" t="n">
        <v>27200</v>
      </c>
      <c r="AG123" s="3" t="n">
        <v>29</v>
      </c>
      <c r="AH123" s="4" t="n">
        <v>44200</v>
      </c>
      <c r="AI123" s="3" t="n">
        <v>614</v>
      </c>
      <c r="AJ123" s="7" t="n">
        <f aca="false">ROUND(AB123/I123,4)</f>
        <v>0.3597</v>
      </c>
      <c r="AK123" s="2" t="str">
        <f aca="false">IF(AND(AI123&gt;=750,AJ123&lt;=0.35),"Low",IF(AND(AI123&gt;=600,AJ123&lt;=0.5),"Medium","High"))</f>
        <v>Medium</v>
      </c>
      <c r="AL123" s="3" t="n">
        <v>0</v>
      </c>
      <c r="AM123" s="2" t="s">
        <v>233</v>
      </c>
      <c r="AN123" s="2" t="s">
        <v>59</v>
      </c>
      <c r="AO123" s="2" t="s">
        <v>60</v>
      </c>
      <c r="AP123" s="7" t="n">
        <v>0.38</v>
      </c>
    </row>
    <row r="124" customFormat="false" ht="15" hidden="false" customHeight="false" outlineLevel="0" collapsed="false">
      <c r="A124" s="2" t="s">
        <v>643</v>
      </c>
      <c r="B124" s="2" t="s">
        <v>637</v>
      </c>
      <c r="C124" s="2" t="s">
        <v>644</v>
      </c>
      <c r="D124" s="2" t="s">
        <v>45</v>
      </c>
      <c r="E124" s="3" t="n">
        <v>47</v>
      </c>
      <c r="F124" s="2" t="s">
        <v>64</v>
      </c>
      <c r="G124" s="2" t="s">
        <v>47</v>
      </c>
      <c r="H124" s="2" t="s">
        <v>101</v>
      </c>
      <c r="I124" s="4" t="n">
        <v>194000</v>
      </c>
      <c r="J124" s="2" t="s">
        <v>49</v>
      </c>
      <c r="K124" s="3" t="n">
        <v>23</v>
      </c>
      <c r="L124" s="2" t="s">
        <v>231</v>
      </c>
      <c r="M124" s="2" t="s">
        <v>92</v>
      </c>
      <c r="N124" s="2" t="s">
        <v>52</v>
      </c>
      <c r="O124" s="3" t="n">
        <v>3</v>
      </c>
      <c r="P124" s="2" t="s">
        <v>229</v>
      </c>
      <c r="Q124" s="2" t="s">
        <v>230</v>
      </c>
      <c r="R124" s="2" t="s">
        <v>231</v>
      </c>
      <c r="S124" s="2" t="s">
        <v>92</v>
      </c>
      <c r="T124" s="2" t="s">
        <v>645</v>
      </c>
      <c r="U124" s="2" t="s">
        <v>180</v>
      </c>
      <c r="V124" s="4" t="n">
        <v>2014000</v>
      </c>
      <c r="W124" s="5" t="n">
        <v>12.29</v>
      </c>
      <c r="X124" s="3" t="n">
        <v>60</v>
      </c>
      <c r="Y124" s="6" t="n">
        <v>46202</v>
      </c>
      <c r="Z124" s="6" t="n">
        <v>46206</v>
      </c>
      <c r="AA124" s="6" t="n">
        <v>46211</v>
      </c>
      <c r="AB124" s="4" t="n">
        <f aca="false">ROUND(PMT(W124/1200,X124,-V124),2)</f>
        <v>45096.02</v>
      </c>
      <c r="AC124" s="4" t="n">
        <v>2878000</v>
      </c>
      <c r="AD124" s="3" t="n">
        <v>0</v>
      </c>
      <c r="AE124" s="4" t="n">
        <v>313500</v>
      </c>
      <c r="AF124" s="4" t="n">
        <v>122600</v>
      </c>
      <c r="AG124" s="3"/>
      <c r="AH124" s="4" t="n">
        <v>115800</v>
      </c>
      <c r="AI124" s="3" t="n">
        <v>863</v>
      </c>
      <c r="AJ124" s="7" t="n">
        <f aca="false">ROUND(AB124/I124,4)</f>
        <v>0.2325</v>
      </c>
      <c r="AK124" s="2" t="str">
        <f aca="false">IF(AND(AI124&gt;=750,AJ124&lt;=0.35),"Low",IF(AND(AI124&gt;=600,AJ124&lt;=0.5),"Medium","High"))</f>
        <v>Low</v>
      </c>
      <c r="AL124" s="3" t="n">
        <v>0</v>
      </c>
      <c r="AM124" s="2" t="s">
        <v>58</v>
      </c>
      <c r="AN124" s="2" t="s">
        <v>59</v>
      </c>
      <c r="AO124" s="2" t="s">
        <v>60</v>
      </c>
      <c r="AP124" s="7" t="n">
        <v>0.069</v>
      </c>
    </row>
    <row r="125" customFormat="false" ht="15" hidden="false" customHeight="false" outlineLevel="0" collapsed="false">
      <c r="A125" s="2" t="s">
        <v>646</v>
      </c>
      <c r="B125" s="2" t="s">
        <v>647</v>
      </c>
      <c r="C125" s="2" t="s">
        <v>648</v>
      </c>
      <c r="D125" s="2" t="s">
        <v>45</v>
      </c>
      <c r="E125" s="3" t="n">
        <v>55</v>
      </c>
      <c r="F125" s="2" t="s">
        <v>64</v>
      </c>
      <c r="G125" s="2" t="s">
        <v>176</v>
      </c>
      <c r="H125" s="2" t="s">
        <v>123</v>
      </c>
      <c r="I125" s="4" t="n">
        <v>82500</v>
      </c>
      <c r="J125" s="2" t="s">
        <v>177</v>
      </c>
      <c r="K125" s="3" t="n">
        <v>30</v>
      </c>
      <c r="L125" s="2" t="s">
        <v>80</v>
      </c>
      <c r="M125" s="2" t="s">
        <v>80</v>
      </c>
      <c r="N125" s="2" t="s">
        <v>102</v>
      </c>
      <c r="O125" s="3" t="n">
        <v>2</v>
      </c>
      <c r="P125" s="2" t="s">
        <v>82</v>
      </c>
      <c r="Q125" s="2" t="s">
        <v>83</v>
      </c>
      <c r="R125" s="2" t="s">
        <v>80</v>
      </c>
      <c r="S125" s="2" t="s">
        <v>80</v>
      </c>
      <c r="T125" s="2" t="s">
        <v>649</v>
      </c>
      <c r="U125" s="2" t="s">
        <v>72</v>
      </c>
      <c r="V125" s="4" t="n">
        <v>1029000</v>
      </c>
      <c r="W125" s="5" t="n">
        <v>14.88</v>
      </c>
      <c r="X125" s="3" t="n">
        <v>60</v>
      </c>
      <c r="Y125" s="6" t="n">
        <v>46193</v>
      </c>
      <c r="Z125" s="6" t="n">
        <v>46195</v>
      </c>
      <c r="AA125" s="6" t="n">
        <v>46197</v>
      </c>
      <c r="AB125" s="4" t="n">
        <f aca="false">ROUND(PMT(W125/1200,X125,-V125),2)</f>
        <v>24415.07</v>
      </c>
      <c r="AC125" s="4" t="n">
        <v>1204000</v>
      </c>
      <c r="AD125" s="3" t="n">
        <v>0</v>
      </c>
      <c r="AE125" s="4" t="n">
        <v>131100</v>
      </c>
      <c r="AF125" s="4" t="n">
        <v>57500</v>
      </c>
      <c r="AG125" s="3" t="n">
        <v>18</v>
      </c>
      <c r="AH125" s="4" t="n">
        <v>64700</v>
      </c>
      <c r="AI125" s="3" t="n">
        <v>641</v>
      </c>
      <c r="AJ125" s="7" t="n">
        <f aca="false">ROUND(AB125/I125,4)</f>
        <v>0.2959</v>
      </c>
      <c r="AK125" s="2" t="str">
        <f aca="false">IF(AND(AI125&gt;=750,AJ125&lt;=0.35),"Low",IF(AND(AI125&gt;=600,AJ125&lt;=0.5),"Medium","High"))</f>
        <v>Medium</v>
      </c>
      <c r="AL125" s="3" t="n">
        <v>0</v>
      </c>
      <c r="AM125" s="2" t="s">
        <v>58</v>
      </c>
      <c r="AN125" s="2" t="s">
        <v>59</v>
      </c>
      <c r="AO125" s="2" t="s">
        <v>60</v>
      </c>
      <c r="AP125" s="7" t="n">
        <v>0.271</v>
      </c>
    </row>
    <row r="126" customFormat="false" ht="15" hidden="false" customHeight="false" outlineLevel="0" collapsed="false">
      <c r="A126" s="2" t="s">
        <v>650</v>
      </c>
      <c r="B126" s="2" t="s">
        <v>651</v>
      </c>
      <c r="C126" s="2" t="s">
        <v>652</v>
      </c>
      <c r="D126" s="2" t="s">
        <v>45</v>
      </c>
      <c r="E126" s="3" t="n">
        <v>24</v>
      </c>
      <c r="F126" s="2" t="s">
        <v>46</v>
      </c>
      <c r="G126" s="2" t="s">
        <v>166</v>
      </c>
      <c r="H126" s="2" t="s">
        <v>167</v>
      </c>
      <c r="I126" s="4" t="n">
        <v>147500</v>
      </c>
      <c r="J126" s="2" t="s">
        <v>145</v>
      </c>
      <c r="K126" s="3" t="n">
        <v>2</v>
      </c>
      <c r="L126" s="2" t="s">
        <v>653</v>
      </c>
      <c r="M126" s="2" t="s">
        <v>159</v>
      </c>
      <c r="N126" s="2" t="s">
        <v>52</v>
      </c>
      <c r="O126" s="3" t="n">
        <v>1</v>
      </c>
      <c r="P126" s="2" t="s">
        <v>68</v>
      </c>
      <c r="Q126" s="2" t="s">
        <v>69</v>
      </c>
      <c r="R126" s="2" t="s">
        <v>70</v>
      </c>
      <c r="S126" s="2" t="s">
        <v>67</v>
      </c>
      <c r="T126" s="2" t="s">
        <v>654</v>
      </c>
      <c r="U126" s="2" t="s">
        <v>85</v>
      </c>
      <c r="V126" s="4" t="n">
        <v>292000</v>
      </c>
      <c r="W126" s="5" t="n">
        <v>7.71</v>
      </c>
      <c r="X126" s="3" t="n">
        <v>6</v>
      </c>
      <c r="Y126" s="6" t="n">
        <v>46184</v>
      </c>
      <c r="Z126" s="6" t="n">
        <v>46191</v>
      </c>
      <c r="AA126" s="6" t="n">
        <v>46194</v>
      </c>
      <c r="AB126" s="4" t="n">
        <f aca="false">ROUND(PMT(W126/1200,X126,-V126),2)</f>
        <v>49766.9</v>
      </c>
      <c r="AC126" s="4" t="n">
        <v>0</v>
      </c>
      <c r="AD126" s="3" t="n">
        <v>1</v>
      </c>
      <c r="AE126" s="4" t="n">
        <v>85800</v>
      </c>
      <c r="AF126" s="4" t="n">
        <v>41000</v>
      </c>
      <c r="AG126" s="3" t="n">
        <v>22</v>
      </c>
      <c r="AH126" s="4" t="n">
        <v>98400</v>
      </c>
      <c r="AI126" s="3" t="n">
        <v>663</v>
      </c>
      <c r="AJ126" s="7" t="n">
        <f aca="false">ROUND(AB126/I126,4)</f>
        <v>0.3374</v>
      </c>
      <c r="AK126" s="2" t="str">
        <f aca="false">IF(AND(AI126&gt;=750,AJ126&lt;=0.35),"Low",IF(AND(AI126&gt;=600,AJ126&lt;=0.5),"Medium","High"))</f>
        <v>Medium</v>
      </c>
      <c r="AL126" s="3" t="n">
        <v>2</v>
      </c>
      <c r="AM126" s="2" t="s">
        <v>58</v>
      </c>
      <c r="AN126" s="2" t="s">
        <v>59</v>
      </c>
      <c r="AO126" s="2" t="s">
        <v>60</v>
      </c>
      <c r="AP126" s="7" t="n">
        <v>0.242</v>
      </c>
    </row>
    <row r="127" customFormat="false" ht="15" hidden="false" customHeight="false" outlineLevel="0" collapsed="false">
      <c r="A127" s="2" t="s">
        <v>655</v>
      </c>
      <c r="B127" s="2" t="s">
        <v>656</v>
      </c>
      <c r="C127" s="2" t="s">
        <v>657</v>
      </c>
      <c r="D127" s="2" t="s">
        <v>45</v>
      </c>
      <c r="E127" s="3" t="n">
        <v>44</v>
      </c>
      <c r="F127" s="2" t="s">
        <v>175</v>
      </c>
      <c r="G127" s="2" t="s">
        <v>207</v>
      </c>
      <c r="H127" s="2" t="s">
        <v>101</v>
      </c>
      <c r="I127" s="4" t="n">
        <v>69500</v>
      </c>
      <c r="J127" s="2" t="s">
        <v>49</v>
      </c>
      <c r="K127" s="3" t="n">
        <v>24</v>
      </c>
      <c r="L127" s="2" t="s">
        <v>138</v>
      </c>
      <c r="M127" s="2" t="s">
        <v>139</v>
      </c>
      <c r="N127" s="2" t="s">
        <v>102</v>
      </c>
      <c r="O127" s="3" t="n">
        <v>0</v>
      </c>
      <c r="P127" s="2" t="s">
        <v>197</v>
      </c>
      <c r="Q127" s="2" t="s">
        <v>198</v>
      </c>
      <c r="R127" s="2" t="s">
        <v>139</v>
      </c>
      <c r="S127" s="2" t="s">
        <v>139</v>
      </c>
      <c r="T127" s="2" t="s">
        <v>658</v>
      </c>
      <c r="U127" s="2" t="s">
        <v>180</v>
      </c>
      <c r="V127" s="4" t="n">
        <v>871000</v>
      </c>
      <c r="W127" s="5" t="n">
        <v>13.2</v>
      </c>
      <c r="X127" s="3" t="n">
        <v>36</v>
      </c>
      <c r="Y127" s="6" t="n">
        <v>46188</v>
      </c>
      <c r="Z127" s="6"/>
      <c r="AA127" s="6"/>
      <c r="AB127" s="4" t="n">
        <f aca="false">ROUND(PMT(W127/1200,X127,-V127),2)</f>
        <v>29431.41</v>
      </c>
      <c r="AC127" s="4" t="n">
        <v>1039000</v>
      </c>
      <c r="AD127" s="3" t="n">
        <v>1</v>
      </c>
      <c r="AE127" s="4" t="n">
        <v>72200</v>
      </c>
      <c r="AF127" s="4" t="n">
        <v>27200</v>
      </c>
      <c r="AG127" s="3" t="n">
        <v>2</v>
      </c>
      <c r="AH127" s="4" t="n">
        <v>51000</v>
      </c>
      <c r="AI127" s="3" t="n">
        <v>757</v>
      </c>
      <c r="AJ127" s="7" t="n">
        <f aca="false">ROUND(AB127/I127,4)</f>
        <v>0.4235</v>
      </c>
      <c r="AK127" s="2" t="str">
        <f aca="false">IF(AND(AI127&gt;=750,AJ127&lt;=0.35),"Low",IF(AND(AI127&gt;=600,AJ127&lt;=0.5),"Medium","High"))</f>
        <v>Medium</v>
      </c>
      <c r="AL127" s="3" t="n">
        <v>2</v>
      </c>
      <c r="AM127" s="2" t="s">
        <v>58</v>
      </c>
      <c r="AN127" s="2"/>
      <c r="AO127" s="2" t="s">
        <v>127</v>
      </c>
      <c r="AP127" s="7" t="n">
        <v>0.221</v>
      </c>
    </row>
    <row r="128" customFormat="false" ht="15" hidden="false" customHeight="false" outlineLevel="0" collapsed="false">
      <c r="A128" s="2" t="s">
        <v>659</v>
      </c>
      <c r="B128" s="2" t="s">
        <v>660</v>
      </c>
      <c r="C128" s="2" t="s">
        <v>661</v>
      </c>
      <c r="D128" s="2" t="s">
        <v>45</v>
      </c>
      <c r="E128" s="3" t="n">
        <v>45</v>
      </c>
      <c r="F128" s="2" t="s">
        <v>64</v>
      </c>
      <c r="G128" s="2" t="s">
        <v>145</v>
      </c>
      <c r="H128" s="2" t="s">
        <v>48</v>
      </c>
      <c r="I128" s="4" t="n">
        <v>63000</v>
      </c>
      <c r="J128" s="2" t="s">
        <v>145</v>
      </c>
      <c r="K128" s="3" t="n">
        <v>23</v>
      </c>
      <c r="L128" s="2" t="s">
        <v>50</v>
      </c>
      <c r="M128" s="2" t="s">
        <v>51</v>
      </c>
      <c r="N128" s="2" t="s">
        <v>102</v>
      </c>
      <c r="O128" s="3" t="n">
        <v>1</v>
      </c>
      <c r="P128" s="2" t="s">
        <v>53</v>
      </c>
      <c r="Q128" s="2" t="s">
        <v>54</v>
      </c>
      <c r="R128" s="2" t="s">
        <v>55</v>
      </c>
      <c r="S128" s="2" t="s">
        <v>51</v>
      </c>
      <c r="T128" s="2" t="s">
        <v>662</v>
      </c>
      <c r="U128" s="2" t="s">
        <v>192</v>
      </c>
      <c r="V128" s="4" t="n">
        <v>547000</v>
      </c>
      <c r="W128" s="5" t="n">
        <v>11.25</v>
      </c>
      <c r="X128" s="3" t="n">
        <v>42</v>
      </c>
      <c r="Y128" s="6" t="n">
        <v>46190</v>
      </c>
      <c r="Z128" s="6"/>
      <c r="AA128" s="6"/>
      <c r="AB128" s="4" t="n">
        <f aca="false">ROUND(PMT(W128/1200,X128,-V128),2)</f>
        <v>15815.88</v>
      </c>
      <c r="AC128" s="4" t="n">
        <v>718000</v>
      </c>
      <c r="AD128" s="3" t="n">
        <v>0</v>
      </c>
      <c r="AE128" s="4" t="n">
        <v>250600</v>
      </c>
      <c r="AF128" s="4" t="n">
        <v>135400</v>
      </c>
      <c r="AG128" s="3" t="n">
        <v>23</v>
      </c>
      <c r="AH128" s="4" t="n">
        <v>50300</v>
      </c>
      <c r="AI128" s="3" t="n">
        <v>624</v>
      </c>
      <c r="AJ128" s="7" t="n">
        <f aca="false">ROUND(AB128/I128,4)</f>
        <v>0.251</v>
      </c>
      <c r="AK128" s="2" t="str">
        <f aca="false">IF(AND(AI128&gt;=750,AJ128&lt;=0.35),"Low",IF(AND(AI128&gt;=600,AJ128&lt;=0.5),"Medium","High"))</f>
        <v>Medium</v>
      </c>
      <c r="AL128" s="3" t="n">
        <v>3</v>
      </c>
      <c r="AM128" s="2" t="s">
        <v>58</v>
      </c>
      <c r="AN128" s="2"/>
      <c r="AO128" s="2" t="s">
        <v>134</v>
      </c>
      <c r="AP128" s="7" t="n">
        <v>0.235</v>
      </c>
    </row>
    <row r="129" customFormat="false" ht="15" hidden="false" customHeight="false" outlineLevel="0" collapsed="false">
      <c r="A129" s="2" t="s">
        <v>663</v>
      </c>
      <c r="B129" s="2" t="s">
        <v>664</v>
      </c>
      <c r="C129" s="2" t="s">
        <v>665</v>
      </c>
      <c r="D129" s="2" t="s">
        <v>109</v>
      </c>
      <c r="E129" s="3" t="n">
        <v>59</v>
      </c>
      <c r="F129" s="2" t="s">
        <v>46</v>
      </c>
      <c r="G129" s="2" t="s">
        <v>47</v>
      </c>
      <c r="H129" s="2" t="s">
        <v>48</v>
      </c>
      <c r="I129" s="4" t="n">
        <v>163500</v>
      </c>
      <c r="J129" s="2" t="s">
        <v>49</v>
      </c>
      <c r="K129" s="3" t="n">
        <v>33</v>
      </c>
      <c r="L129" s="2" t="s">
        <v>55</v>
      </c>
      <c r="M129" s="2" t="s">
        <v>51</v>
      </c>
      <c r="N129" s="2" t="s">
        <v>102</v>
      </c>
      <c r="O129" s="3" t="n">
        <v>0</v>
      </c>
      <c r="P129" s="2" t="s">
        <v>68</v>
      </c>
      <c r="Q129" s="2" t="s">
        <v>69</v>
      </c>
      <c r="R129" s="2" t="s">
        <v>70</v>
      </c>
      <c r="S129" s="2" t="s">
        <v>67</v>
      </c>
      <c r="T129" s="2" t="s">
        <v>666</v>
      </c>
      <c r="U129" s="2" t="s">
        <v>180</v>
      </c>
      <c r="V129" s="4" t="n">
        <v>2087000</v>
      </c>
      <c r="W129" s="5" t="n">
        <v>11.5</v>
      </c>
      <c r="X129" s="3" t="n">
        <v>66</v>
      </c>
      <c r="Y129" s="6" t="n">
        <v>46182</v>
      </c>
      <c r="Z129" s="6" t="n">
        <v>46191</v>
      </c>
      <c r="AA129" s="6" t="n">
        <v>46196</v>
      </c>
      <c r="AB129" s="4" t="n">
        <f aca="false">ROUND(PMT(W129/1200,X129,-V129),2)</f>
        <v>42815</v>
      </c>
      <c r="AC129" s="4" t="n">
        <v>2223000</v>
      </c>
      <c r="AD129" s="3" t="n">
        <v>0</v>
      </c>
      <c r="AE129" s="4" t="n">
        <v>536200</v>
      </c>
      <c r="AF129" s="4" t="n">
        <v>127600</v>
      </c>
      <c r="AG129" s="3" t="n">
        <v>31</v>
      </c>
      <c r="AH129" s="4" t="n">
        <v>163800</v>
      </c>
      <c r="AI129" s="3" t="n">
        <v>754</v>
      </c>
      <c r="AJ129" s="7" t="n">
        <f aca="false">ROUND(AB129/I129,4)</f>
        <v>0.2619</v>
      </c>
      <c r="AK129" s="2" t="str">
        <f aca="false">IF(AND(AI129&gt;=750,AJ129&lt;=0.35),"Low",IF(AND(AI129&gt;=600,AJ129&lt;=0.5),"Medium","High"))</f>
        <v>Low</v>
      </c>
      <c r="AL129" s="3"/>
      <c r="AM129" s="2" t="s">
        <v>233</v>
      </c>
      <c r="AN129" s="2" t="s">
        <v>59</v>
      </c>
      <c r="AO129" s="2" t="s">
        <v>60</v>
      </c>
      <c r="AP129" s="7" t="n">
        <v>0.317</v>
      </c>
    </row>
    <row r="130" customFormat="false" ht="15" hidden="false" customHeight="false" outlineLevel="0" collapsed="false">
      <c r="A130" s="2" t="s">
        <v>667</v>
      </c>
      <c r="B130" s="2" t="s">
        <v>668</v>
      </c>
      <c r="C130" s="2" t="s">
        <v>223</v>
      </c>
      <c r="D130" s="2" t="s">
        <v>45</v>
      </c>
      <c r="E130" s="3" t="n">
        <v>42</v>
      </c>
      <c r="F130" s="2"/>
      <c r="G130" s="2" t="s">
        <v>207</v>
      </c>
      <c r="H130" s="2" t="s">
        <v>48</v>
      </c>
      <c r="I130" s="4" t="n">
        <v>61500</v>
      </c>
      <c r="J130" s="2" t="s">
        <v>49</v>
      </c>
      <c r="K130" s="3" t="n">
        <v>23</v>
      </c>
      <c r="L130" s="2" t="s">
        <v>590</v>
      </c>
      <c r="M130" s="2" t="s">
        <v>114</v>
      </c>
      <c r="N130" s="2" t="s">
        <v>81</v>
      </c>
      <c r="O130" s="3" t="n">
        <v>3</v>
      </c>
      <c r="P130" s="2" t="s">
        <v>115</v>
      </c>
      <c r="Q130" s="2" t="s">
        <v>116</v>
      </c>
      <c r="R130" s="2" t="s">
        <v>114</v>
      </c>
      <c r="S130" s="2" t="s">
        <v>114</v>
      </c>
      <c r="T130" s="2" t="s">
        <v>669</v>
      </c>
      <c r="U130" s="2" t="s">
        <v>72</v>
      </c>
      <c r="V130" s="4" t="n">
        <v>536000</v>
      </c>
      <c r="W130" s="5" t="n">
        <v>13.81</v>
      </c>
      <c r="X130" s="3" t="n">
        <v>48</v>
      </c>
      <c r="Y130" s="6" t="n">
        <v>46184</v>
      </c>
      <c r="Z130" s="6" t="n">
        <v>46188</v>
      </c>
      <c r="AA130" s="6" t="n">
        <v>46193</v>
      </c>
      <c r="AB130" s="4" t="n">
        <f aca="false">ROUND(PMT(W130/1200,X130,-V130),2)</f>
        <v>14595.96</v>
      </c>
      <c r="AC130" s="4" t="n">
        <v>691000</v>
      </c>
      <c r="AD130" s="3" t="n">
        <v>0</v>
      </c>
      <c r="AE130" s="4" t="n">
        <v>195300</v>
      </c>
      <c r="AF130" s="4" t="n">
        <v>75500</v>
      </c>
      <c r="AG130" s="3" t="n">
        <v>23</v>
      </c>
      <c r="AH130" s="4" t="n">
        <v>65500</v>
      </c>
      <c r="AI130" s="3" t="n">
        <v>798</v>
      </c>
      <c r="AJ130" s="7" t="n">
        <f aca="false">ROUND(AB130/I130,4)</f>
        <v>0.2373</v>
      </c>
      <c r="AK130" s="2" t="str">
        <f aca="false">IF(AND(AI130&gt;=750,AJ130&lt;=0.35),"Low",IF(AND(AI130&gt;=600,AJ130&lt;=0.5),"Medium","High"))</f>
        <v>Low</v>
      </c>
      <c r="AL130" s="3" t="n">
        <v>0</v>
      </c>
      <c r="AM130" s="2" t="s">
        <v>58</v>
      </c>
      <c r="AN130" s="2" t="s">
        <v>59</v>
      </c>
      <c r="AO130" s="2" t="s">
        <v>60</v>
      </c>
      <c r="AP130" s="7" t="n">
        <v>0.181</v>
      </c>
    </row>
    <row r="131" customFormat="false" ht="15" hidden="false" customHeight="false" outlineLevel="0" collapsed="false">
      <c r="A131" s="2" t="s">
        <v>670</v>
      </c>
      <c r="B131" s="2" t="s">
        <v>671</v>
      </c>
      <c r="C131" s="2" t="s">
        <v>672</v>
      </c>
      <c r="D131" s="2" t="s">
        <v>109</v>
      </c>
      <c r="E131" s="3" t="n">
        <v>35</v>
      </c>
      <c r="F131" s="2" t="s">
        <v>64</v>
      </c>
      <c r="G131" s="2" t="s">
        <v>207</v>
      </c>
      <c r="H131" s="2" t="s">
        <v>77</v>
      </c>
      <c r="I131" s="4" t="n">
        <v>41000</v>
      </c>
      <c r="J131" s="2" t="s">
        <v>49</v>
      </c>
      <c r="K131" s="3" t="n">
        <v>13</v>
      </c>
      <c r="L131" s="2" t="s">
        <v>139</v>
      </c>
      <c r="M131" s="2" t="s">
        <v>139</v>
      </c>
      <c r="N131" s="2" t="s">
        <v>140</v>
      </c>
      <c r="O131" s="3" t="n">
        <v>4</v>
      </c>
      <c r="P131" s="2" t="s">
        <v>197</v>
      </c>
      <c r="Q131" s="2" t="s">
        <v>198</v>
      </c>
      <c r="R131" s="2" t="s">
        <v>139</v>
      </c>
      <c r="S131" s="2" t="s">
        <v>139</v>
      </c>
      <c r="T131" s="2" t="s">
        <v>673</v>
      </c>
      <c r="U131" s="2" t="s">
        <v>57</v>
      </c>
      <c r="V131" s="4" t="n">
        <v>1394000</v>
      </c>
      <c r="W131" s="5" t="n">
        <v>9.43</v>
      </c>
      <c r="X131" s="3" t="n">
        <v>228</v>
      </c>
      <c r="Y131" s="6" t="n">
        <v>46188</v>
      </c>
      <c r="Z131" s="6" t="n">
        <v>46195</v>
      </c>
      <c r="AA131" s="6" t="n">
        <v>46201</v>
      </c>
      <c r="AB131" s="4" t="n">
        <f aca="false">ROUND(PMT(W131/1200,X131,-V131),2)</f>
        <v>13164.08</v>
      </c>
      <c r="AC131" s="4" t="n">
        <v>1898000</v>
      </c>
      <c r="AD131" s="3" t="n">
        <v>1</v>
      </c>
      <c r="AE131" s="4" t="n">
        <v>63500</v>
      </c>
      <c r="AF131" s="4" t="n">
        <v>17700</v>
      </c>
      <c r="AG131" s="3" t="n">
        <v>33</v>
      </c>
      <c r="AH131" s="4" t="n">
        <v>38700</v>
      </c>
      <c r="AI131" s="3" t="n">
        <v>900</v>
      </c>
      <c r="AJ131" s="7" t="n">
        <f aca="false">ROUND(AB131/I131,4)</f>
        <v>0.3211</v>
      </c>
      <c r="AK131" s="2" t="str">
        <f aca="false">IF(AND(AI131&gt;=750,AJ131&lt;=0.35),"Low",IF(AND(AI131&gt;=600,AJ131&lt;=0.5),"Medium","High"))</f>
        <v>Low</v>
      </c>
      <c r="AL131" s="3" t="n">
        <v>1</v>
      </c>
      <c r="AM131" s="2" t="s">
        <v>58</v>
      </c>
      <c r="AN131" s="2" t="s">
        <v>59</v>
      </c>
      <c r="AO131" s="2" t="s">
        <v>60</v>
      </c>
      <c r="AP131" s="7" t="n">
        <v>0.023</v>
      </c>
    </row>
    <row r="132" customFormat="false" ht="15" hidden="false" customHeight="false" outlineLevel="0" collapsed="false">
      <c r="A132" s="2" t="s">
        <v>674</v>
      </c>
      <c r="B132" s="2" t="s">
        <v>675</v>
      </c>
      <c r="C132" s="2" t="s">
        <v>676</v>
      </c>
      <c r="D132" s="2" t="s">
        <v>45</v>
      </c>
      <c r="E132" s="3" t="n">
        <v>28</v>
      </c>
      <c r="F132" s="2" t="s">
        <v>64</v>
      </c>
      <c r="G132" s="2" t="s">
        <v>65</v>
      </c>
      <c r="H132" s="2" t="s">
        <v>48</v>
      </c>
      <c r="I132" s="4" t="n">
        <v>30500</v>
      </c>
      <c r="J132" s="2" t="s">
        <v>49</v>
      </c>
      <c r="K132" s="3" t="n">
        <v>6</v>
      </c>
      <c r="L132" s="2" t="s">
        <v>211</v>
      </c>
      <c r="M132" s="2" t="s">
        <v>147</v>
      </c>
      <c r="N132" s="2" t="s">
        <v>140</v>
      </c>
      <c r="O132" s="3" t="n">
        <v>1</v>
      </c>
      <c r="P132" s="2" t="s">
        <v>209</v>
      </c>
      <c r="Q132" s="2" t="s">
        <v>210</v>
      </c>
      <c r="R132" s="2" t="s">
        <v>211</v>
      </c>
      <c r="S132" s="2" t="s">
        <v>147</v>
      </c>
      <c r="T132" s="2" t="s">
        <v>677</v>
      </c>
      <c r="U132" s="2" t="s">
        <v>192</v>
      </c>
      <c r="V132" s="4" t="n">
        <v>577000</v>
      </c>
      <c r="W132" s="5" t="n">
        <v>13.43</v>
      </c>
      <c r="X132" s="3" t="n">
        <v>66</v>
      </c>
      <c r="Y132" s="6" t="n">
        <v>46185</v>
      </c>
      <c r="Z132" s="6" t="n">
        <v>46193</v>
      </c>
      <c r="AA132" s="6" t="n">
        <v>46194</v>
      </c>
      <c r="AB132" s="4" t="n">
        <f aca="false">ROUND(PMT(W132/1200,X132,-V132),2)</f>
        <v>12411.82</v>
      </c>
      <c r="AC132" s="4" t="n">
        <v>767000</v>
      </c>
      <c r="AD132" s="3" t="n">
        <v>3</v>
      </c>
      <c r="AE132" s="4" t="n">
        <v>80800</v>
      </c>
      <c r="AF132" s="4" t="n">
        <v>11700</v>
      </c>
      <c r="AG132" s="3" t="n">
        <v>34</v>
      </c>
      <c r="AH132" s="4" t="n">
        <v>21000</v>
      </c>
      <c r="AI132" s="3" t="n">
        <v>732</v>
      </c>
      <c r="AJ132" s="7" t="n">
        <f aca="false">ROUND(AB132/I132,4)</f>
        <v>0.4069</v>
      </c>
      <c r="AK132" s="2" t="str">
        <f aca="false">IF(AND(AI132&gt;=750,AJ132&lt;=0.35),"Low",IF(AND(AI132&gt;=600,AJ132&lt;=0.5),"Medium","High"))</f>
        <v>Medium</v>
      </c>
      <c r="AL132" s="3" t="n">
        <v>0</v>
      </c>
      <c r="AM132" s="2" t="s">
        <v>58</v>
      </c>
      <c r="AN132" s="2" t="s">
        <v>59</v>
      </c>
      <c r="AO132" s="2" t="s">
        <v>60</v>
      </c>
      <c r="AP132" s="7" t="n">
        <v>0.217</v>
      </c>
    </row>
    <row r="133" customFormat="false" ht="15" hidden="false" customHeight="false" outlineLevel="0" collapsed="false">
      <c r="A133" s="2" t="s">
        <v>678</v>
      </c>
      <c r="B133" s="2" t="s">
        <v>679</v>
      </c>
      <c r="C133" s="2" t="s">
        <v>680</v>
      </c>
      <c r="D133" s="2" t="s">
        <v>45</v>
      </c>
      <c r="E133" s="3" t="n">
        <v>36</v>
      </c>
      <c r="F133" s="2" t="s">
        <v>64</v>
      </c>
      <c r="G133" s="2" t="s">
        <v>246</v>
      </c>
      <c r="H133" s="2" t="s">
        <v>111</v>
      </c>
      <c r="I133" s="4" t="n">
        <v>10500</v>
      </c>
      <c r="J133" s="2" t="s">
        <v>145</v>
      </c>
      <c r="K133" s="3" t="n">
        <v>14</v>
      </c>
      <c r="L133" s="2" t="s">
        <v>95</v>
      </c>
      <c r="M133" s="2" t="s">
        <v>92</v>
      </c>
      <c r="N133" s="2" t="s">
        <v>140</v>
      </c>
      <c r="O133" s="3" t="n">
        <v>1</v>
      </c>
      <c r="P133" s="2" t="s">
        <v>93</v>
      </c>
      <c r="Q133" s="2" t="s">
        <v>94</v>
      </c>
      <c r="R133" s="2" t="s">
        <v>95</v>
      </c>
      <c r="S133" s="2" t="s">
        <v>92</v>
      </c>
      <c r="T133" s="2" t="s">
        <v>681</v>
      </c>
      <c r="U133" s="2" t="s">
        <v>192</v>
      </c>
      <c r="V133" s="4" t="n">
        <v>200000</v>
      </c>
      <c r="W133" s="5" t="n">
        <v>14.28</v>
      </c>
      <c r="X133" s="3" t="n">
        <v>48</v>
      </c>
      <c r="Y133" s="6" t="n">
        <v>46177</v>
      </c>
      <c r="Z133" s="6" t="n">
        <v>46180</v>
      </c>
      <c r="AA133" s="6" t="n">
        <v>46185</v>
      </c>
      <c r="AB133" s="4" t="n">
        <f aca="false">ROUND(PMT(W133/1200,X133,-V133),2)</f>
        <v>5493.43</v>
      </c>
      <c r="AC133" s="4" t="n">
        <v>230000</v>
      </c>
      <c r="AD133" s="3" t="n">
        <v>0</v>
      </c>
      <c r="AE133" s="4" t="n">
        <v>34400</v>
      </c>
      <c r="AF133" s="4" t="n">
        <v>15600</v>
      </c>
      <c r="AG133" s="3" t="n">
        <v>16</v>
      </c>
      <c r="AH133" s="4" t="n">
        <v>3600</v>
      </c>
      <c r="AI133" s="3" t="n">
        <v>716</v>
      </c>
      <c r="AJ133" s="7" t="n">
        <f aca="false">ROUND(AB133/I133,4)</f>
        <v>0.5232</v>
      </c>
      <c r="AK133" s="2" t="str">
        <f aca="false">IF(AND(AI133&gt;=750,AJ133&lt;=0.35),"Low",IF(AND(AI133&gt;=600,AJ133&lt;=0.5),"Medium","High"))</f>
        <v>High</v>
      </c>
      <c r="AL133" s="3" t="n">
        <v>1</v>
      </c>
      <c r="AM133" s="2" t="s">
        <v>58</v>
      </c>
      <c r="AN133" s="2" t="s">
        <v>59</v>
      </c>
      <c r="AO133" s="2" t="s">
        <v>60</v>
      </c>
      <c r="AP133" s="7" t="n">
        <v>0.223</v>
      </c>
    </row>
    <row r="134" customFormat="false" ht="15" hidden="false" customHeight="false" outlineLevel="0" collapsed="false">
      <c r="A134" s="2" t="s">
        <v>682</v>
      </c>
      <c r="B134" s="2" t="s">
        <v>683</v>
      </c>
      <c r="C134" s="2" t="s">
        <v>88</v>
      </c>
      <c r="D134" s="2" t="s">
        <v>45</v>
      </c>
      <c r="E134" s="3" t="n">
        <v>36</v>
      </c>
      <c r="F134" s="2" t="s">
        <v>64</v>
      </c>
      <c r="G134" s="2" t="s">
        <v>207</v>
      </c>
      <c r="H134" s="2" t="s">
        <v>48</v>
      </c>
      <c r="I134" s="4" t="n">
        <v>43500</v>
      </c>
      <c r="J134" s="2" t="s">
        <v>49</v>
      </c>
      <c r="K134" s="3" t="n">
        <v>11</v>
      </c>
      <c r="L134" s="2" t="s">
        <v>590</v>
      </c>
      <c r="M134" s="2" t="s">
        <v>114</v>
      </c>
      <c r="N134" s="2"/>
      <c r="O134" s="3" t="n">
        <v>1</v>
      </c>
      <c r="P134" s="2" t="s">
        <v>115</v>
      </c>
      <c r="Q134" s="2" t="s">
        <v>116</v>
      </c>
      <c r="R134" s="2" t="s">
        <v>114</v>
      </c>
      <c r="S134" s="2" t="s">
        <v>114</v>
      </c>
      <c r="T134" s="2" t="s">
        <v>684</v>
      </c>
      <c r="U134" s="2" t="s">
        <v>85</v>
      </c>
      <c r="V134" s="4" t="n">
        <v>148000</v>
      </c>
      <c r="W134" s="5" t="n">
        <v>8.69</v>
      </c>
      <c r="X134" s="3" t="n">
        <v>12</v>
      </c>
      <c r="Y134" s="6" t="n">
        <v>46180</v>
      </c>
      <c r="Z134" s="6"/>
      <c r="AA134" s="6"/>
      <c r="AB134" s="4" t="n">
        <f aca="false">ROUND(PMT(W134/1200,X134,-V134),2)</f>
        <v>12921.55</v>
      </c>
      <c r="AC134" s="4" t="n">
        <v>0</v>
      </c>
      <c r="AD134" s="3" t="n">
        <v>0</v>
      </c>
      <c r="AE134" s="4" t="n">
        <v>113600</v>
      </c>
      <c r="AF134" s="4" t="n">
        <v>31700</v>
      </c>
      <c r="AG134" s="3" t="n">
        <v>28</v>
      </c>
      <c r="AH134" s="4" t="n">
        <v>35600</v>
      </c>
      <c r="AI134" s="3" t="n">
        <v>794</v>
      </c>
      <c r="AJ134" s="7" t="n">
        <f aca="false">ROUND(AB134/I134,4)</f>
        <v>0.297</v>
      </c>
      <c r="AK134" s="2" t="str">
        <f aca="false">IF(AND(AI134&gt;=750,AJ134&lt;=0.35),"Low",IF(AND(AI134&gt;=600,AJ134&lt;=0.5),"Medium","High"))</f>
        <v>Low</v>
      </c>
      <c r="AL134" s="3" t="n">
        <v>0</v>
      </c>
      <c r="AM134" s="2" t="s">
        <v>58</v>
      </c>
      <c r="AN134" s="2"/>
      <c r="AO134" s="2" t="s">
        <v>127</v>
      </c>
      <c r="AP134" s="7" t="n">
        <v>0.14</v>
      </c>
    </row>
    <row r="135" customFormat="false" ht="15" hidden="false" customHeight="false" outlineLevel="0" collapsed="false">
      <c r="A135" s="2" t="s">
        <v>685</v>
      </c>
      <c r="B135" s="2" t="s">
        <v>686</v>
      </c>
      <c r="C135" s="2" t="s">
        <v>687</v>
      </c>
      <c r="D135" s="2" t="s">
        <v>45</v>
      </c>
      <c r="E135" s="3" t="n">
        <v>21</v>
      </c>
      <c r="F135" s="2" t="s">
        <v>64</v>
      </c>
      <c r="G135" s="2" t="s">
        <v>76</v>
      </c>
      <c r="H135" s="2" t="s">
        <v>77</v>
      </c>
      <c r="I135" s="4" t="n">
        <v>33500</v>
      </c>
      <c r="J135" s="2" t="s">
        <v>78</v>
      </c>
      <c r="K135" s="3" t="n">
        <v>0</v>
      </c>
      <c r="L135" s="2" t="s">
        <v>252</v>
      </c>
      <c r="M135" s="2" t="s">
        <v>114</v>
      </c>
      <c r="N135" s="2" t="s">
        <v>52</v>
      </c>
      <c r="O135" s="3"/>
      <c r="P135" s="2" t="s">
        <v>115</v>
      </c>
      <c r="Q135" s="2" t="s">
        <v>116</v>
      </c>
      <c r="R135" s="2" t="s">
        <v>114</v>
      </c>
      <c r="S135" s="2" t="s">
        <v>114</v>
      </c>
      <c r="T135" s="2" t="s">
        <v>688</v>
      </c>
      <c r="U135" s="2" t="s">
        <v>118</v>
      </c>
      <c r="V135" s="4" t="n">
        <v>688000</v>
      </c>
      <c r="W135" s="5" t="n">
        <v>7.75</v>
      </c>
      <c r="X135" s="3" t="n">
        <v>66</v>
      </c>
      <c r="Y135" s="6" t="n">
        <v>46188</v>
      </c>
      <c r="Z135" s="6" t="n">
        <v>46196</v>
      </c>
      <c r="AA135" s="6" t="n">
        <v>46201</v>
      </c>
      <c r="AB135" s="4" t="n">
        <f aca="false">ROUND(PMT(W135/1200,X135,-V135),2)</f>
        <v>12836.39</v>
      </c>
      <c r="AC135" s="4" t="n">
        <v>0</v>
      </c>
      <c r="AD135" s="3" t="n">
        <v>1</v>
      </c>
      <c r="AE135" s="4" t="n">
        <v>50100</v>
      </c>
      <c r="AF135" s="4" t="n">
        <v>8400</v>
      </c>
      <c r="AG135" s="3" t="n">
        <v>3</v>
      </c>
      <c r="AH135" s="4" t="n">
        <v>26900</v>
      </c>
      <c r="AI135" s="3" t="n">
        <v>771</v>
      </c>
      <c r="AJ135" s="7" t="n">
        <f aca="false">ROUND(AB135/I135,4)</f>
        <v>0.3832</v>
      </c>
      <c r="AK135" s="2" t="str">
        <f aca="false">IF(AND(AI135&gt;=750,AJ135&lt;=0.35),"Low",IF(AND(AI135&gt;=600,AJ135&lt;=0.5),"Medium","High"))</f>
        <v>Medium</v>
      </c>
      <c r="AL135" s="3" t="n">
        <v>2</v>
      </c>
      <c r="AM135" s="2" t="s">
        <v>58</v>
      </c>
      <c r="AN135" s="2" t="s">
        <v>59</v>
      </c>
      <c r="AO135" s="2" t="s">
        <v>60</v>
      </c>
      <c r="AP135" s="7" t="n">
        <v>0.186</v>
      </c>
    </row>
    <row r="136" customFormat="false" ht="15" hidden="false" customHeight="false" outlineLevel="0" collapsed="false">
      <c r="A136" s="2" t="s">
        <v>689</v>
      </c>
      <c r="B136" s="2" t="s">
        <v>690</v>
      </c>
      <c r="C136" s="2" t="s">
        <v>691</v>
      </c>
      <c r="D136" s="2" t="s">
        <v>45</v>
      </c>
      <c r="E136" s="3" t="n">
        <v>31</v>
      </c>
      <c r="F136" s="2" t="s">
        <v>434</v>
      </c>
      <c r="G136" s="2" t="s">
        <v>76</v>
      </c>
      <c r="H136" s="2" t="s">
        <v>101</v>
      </c>
      <c r="I136" s="4" t="n">
        <v>55000</v>
      </c>
      <c r="J136" s="2" t="s">
        <v>78</v>
      </c>
      <c r="K136" s="3" t="n">
        <v>8</v>
      </c>
      <c r="L136" s="2" t="s">
        <v>241</v>
      </c>
      <c r="M136" s="2" t="s">
        <v>92</v>
      </c>
      <c r="N136" s="2" t="s">
        <v>81</v>
      </c>
      <c r="O136" s="3" t="n">
        <v>0</v>
      </c>
      <c r="P136" s="2" t="s">
        <v>124</v>
      </c>
      <c r="Q136" s="2" t="s">
        <v>125</v>
      </c>
      <c r="R136" s="2" t="s">
        <v>91</v>
      </c>
      <c r="S136" s="2" t="s">
        <v>92</v>
      </c>
      <c r="T136" s="2" t="s">
        <v>692</v>
      </c>
      <c r="U136" s="2" t="s">
        <v>97</v>
      </c>
      <c r="V136" s="4" t="n">
        <v>316000</v>
      </c>
      <c r="W136" s="5" t="n">
        <v>11.77</v>
      </c>
      <c r="X136" s="3" t="n">
        <v>30</v>
      </c>
      <c r="Y136" s="6" t="n">
        <v>46201</v>
      </c>
      <c r="Z136" s="6"/>
      <c r="AA136" s="6"/>
      <c r="AB136" s="4" t="n">
        <f aca="false">ROUND(PMT(W136/1200,X136,-V136),2)</f>
        <v>12210.15</v>
      </c>
      <c r="AC136" s="4" t="n">
        <v>0</v>
      </c>
      <c r="AD136" s="3" t="n">
        <v>1</v>
      </c>
      <c r="AE136" s="4" t="n">
        <v>87800</v>
      </c>
      <c r="AF136" s="4" t="n">
        <v>43400</v>
      </c>
      <c r="AG136" s="3" t="n">
        <v>21</v>
      </c>
      <c r="AH136" s="4" t="n">
        <v>55700</v>
      </c>
      <c r="AI136" s="3" t="n">
        <v>794</v>
      </c>
      <c r="AJ136" s="7" t="n">
        <f aca="false">ROUND(AB136/I136,4)</f>
        <v>0.222</v>
      </c>
      <c r="AK136" s="2" t="str">
        <f aca="false">IF(AND(AI136&gt;=750,AJ136&lt;=0.35),"Low",IF(AND(AI136&gt;=600,AJ136&lt;=0.5),"Medium","High"))</f>
        <v>Low</v>
      </c>
      <c r="AL136" s="3" t="n">
        <v>0</v>
      </c>
      <c r="AM136" s="2" t="s">
        <v>58</v>
      </c>
      <c r="AN136" s="2"/>
      <c r="AO136" s="2" t="s">
        <v>127</v>
      </c>
      <c r="AP136" s="7" t="n">
        <v>0.166</v>
      </c>
    </row>
    <row r="137" customFormat="false" ht="15" hidden="false" customHeight="false" outlineLevel="0" collapsed="false">
      <c r="A137" s="2" t="s">
        <v>693</v>
      </c>
      <c r="B137" s="2" t="s">
        <v>694</v>
      </c>
      <c r="C137" s="2" t="s">
        <v>695</v>
      </c>
      <c r="D137" s="2" t="s">
        <v>109</v>
      </c>
      <c r="E137" s="3" t="n">
        <v>47</v>
      </c>
      <c r="F137" s="2" t="s">
        <v>64</v>
      </c>
      <c r="G137" s="2" t="s">
        <v>246</v>
      </c>
      <c r="H137" s="2" t="s">
        <v>111</v>
      </c>
      <c r="I137" s="4" t="n">
        <v>14500</v>
      </c>
      <c r="J137" s="2" t="s">
        <v>145</v>
      </c>
      <c r="K137" s="3"/>
      <c r="L137" s="2" t="s">
        <v>416</v>
      </c>
      <c r="M137" s="2" t="s">
        <v>147</v>
      </c>
      <c r="N137" s="2" t="s">
        <v>140</v>
      </c>
      <c r="O137" s="3" t="n">
        <v>2</v>
      </c>
      <c r="P137" s="2" t="s">
        <v>148</v>
      </c>
      <c r="Q137" s="2" t="s">
        <v>149</v>
      </c>
      <c r="R137" s="2" t="s">
        <v>147</v>
      </c>
      <c r="S137" s="2" t="s">
        <v>147</v>
      </c>
      <c r="T137" s="2" t="s">
        <v>696</v>
      </c>
      <c r="U137" s="2" t="s">
        <v>85</v>
      </c>
      <c r="V137" s="4" t="n">
        <v>52000</v>
      </c>
      <c r="W137" s="5" t="n">
        <v>7.6</v>
      </c>
      <c r="X137" s="3" t="n">
        <v>24</v>
      </c>
      <c r="Y137" s="6" t="n">
        <v>46179</v>
      </c>
      <c r="Z137" s="6" t="n">
        <v>46184</v>
      </c>
      <c r="AA137" s="6" t="n">
        <v>46187</v>
      </c>
      <c r="AB137" s="4" t="n">
        <f aca="false">ROUND(PMT(W137/1200,X137,-V137),2)</f>
        <v>2342.34</v>
      </c>
      <c r="AC137" s="4"/>
      <c r="AD137" s="3" t="n">
        <v>1</v>
      </c>
      <c r="AE137" s="4" t="n">
        <v>45900</v>
      </c>
      <c r="AF137" s="4" t="n">
        <v>26400</v>
      </c>
      <c r="AG137" s="3" t="n">
        <v>28</v>
      </c>
      <c r="AH137" s="4" t="n">
        <v>12500</v>
      </c>
      <c r="AI137" s="3" t="n">
        <v>860</v>
      </c>
      <c r="AJ137" s="7" t="n">
        <f aca="false">ROUND(AB137/I137,4)</f>
        <v>0.1615</v>
      </c>
      <c r="AK137" s="2" t="str">
        <f aca="false">IF(AND(AI137&gt;=750,AJ137&lt;=0.35),"Low",IF(AND(AI137&gt;=600,AJ137&lt;=0.5),"Medium","High"))</f>
        <v>Low</v>
      </c>
      <c r="AL137" s="3" t="n">
        <v>1</v>
      </c>
      <c r="AM137" s="2" t="s">
        <v>58</v>
      </c>
      <c r="AN137" s="2" t="s">
        <v>59</v>
      </c>
      <c r="AO137" s="2" t="s">
        <v>60</v>
      </c>
      <c r="AP137" s="7" t="n">
        <v>0.099</v>
      </c>
    </row>
    <row r="138" customFormat="false" ht="15" hidden="false" customHeight="false" outlineLevel="0" collapsed="false">
      <c r="A138" s="2" t="s">
        <v>697</v>
      </c>
      <c r="B138" s="2" t="s">
        <v>698</v>
      </c>
      <c r="C138" s="2" t="s">
        <v>584</v>
      </c>
      <c r="D138" s="2" t="s">
        <v>109</v>
      </c>
      <c r="E138" s="3" t="n">
        <v>31</v>
      </c>
      <c r="F138" s="2" t="s">
        <v>46</v>
      </c>
      <c r="G138" s="2"/>
      <c r="H138" s="2" t="s">
        <v>123</v>
      </c>
      <c r="I138" s="4" t="n">
        <v>11500</v>
      </c>
      <c r="J138" s="2" t="s">
        <v>112</v>
      </c>
      <c r="K138" s="3" t="n">
        <v>9</v>
      </c>
      <c r="L138" s="2" t="s">
        <v>114</v>
      </c>
      <c r="M138" s="2" t="s">
        <v>114</v>
      </c>
      <c r="N138" s="2" t="s">
        <v>140</v>
      </c>
      <c r="O138" s="3" t="n">
        <v>1</v>
      </c>
      <c r="P138" s="2" t="s">
        <v>103</v>
      </c>
      <c r="Q138" s="2" t="s">
        <v>104</v>
      </c>
      <c r="R138" s="2" t="s">
        <v>67</v>
      </c>
      <c r="S138" s="2" t="s">
        <v>67</v>
      </c>
      <c r="T138" s="2" t="s">
        <v>699</v>
      </c>
      <c r="U138" s="2" t="s">
        <v>72</v>
      </c>
      <c r="V138" s="4" t="n">
        <v>300000</v>
      </c>
      <c r="W138" s="5" t="n">
        <v>13.68</v>
      </c>
      <c r="X138" s="3" t="n">
        <v>24</v>
      </c>
      <c r="Y138" s="6" t="n">
        <v>46195</v>
      </c>
      <c r="Z138" s="6" t="n">
        <v>46198</v>
      </c>
      <c r="AA138" s="6" t="n">
        <v>46203</v>
      </c>
      <c r="AB138" s="4" t="n">
        <f aca="false">ROUND(PMT(W138/1200,X138,-V138),2)</f>
        <v>14358.55</v>
      </c>
      <c r="AC138" s="4" t="n">
        <v>355000</v>
      </c>
      <c r="AD138" s="3" t="n">
        <v>0</v>
      </c>
      <c r="AE138" s="4" t="n">
        <v>36600</v>
      </c>
      <c r="AF138" s="4" t="n">
        <v>11300</v>
      </c>
      <c r="AG138" s="3" t="n">
        <v>25</v>
      </c>
      <c r="AH138" s="4" t="n">
        <v>11000</v>
      </c>
      <c r="AI138" s="3" t="n">
        <v>743</v>
      </c>
      <c r="AJ138" s="7" t="n">
        <f aca="false">ROUND(AB138/I138,4)</f>
        <v>1.2486</v>
      </c>
      <c r="AK138" s="2" t="str">
        <f aca="false">IF(AND(AI138&gt;=750,AJ138&lt;=0.35),"Low",IF(AND(AI138&gt;=600,AJ138&lt;=0.5),"Medium","High"))</f>
        <v>High</v>
      </c>
      <c r="AL138" s="3" t="n">
        <v>1</v>
      </c>
      <c r="AM138" s="2" t="s">
        <v>58</v>
      </c>
      <c r="AN138" s="2" t="s">
        <v>119</v>
      </c>
      <c r="AO138" s="2" t="s">
        <v>60</v>
      </c>
      <c r="AP138" s="7" t="n">
        <v>0.178</v>
      </c>
    </row>
    <row r="139" customFormat="false" ht="15" hidden="false" customHeight="false" outlineLevel="0" collapsed="false">
      <c r="A139" s="2" t="s">
        <v>700</v>
      </c>
      <c r="B139" s="2" t="s">
        <v>701</v>
      </c>
      <c r="C139" s="2" t="s">
        <v>702</v>
      </c>
      <c r="D139" s="2" t="s">
        <v>45</v>
      </c>
      <c r="E139" s="3" t="n">
        <v>33</v>
      </c>
      <c r="F139" s="2" t="s">
        <v>46</v>
      </c>
      <c r="G139" s="2" t="s">
        <v>65</v>
      </c>
      <c r="H139" s="2" t="s">
        <v>101</v>
      </c>
      <c r="I139" s="4" t="n">
        <v>52000</v>
      </c>
      <c r="J139" s="2" t="s">
        <v>49</v>
      </c>
      <c r="K139" s="3" t="n">
        <v>5</v>
      </c>
      <c r="L139" s="2" t="s">
        <v>55</v>
      </c>
      <c r="M139" s="2" t="s">
        <v>51</v>
      </c>
      <c r="N139" s="2" t="s">
        <v>52</v>
      </c>
      <c r="O139" s="3" t="n">
        <v>0</v>
      </c>
      <c r="P139" s="2" t="s">
        <v>131</v>
      </c>
      <c r="Q139" s="2" t="s">
        <v>132</v>
      </c>
      <c r="R139" s="2" t="s">
        <v>51</v>
      </c>
      <c r="S139" s="2" t="s">
        <v>51</v>
      </c>
      <c r="T139" s="2" t="s">
        <v>703</v>
      </c>
      <c r="U139" s="2" t="s">
        <v>97</v>
      </c>
      <c r="V139" s="4" t="n">
        <v>662000</v>
      </c>
      <c r="W139" s="5" t="n">
        <v>12.19</v>
      </c>
      <c r="X139" s="3" t="n">
        <v>42</v>
      </c>
      <c r="Y139" s="6" t="n">
        <v>46197</v>
      </c>
      <c r="Z139" s="6" t="n">
        <v>46205</v>
      </c>
      <c r="AA139" s="6" t="n">
        <v>46211</v>
      </c>
      <c r="AB139" s="4" t="n">
        <f aca="false">ROUND(PMT(W139/1200,X139,-V139),2)</f>
        <v>19441.41</v>
      </c>
      <c r="AC139" s="4" t="n">
        <v>0</v>
      </c>
      <c r="AD139" s="3" t="n">
        <v>0</v>
      </c>
      <c r="AE139" s="4" t="n">
        <v>143400</v>
      </c>
      <c r="AF139" s="4" t="n">
        <v>42700</v>
      </c>
      <c r="AG139" s="3"/>
      <c r="AH139" s="4" t="n">
        <v>45300</v>
      </c>
      <c r="AI139" s="3" t="n">
        <v>698</v>
      </c>
      <c r="AJ139" s="7" t="n">
        <f aca="false">ROUND(AB139/I139,4)</f>
        <v>0.3739</v>
      </c>
      <c r="AK139" s="2" t="str">
        <f aca="false">IF(AND(AI139&gt;=750,AJ139&lt;=0.35),"Low",IF(AND(AI139&gt;=600,AJ139&lt;=0.5),"Medium","High"))</f>
        <v>Medium</v>
      </c>
      <c r="AL139" s="3" t="n">
        <v>2</v>
      </c>
      <c r="AM139" s="2" t="s">
        <v>58</v>
      </c>
      <c r="AN139" s="2" t="s">
        <v>59</v>
      </c>
      <c r="AO139" s="2" t="s">
        <v>60</v>
      </c>
      <c r="AP139" s="7" t="n">
        <v>0.219</v>
      </c>
    </row>
    <row r="140" customFormat="false" ht="15" hidden="false" customHeight="false" outlineLevel="0" collapsed="false">
      <c r="A140" s="2" t="s">
        <v>704</v>
      </c>
      <c r="B140" s="2" t="s">
        <v>705</v>
      </c>
      <c r="C140" s="2" t="s">
        <v>706</v>
      </c>
      <c r="D140" s="2" t="s">
        <v>45</v>
      </c>
      <c r="E140" s="3" t="n">
        <v>40</v>
      </c>
      <c r="F140" s="2" t="s">
        <v>64</v>
      </c>
      <c r="G140" s="2" t="s">
        <v>176</v>
      </c>
      <c r="H140" s="2" t="s">
        <v>48</v>
      </c>
      <c r="I140" s="4" t="n">
        <v>83000</v>
      </c>
      <c r="J140" s="2" t="s">
        <v>177</v>
      </c>
      <c r="K140" s="3" t="n">
        <v>17</v>
      </c>
      <c r="L140" s="2" t="s">
        <v>208</v>
      </c>
      <c r="M140" s="2" t="s">
        <v>114</v>
      </c>
      <c r="N140" s="2" t="s">
        <v>81</v>
      </c>
      <c r="O140" s="3"/>
      <c r="P140" s="2" t="s">
        <v>115</v>
      </c>
      <c r="Q140" s="2" t="s">
        <v>116</v>
      </c>
      <c r="R140" s="2" t="s">
        <v>114</v>
      </c>
      <c r="S140" s="2" t="s">
        <v>114</v>
      </c>
      <c r="T140" s="2" t="s">
        <v>707</v>
      </c>
      <c r="U140" s="2" t="s">
        <v>85</v>
      </c>
      <c r="V140" s="4" t="n">
        <v>105000</v>
      </c>
      <c r="W140" s="5" t="n">
        <v>9.92</v>
      </c>
      <c r="X140" s="3" t="n">
        <v>6</v>
      </c>
      <c r="Y140" s="6" t="n">
        <v>46175</v>
      </c>
      <c r="Z140" s="6" t="n">
        <v>46183</v>
      </c>
      <c r="AA140" s="6" t="n">
        <v>46184</v>
      </c>
      <c r="AB140" s="4" t="n">
        <f aca="false">ROUND(PMT(W140/1200,X140,-V140),2)</f>
        <v>18009.81</v>
      </c>
      <c r="AC140" s="4" t="n">
        <v>0</v>
      </c>
      <c r="AD140" s="3" t="n">
        <v>0</v>
      </c>
      <c r="AE140" s="4" t="n">
        <v>47100</v>
      </c>
      <c r="AF140" s="4" t="n">
        <v>7600</v>
      </c>
      <c r="AG140" s="3" t="n">
        <v>12</v>
      </c>
      <c r="AH140" s="4" t="n">
        <v>52400</v>
      </c>
      <c r="AI140" s="3" t="n">
        <v>733</v>
      </c>
      <c r="AJ140" s="7" t="n">
        <f aca="false">ROUND(AB140/I140,4)</f>
        <v>0.217</v>
      </c>
      <c r="AK140" s="2" t="str">
        <f aca="false">IF(AND(AI140&gt;=750,AJ140&lt;=0.35),"Low",IF(AND(AI140&gt;=600,AJ140&lt;=0.5),"Medium","High"))</f>
        <v>Medium</v>
      </c>
      <c r="AL140" s="3" t="n">
        <v>0</v>
      </c>
      <c r="AM140" s="2" t="s">
        <v>58</v>
      </c>
      <c r="AN140" s="2" t="s">
        <v>59</v>
      </c>
      <c r="AO140" s="2" t="s">
        <v>60</v>
      </c>
      <c r="AP140" s="7" t="n">
        <v>0.132</v>
      </c>
    </row>
    <row r="141" customFormat="false" ht="15" hidden="false" customHeight="false" outlineLevel="0" collapsed="false">
      <c r="A141" s="2" t="s">
        <v>708</v>
      </c>
      <c r="B141" s="2" t="s">
        <v>709</v>
      </c>
      <c r="C141" s="2" t="s">
        <v>335</v>
      </c>
      <c r="D141" s="2" t="s">
        <v>109</v>
      </c>
      <c r="E141" s="3" t="n">
        <v>21</v>
      </c>
      <c r="F141" s="2" t="s">
        <v>175</v>
      </c>
      <c r="G141" s="2" t="s">
        <v>145</v>
      </c>
      <c r="H141" s="2" t="s">
        <v>77</v>
      </c>
      <c r="I141" s="4" t="n">
        <v>29500</v>
      </c>
      <c r="J141" s="2" t="s">
        <v>145</v>
      </c>
      <c r="K141" s="3" t="n">
        <v>0</v>
      </c>
      <c r="L141" s="2" t="s">
        <v>208</v>
      </c>
      <c r="M141" s="2" t="s">
        <v>114</v>
      </c>
      <c r="N141" s="2" t="s">
        <v>52</v>
      </c>
      <c r="O141" s="3" t="n">
        <v>0</v>
      </c>
      <c r="P141" s="2" t="s">
        <v>169</v>
      </c>
      <c r="Q141" s="2" t="s">
        <v>170</v>
      </c>
      <c r="R141" s="2" t="s">
        <v>92</v>
      </c>
      <c r="S141" s="2" t="s">
        <v>92</v>
      </c>
      <c r="T141" s="2" t="s">
        <v>710</v>
      </c>
      <c r="U141" s="2" t="s">
        <v>118</v>
      </c>
      <c r="V141" s="4" t="n">
        <v>485000</v>
      </c>
      <c r="W141" s="5" t="n">
        <v>9.72</v>
      </c>
      <c r="X141" s="3" t="n">
        <v>66</v>
      </c>
      <c r="Y141" s="6" t="n">
        <v>46179</v>
      </c>
      <c r="Z141" s="6" t="n">
        <v>46184</v>
      </c>
      <c r="AA141" s="6" t="n">
        <v>46190</v>
      </c>
      <c r="AB141" s="4" t="n">
        <f aca="false">ROUND(PMT(W141/1200,X141,-V141),2)</f>
        <v>9515.95</v>
      </c>
      <c r="AC141" s="4" t="n">
        <v>0</v>
      </c>
      <c r="AD141" s="3" t="n">
        <v>1</v>
      </c>
      <c r="AE141" s="4" t="n">
        <v>27700</v>
      </c>
      <c r="AF141" s="4" t="n">
        <v>3000</v>
      </c>
      <c r="AG141" s="3" t="n">
        <v>28</v>
      </c>
      <c r="AH141" s="4" t="n">
        <v>27000</v>
      </c>
      <c r="AI141" s="3" t="n">
        <v>739</v>
      </c>
      <c r="AJ141" s="7" t="n">
        <f aca="false">ROUND(AB141/I141,4)</f>
        <v>0.3226</v>
      </c>
      <c r="AK141" s="2" t="str">
        <f aca="false">IF(AND(AI141&gt;=750,AJ141&lt;=0.35),"Low",IF(AND(AI141&gt;=600,AJ141&lt;=0.5),"Medium","High"))</f>
        <v>Medium</v>
      </c>
      <c r="AL141" s="3" t="n">
        <v>2</v>
      </c>
      <c r="AM141" s="2" t="s">
        <v>58</v>
      </c>
      <c r="AN141" s="2" t="s">
        <v>119</v>
      </c>
      <c r="AO141" s="2" t="s">
        <v>60</v>
      </c>
      <c r="AP141" s="7" t="n">
        <v>0.234</v>
      </c>
    </row>
    <row r="142" customFormat="false" ht="15" hidden="false" customHeight="false" outlineLevel="0" collapsed="false">
      <c r="A142" s="2" t="s">
        <v>711</v>
      </c>
      <c r="B142" s="2" t="s">
        <v>712</v>
      </c>
      <c r="C142" s="2" t="s">
        <v>713</v>
      </c>
      <c r="D142" s="2" t="s">
        <v>45</v>
      </c>
      <c r="E142" s="3" t="n">
        <v>35</v>
      </c>
      <c r="F142" s="2" t="s">
        <v>64</v>
      </c>
      <c r="G142" s="2" t="s">
        <v>166</v>
      </c>
      <c r="H142" s="2" t="s">
        <v>101</v>
      </c>
      <c r="I142" s="4" t="n">
        <v>177000</v>
      </c>
      <c r="J142" s="2" t="s">
        <v>145</v>
      </c>
      <c r="K142" s="3" t="n">
        <v>17</v>
      </c>
      <c r="L142" s="2" t="s">
        <v>211</v>
      </c>
      <c r="M142" s="2" t="s">
        <v>147</v>
      </c>
      <c r="N142" s="2" t="s">
        <v>140</v>
      </c>
      <c r="O142" s="3" t="n">
        <v>1</v>
      </c>
      <c r="P142" s="2" t="s">
        <v>209</v>
      </c>
      <c r="Q142" s="2" t="s">
        <v>210</v>
      </c>
      <c r="R142" s="2" t="s">
        <v>211</v>
      </c>
      <c r="S142" s="2" t="s">
        <v>147</v>
      </c>
      <c r="T142" s="2" t="s">
        <v>714</v>
      </c>
      <c r="U142" s="2" t="s">
        <v>72</v>
      </c>
      <c r="V142" s="4" t="n">
        <v>2663000</v>
      </c>
      <c r="W142" s="5" t="n">
        <v>11.38</v>
      </c>
      <c r="X142" s="3" t="n">
        <v>36</v>
      </c>
      <c r="Y142" s="6" t="n">
        <v>46187</v>
      </c>
      <c r="Z142" s="6" t="n">
        <v>46195</v>
      </c>
      <c r="AA142" s="6" t="n">
        <v>46196</v>
      </c>
      <c r="AB142" s="4" t="n">
        <f aca="false">ROUND(PMT(W142/1200,X142,-V142),2)</f>
        <v>87663.2</v>
      </c>
      <c r="AC142" s="4" t="n">
        <v>3524000</v>
      </c>
      <c r="AD142" s="3" t="n">
        <v>0</v>
      </c>
      <c r="AE142" s="4" t="n">
        <v>372200</v>
      </c>
      <c r="AF142" s="4" t="n">
        <v>111300</v>
      </c>
      <c r="AG142" s="3" t="n">
        <v>37</v>
      </c>
      <c r="AH142" s="4" t="n">
        <v>96000</v>
      </c>
      <c r="AI142" s="3" t="n">
        <v>751</v>
      </c>
      <c r="AJ142" s="7" t="n">
        <f aca="false">ROUND(AB142/I142,4)</f>
        <v>0.4953</v>
      </c>
      <c r="AK142" s="2" t="str">
        <f aca="false">IF(AND(AI142&gt;=750,AJ142&lt;=0.35),"Low",IF(AND(AI142&gt;=600,AJ142&lt;=0.5),"Medium","High"))</f>
        <v>Medium</v>
      </c>
      <c r="AL142" s="3" t="n">
        <v>1</v>
      </c>
      <c r="AM142" s="2" t="s">
        <v>58</v>
      </c>
      <c r="AN142" s="2" t="s">
        <v>59</v>
      </c>
      <c r="AO142" s="2" t="s">
        <v>86</v>
      </c>
      <c r="AP142" s="7" t="n">
        <v>0.218</v>
      </c>
    </row>
    <row r="143" customFormat="false" ht="15" hidden="false" customHeight="false" outlineLevel="0" collapsed="false">
      <c r="A143" s="2" t="s">
        <v>715</v>
      </c>
      <c r="B143" s="2" t="s">
        <v>716</v>
      </c>
      <c r="C143" s="2" t="s">
        <v>717</v>
      </c>
      <c r="D143" s="2" t="s">
        <v>109</v>
      </c>
      <c r="E143" s="3" t="n">
        <v>36</v>
      </c>
      <c r="F143" s="2" t="s">
        <v>46</v>
      </c>
      <c r="G143" s="2" t="s">
        <v>110</v>
      </c>
      <c r="H143" s="2" t="s">
        <v>123</v>
      </c>
      <c r="I143" s="4" t="n">
        <v>8500</v>
      </c>
      <c r="J143" s="2" t="s">
        <v>112</v>
      </c>
      <c r="K143" s="3" t="n">
        <v>17</v>
      </c>
      <c r="L143" s="2" t="s">
        <v>569</v>
      </c>
      <c r="M143" s="2" t="s">
        <v>67</v>
      </c>
      <c r="N143" s="2" t="s">
        <v>140</v>
      </c>
      <c r="O143" s="3" t="n">
        <v>1</v>
      </c>
      <c r="P143" s="2" t="s">
        <v>197</v>
      </c>
      <c r="Q143" s="2" t="s">
        <v>198</v>
      </c>
      <c r="R143" s="2" t="s">
        <v>139</v>
      </c>
      <c r="S143" s="2" t="s">
        <v>139</v>
      </c>
      <c r="T143" s="2" t="s">
        <v>718</v>
      </c>
      <c r="U143" s="2" t="s">
        <v>57</v>
      </c>
      <c r="V143" s="4" t="n">
        <v>800000</v>
      </c>
      <c r="W143" s="5" t="n">
        <v>9.45</v>
      </c>
      <c r="X143" s="3" t="n">
        <v>114</v>
      </c>
      <c r="Y143" s="6" t="n">
        <v>46180</v>
      </c>
      <c r="Z143" s="6"/>
      <c r="AA143" s="6"/>
      <c r="AB143" s="4" t="n">
        <f aca="false">ROUND(PMT(W143/1200,X143,-V143),2)</f>
        <v>10658.47</v>
      </c>
      <c r="AC143" s="4" t="n">
        <v>878000</v>
      </c>
      <c r="AD143" s="3" t="n">
        <v>0</v>
      </c>
      <c r="AE143" s="4" t="n">
        <v>27500</v>
      </c>
      <c r="AF143" s="4" t="n">
        <v>10700</v>
      </c>
      <c r="AG143" s="3" t="n">
        <v>14</v>
      </c>
      <c r="AH143" s="4" t="n">
        <v>3500</v>
      </c>
      <c r="AI143" s="3" t="n">
        <v>760</v>
      </c>
      <c r="AJ143" s="7" t="n">
        <f aca="false">ROUND(AB143/I143,4)</f>
        <v>1.2539</v>
      </c>
      <c r="AK143" s="2" t="str">
        <f aca="false">IF(AND(AI143&gt;=750,AJ143&lt;=0.35),"Low",IF(AND(AI143&gt;=600,AJ143&lt;=0.5),"Medium","High"))</f>
        <v>High</v>
      </c>
      <c r="AL143" s="3" t="n">
        <v>0</v>
      </c>
      <c r="AM143" s="2" t="s">
        <v>58</v>
      </c>
      <c r="AN143" s="2"/>
      <c r="AO143" s="2" t="s">
        <v>127</v>
      </c>
      <c r="AP143" s="7" t="n">
        <v>0.182</v>
      </c>
    </row>
    <row r="144" customFormat="false" ht="15" hidden="false" customHeight="false" outlineLevel="0" collapsed="false">
      <c r="A144" s="2" t="s">
        <v>719</v>
      </c>
      <c r="B144" s="2" t="s">
        <v>720</v>
      </c>
      <c r="C144" s="2" t="s">
        <v>721</v>
      </c>
      <c r="D144" s="2" t="s">
        <v>109</v>
      </c>
      <c r="E144" s="3" t="n">
        <v>43</v>
      </c>
      <c r="F144" s="2"/>
      <c r="G144" s="2" t="s">
        <v>90</v>
      </c>
      <c r="H144" s="2" t="s">
        <v>48</v>
      </c>
      <c r="I144" s="4" t="n">
        <v>47500</v>
      </c>
      <c r="J144" s="2" t="s">
        <v>90</v>
      </c>
      <c r="K144" s="3" t="n">
        <v>22</v>
      </c>
      <c r="L144" s="2" t="s">
        <v>95</v>
      </c>
      <c r="M144" s="2" t="s">
        <v>92</v>
      </c>
      <c r="N144" s="2" t="s">
        <v>52</v>
      </c>
      <c r="O144" s="3" t="n">
        <v>2</v>
      </c>
      <c r="P144" s="2" t="s">
        <v>124</v>
      </c>
      <c r="Q144" s="2" t="s">
        <v>125</v>
      </c>
      <c r="R144" s="2" t="s">
        <v>91</v>
      </c>
      <c r="S144" s="2" t="s">
        <v>92</v>
      </c>
      <c r="T144" s="2" t="s">
        <v>722</v>
      </c>
      <c r="U144" s="2" t="s">
        <v>97</v>
      </c>
      <c r="V144" s="4" t="n">
        <v>296000</v>
      </c>
      <c r="W144" s="5" t="n">
        <v>11.74</v>
      </c>
      <c r="X144" s="3" t="n">
        <v>18</v>
      </c>
      <c r="Y144" s="6" t="n">
        <v>46193</v>
      </c>
      <c r="Z144" s="6"/>
      <c r="AA144" s="6"/>
      <c r="AB144" s="4" t="n">
        <f aca="false">ROUND(PMT(W144/1200,X144,-V144),2)</f>
        <v>18014.96</v>
      </c>
      <c r="AC144" s="4"/>
      <c r="AD144" s="3" t="n">
        <v>0</v>
      </c>
      <c r="AE144" s="4" t="n">
        <v>183000</v>
      </c>
      <c r="AF144" s="4" t="n">
        <v>66800</v>
      </c>
      <c r="AG144" s="3" t="n">
        <v>25</v>
      </c>
      <c r="AH144" s="4" t="n">
        <v>23400</v>
      </c>
      <c r="AI144" s="3" t="n">
        <v>730</v>
      </c>
      <c r="AJ144" s="7" t="n">
        <f aca="false">ROUND(AB144/I144,4)</f>
        <v>0.3793</v>
      </c>
      <c r="AK144" s="2" t="str">
        <f aca="false">IF(AND(AI144&gt;=750,AJ144&lt;=0.35),"Low",IF(AND(AI144&gt;=600,AJ144&lt;=0.5),"Medium","High"))</f>
        <v>Medium</v>
      </c>
      <c r="AL144" s="3" t="n">
        <v>2</v>
      </c>
      <c r="AM144" s="2" t="s">
        <v>58</v>
      </c>
      <c r="AN144" s="2"/>
      <c r="AO144" s="2" t="s">
        <v>127</v>
      </c>
      <c r="AP144" s="7" t="n">
        <v>0.181</v>
      </c>
    </row>
    <row r="145" customFormat="false" ht="15" hidden="false" customHeight="false" outlineLevel="0" collapsed="false">
      <c r="A145" s="2" t="s">
        <v>723</v>
      </c>
      <c r="B145" s="2" t="s">
        <v>724</v>
      </c>
      <c r="C145" s="2" t="s">
        <v>725</v>
      </c>
      <c r="D145" s="2" t="s">
        <v>45</v>
      </c>
      <c r="E145" s="3" t="n">
        <v>60</v>
      </c>
      <c r="F145" s="2" t="s">
        <v>64</v>
      </c>
      <c r="G145" s="2" t="s">
        <v>154</v>
      </c>
      <c r="H145" s="2" t="s">
        <v>77</v>
      </c>
      <c r="I145" s="4" t="n">
        <v>39000</v>
      </c>
      <c r="J145" s="2" t="s">
        <v>145</v>
      </c>
      <c r="K145" s="3" t="n">
        <v>32</v>
      </c>
      <c r="L145" s="2" t="s">
        <v>726</v>
      </c>
      <c r="M145" s="2" t="s">
        <v>147</v>
      </c>
      <c r="N145" s="2" t="s">
        <v>52</v>
      </c>
      <c r="O145" s="3" t="n">
        <v>0</v>
      </c>
      <c r="P145" s="2" t="s">
        <v>148</v>
      </c>
      <c r="Q145" s="2" t="s">
        <v>149</v>
      </c>
      <c r="R145" s="2" t="s">
        <v>147</v>
      </c>
      <c r="S145" s="2" t="s">
        <v>147</v>
      </c>
      <c r="T145" s="2" t="s">
        <v>727</v>
      </c>
      <c r="U145" s="2" t="s">
        <v>72</v>
      </c>
      <c r="V145" s="4" t="n">
        <v>401000</v>
      </c>
      <c r="W145" s="5" t="n">
        <v>11.68</v>
      </c>
      <c r="X145" s="3" t="n">
        <v>24</v>
      </c>
      <c r="Y145" s="6" t="n">
        <v>46190</v>
      </c>
      <c r="Z145" s="6"/>
      <c r="AA145" s="6"/>
      <c r="AB145" s="4" t="n">
        <f aca="false">ROUND(PMT(W145/1200,X145,-V145),2)</f>
        <v>18816.59</v>
      </c>
      <c r="AC145" s="4" t="n">
        <v>490000</v>
      </c>
      <c r="AD145" s="3" t="n">
        <v>0</v>
      </c>
      <c r="AE145" s="4" t="n">
        <v>52500</v>
      </c>
      <c r="AF145" s="4" t="n">
        <v>30500</v>
      </c>
      <c r="AG145" s="3" t="n">
        <v>33</v>
      </c>
      <c r="AH145" s="4" t="n">
        <v>17800</v>
      </c>
      <c r="AI145" s="3" t="n">
        <v>714</v>
      </c>
      <c r="AJ145" s="7" t="n">
        <f aca="false">ROUND(AB145/I145,4)</f>
        <v>0.4825</v>
      </c>
      <c r="AK145" s="2" t="str">
        <f aca="false">IF(AND(AI145&gt;=750,AJ145&lt;=0.35),"Low",IF(AND(AI145&gt;=600,AJ145&lt;=0.5),"Medium","High"))</f>
        <v>Medium</v>
      </c>
      <c r="AL145" s="3" t="n">
        <v>1</v>
      </c>
      <c r="AM145" s="2" t="s">
        <v>58</v>
      </c>
      <c r="AN145" s="2"/>
      <c r="AO145" s="2" t="s">
        <v>134</v>
      </c>
      <c r="AP145" s="7" t="n">
        <v>0.243</v>
      </c>
    </row>
    <row r="146" customFormat="false" ht="15" hidden="false" customHeight="false" outlineLevel="0" collapsed="false">
      <c r="A146" s="2" t="s">
        <v>728</v>
      </c>
      <c r="B146" s="2" t="s">
        <v>729</v>
      </c>
      <c r="C146" s="2" t="s">
        <v>730</v>
      </c>
      <c r="D146" s="2" t="s">
        <v>45</v>
      </c>
      <c r="E146" s="3" t="n">
        <v>21</v>
      </c>
      <c r="F146" s="2" t="s">
        <v>46</v>
      </c>
      <c r="G146" s="2" t="s">
        <v>47</v>
      </c>
      <c r="H146" s="2" t="s">
        <v>48</v>
      </c>
      <c r="I146" s="4" t="n">
        <v>96500</v>
      </c>
      <c r="J146" s="2" t="s">
        <v>49</v>
      </c>
      <c r="K146" s="3" t="n">
        <v>3</v>
      </c>
      <c r="L146" s="2" t="s">
        <v>569</v>
      </c>
      <c r="M146" s="2" t="s">
        <v>67</v>
      </c>
      <c r="N146" s="2" t="s">
        <v>52</v>
      </c>
      <c r="O146" s="3" t="n">
        <v>0</v>
      </c>
      <c r="P146" s="2" t="s">
        <v>103</v>
      </c>
      <c r="Q146" s="2" t="s">
        <v>104</v>
      </c>
      <c r="R146" s="2" t="s">
        <v>67</v>
      </c>
      <c r="S146" s="2" t="s">
        <v>67</v>
      </c>
      <c r="T146" s="2" t="s">
        <v>731</v>
      </c>
      <c r="U146" s="2" t="s">
        <v>180</v>
      </c>
      <c r="V146" s="4" t="n">
        <v>1531000</v>
      </c>
      <c r="W146" s="5" t="n">
        <v>12.62</v>
      </c>
      <c r="X146" s="3" t="n">
        <v>66</v>
      </c>
      <c r="Y146" s="6" t="n">
        <v>46199</v>
      </c>
      <c r="Z146" s="6" t="n">
        <v>46204</v>
      </c>
      <c r="AA146" s="6" t="n">
        <v>46210</v>
      </c>
      <c r="AB146" s="4" t="n">
        <f aca="false">ROUND(PMT(W146/1200,X146,-V146),2)</f>
        <v>32288.41</v>
      </c>
      <c r="AC146" s="4" t="n">
        <v>2253000</v>
      </c>
      <c r="AD146" s="3" t="n">
        <v>1</v>
      </c>
      <c r="AE146" s="4" t="n">
        <v>378300</v>
      </c>
      <c r="AF146" s="4" t="n">
        <v>181100</v>
      </c>
      <c r="AG146" s="3" t="n">
        <v>36</v>
      </c>
      <c r="AH146" s="4" t="n">
        <v>41400</v>
      </c>
      <c r="AI146" s="3" t="n">
        <v>720</v>
      </c>
      <c r="AJ146" s="7" t="n">
        <f aca="false">ROUND(AB146/I146,4)</f>
        <v>0.3346</v>
      </c>
      <c r="AK146" s="2" t="str">
        <f aca="false">IF(AND(AI146&gt;=750,AJ146&lt;=0.35),"Low",IF(AND(AI146&gt;=600,AJ146&lt;=0.5),"Medium","High"))</f>
        <v>Medium</v>
      </c>
      <c r="AL146" s="3" t="n">
        <v>0</v>
      </c>
      <c r="AM146" s="2" t="s">
        <v>58</v>
      </c>
      <c r="AN146" s="2" t="s">
        <v>119</v>
      </c>
      <c r="AO146" s="2" t="s">
        <v>60</v>
      </c>
      <c r="AP146" s="7" t="n">
        <v>0.206</v>
      </c>
    </row>
    <row r="147" customFormat="false" ht="15" hidden="false" customHeight="false" outlineLevel="0" collapsed="false">
      <c r="A147" s="2" t="s">
        <v>732</v>
      </c>
      <c r="B147" s="2" t="s">
        <v>152</v>
      </c>
      <c r="C147" s="2" t="s">
        <v>733</v>
      </c>
      <c r="D147" s="2" t="s">
        <v>45</v>
      </c>
      <c r="E147" s="3" t="n">
        <v>57</v>
      </c>
      <c r="F147" s="2" t="s">
        <v>64</v>
      </c>
      <c r="G147" s="2" t="s">
        <v>166</v>
      </c>
      <c r="H147" s="2" t="s">
        <v>48</v>
      </c>
      <c r="I147" s="4" t="n">
        <v>149500</v>
      </c>
      <c r="J147" s="2" t="s">
        <v>145</v>
      </c>
      <c r="K147" s="3" t="n">
        <v>35</v>
      </c>
      <c r="L147" s="2" t="s">
        <v>188</v>
      </c>
      <c r="M147" s="2" t="s">
        <v>51</v>
      </c>
      <c r="N147" s="2" t="s">
        <v>52</v>
      </c>
      <c r="O147" s="3" t="n">
        <v>1</v>
      </c>
      <c r="P147" s="2" t="s">
        <v>131</v>
      </c>
      <c r="Q147" s="2" t="s">
        <v>132</v>
      </c>
      <c r="R147" s="2" t="s">
        <v>51</v>
      </c>
      <c r="S147" s="2" t="s">
        <v>51</v>
      </c>
      <c r="T147" s="2" t="s">
        <v>734</v>
      </c>
      <c r="U147" s="2" t="s">
        <v>72</v>
      </c>
      <c r="V147" s="4" t="n">
        <v>581000</v>
      </c>
      <c r="W147" s="5" t="n">
        <v>11.13</v>
      </c>
      <c r="X147" s="3" t="n">
        <v>12</v>
      </c>
      <c r="Y147" s="6" t="n">
        <v>46195</v>
      </c>
      <c r="Z147" s="6" t="n">
        <v>46200</v>
      </c>
      <c r="AA147" s="6" t="n">
        <v>46206</v>
      </c>
      <c r="AB147" s="4" t="n">
        <f aca="false">ROUND(PMT(W147/1200,X147,-V147),2)</f>
        <v>51384.98</v>
      </c>
      <c r="AC147" s="4" t="n">
        <v>685000</v>
      </c>
      <c r="AD147" s="3" t="n">
        <v>1</v>
      </c>
      <c r="AE147" s="4" t="n">
        <v>243100</v>
      </c>
      <c r="AF147" s="4" t="n">
        <v>127400</v>
      </c>
      <c r="AG147" s="3" t="n">
        <v>36</v>
      </c>
      <c r="AH147" s="4" t="n">
        <v>132000</v>
      </c>
      <c r="AI147" s="3" t="n">
        <v>871</v>
      </c>
      <c r="AJ147" s="7" t="n">
        <f aca="false">ROUND(AB147/I147,4)</f>
        <v>0.3437</v>
      </c>
      <c r="AK147" s="2" t="str">
        <f aca="false">IF(AND(AI147&gt;=750,AJ147&lt;=0.35),"Low",IF(AND(AI147&gt;=600,AJ147&lt;=0.5),"Medium","High"))</f>
        <v>Low</v>
      </c>
      <c r="AL147" s="3" t="n">
        <v>0</v>
      </c>
      <c r="AM147" s="2" t="s">
        <v>58</v>
      </c>
      <c r="AN147" s="2" t="s">
        <v>59</v>
      </c>
      <c r="AO147" s="2" t="s">
        <v>60</v>
      </c>
      <c r="AP147" s="7" t="n">
        <v>0.017</v>
      </c>
    </row>
    <row r="148" customFormat="false" ht="15" hidden="false" customHeight="false" outlineLevel="0" collapsed="false">
      <c r="A148" s="2" t="s">
        <v>735</v>
      </c>
      <c r="B148" s="2" t="s">
        <v>736</v>
      </c>
      <c r="C148" s="2" t="s">
        <v>737</v>
      </c>
      <c r="D148" s="2" t="s">
        <v>45</v>
      </c>
      <c r="E148" s="3" t="n">
        <v>36</v>
      </c>
      <c r="F148" s="2" t="s">
        <v>46</v>
      </c>
      <c r="G148" s="2" t="s">
        <v>65</v>
      </c>
      <c r="H148" s="2" t="s">
        <v>48</v>
      </c>
      <c r="I148" s="4" t="n">
        <v>33500</v>
      </c>
      <c r="J148" s="2" t="s">
        <v>49</v>
      </c>
      <c r="K148" s="3" t="n">
        <v>17</v>
      </c>
      <c r="L148" s="2" t="s">
        <v>51</v>
      </c>
      <c r="M148" s="2" t="s">
        <v>51</v>
      </c>
      <c r="N148" s="2" t="s">
        <v>140</v>
      </c>
      <c r="O148" s="3" t="n">
        <v>0</v>
      </c>
      <c r="P148" s="2" t="s">
        <v>131</v>
      </c>
      <c r="Q148" s="2" t="s">
        <v>132</v>
      </c>
      <c r="R148" s="2" t="s">
        <v>51</v>
      </c>
      <c r="S148" s="2" t="s">
        <v>51</v>
      </c>
      <c r="T148" s="2" t="s">
        <v>738</v>
      </c>
      <c r="U148" s="2" t="s">
        <v>57</v>
      </c>
      <c r="V148" s="4" t="n">
        <v>1261000</v>
      </c>
      <c r="W148" s="5" t="n">
        <v>11.39</v>
      </c>
      <c r="X148" s="3" t="n">
        <v>300</v>
      </c>
      <c r="Y148" s="6" t="n">
        <v>46190</v>
      </c>
      <c r="Z148" s="6" t="n">
        <v>46195</v>
      </c>
      <c r="AA148" s="6" t="n">
        <v>46197</v>
      </c>
      <c r="AB148" s="4" t="n">
        <f aca="false">ROUND(PMT(W148/1200,X148,-V148),2)</f>
        <v>12716.37</v>
      </c>
      <c r="AC148" s="4"/>
      <c r="AD148" s="3" t="n">
        <v>0</v>
      </c>
      <c r="AE148" s="4" t="n">
        <v>62800</v>
      </c>
      <c r="AF148" s="4" t="n">
        <v>30000</v>
      </c>
      <c r="AG148" s="3" t="n">
        <v>46</v>
      </c>
      <c r="AH148" s="4" t="n">
        <v>34700</v>
      </c>
      <c r="AI148" s="3" t="n">
        <v>647</v>
      </c>
      <c r="AJ148" s="7" t="n">
        <f aca="false">ROUND(AB148/I148,4)</f>
        <v>0.3796</v>
      </c>
      <c r="AK148" s="2" t="str">
        <f aca="false">IF(AND(AI148&gt;=750,AJ148&lt;=0.35),"Low",IF(AND(AI148&gt;=600,AJ148&lt;=0.5),"Medium","High"))</f>
        <v>Medium</v>
      </c>
      <c r="AL148" s="3"/>
      <c r="AM148" s="2" t="s">
        <v>58</v>
      </c>
      <c r="AN148" s="2" t="s">
        <v>59</v>
      </c>
      <c r="AO148" s="2" t="s">
        <v>60</v>
      </c>
      <c r="AP148" s="7" t="n">
        <v>0.26</v>
      </c>
    </row>
    <row r="149" customFormat="false" ht="15" hidden="false" customHeight="false" outlineLevel="0" collapsed="false">
      <c r="A149" s="2" t="s">
        <v>739</v>
      </c>
      <c r="B149" s="2" t="s">
        <v>740</v>
      </c>
      <c r="C149" s="2" t="s">
        <v>741</v>
      </c>
      <c r="D149" s="2" t="s">
        <v>45</v>
      </c>
      <c r="E149" s="3" t="n">
        <v>39</v>
      </c>
      <c r="F149" s="2" t="s">
        <v>64</v>
      </c>
      <c r="G149" s="2" t="s">
        <v>65</v>
      </c>
      <c r="H149" s="2" t="s">
        <v>48</v>
      </c>
      <c r="I149" s="4" t="n">
        <v>48000</v>
      </c>
      <c r="J149" s="2" t="s">
        <v>49</v>
      </c>
      <c r="K149" s="3" t="n">
        <v>11</v>
      </c>
      <c r="L149" s="2" t="s">
        <v>138</v>
      </c>
      <c r="M149" s="2" t="s">
        <v>139</v>
      </c>
      <c r="N149" s="2" t="s">
        <v>140</v>
      </c>
      <c r="O149" s="3" t="n">
        <v>2</v>
      </c>
      <c r="P149" s="2" t="s">
        <v>68</v>
      </c>
      <c r="Q149" s="2" t="s">
        <v>69</v>
      </c>
      <c r="R149" s="2" t="s">
        <v>70</v>
      </c>
      <c r="S149" s="2" t="s">
        <v>67</v>
      </c>
      <c r="T149" s="2" t="s">
        <v>742</v>
      </c>
      <c r="U149" s="2" t="s">
        <v>97</v>
      </c>
      <c r="V149" s="4" t="n">
        <v>428000</v>
      </c>
      <c r="W149" s="5" t="n">
        <v>14.27</v>
      </c>
      <c r="X149" s="3" t="n">
        <v>24</v>
      </c>
      <c r="Y149" s="6" t="n">
        <v>46179</v>
      </c>
      <c r="Z149" s="6" t="n">
        <v>46184</v>
      </c>
      <c r="AA149" s="6" t="n">
        <v>46185</v>
      </c>
      <c r="AB149" s="4" t="n">
        <f aca="false">ROUND(PMT(W149/1200,X149,-V149),2)</f>
        <v>20604.15</v>
      </c>
      <c r="AC149" s="4" t="n">
        <v>0</v>
      </c>
      <c r="AD149" s="3" t="n">
        <v>1</v>
      </c>
      <c r="AE149" s="4" t="n">
        <v>71500</v>
      </c>
      <c r="AF149" s="4" t="n">
        <v>41100</v>
      </c>
      <c r="AG149" s="3" t="n">
        <v>25</v>
      </c>
      <c r="AH149" s="4" t="n">
        <v>36700</v>
      </c>
      <c r="AI149" s="3" t="n">
        <v>605</v>
      </c>
      <c r="AJ149" s="7" t="n">
        <f aca="false">ROUND(AB149/I149,4)</f>
        <v>0.4293</v>
      </c>
      <c r="AK149" s="2" t="str">
        <f aca="false">IF(AND(AI149&gt;=750,AJ149&lt;=0.35),"Low",IF(AND(AI149&gt;=600,AJ149&lt;=0.5),"Medium","High"))</f>
        <v>Medium</v>
      </c>
      <c r="AL149" s="3" t="n">
        <v>2</v>
      </c>
      <c r="AM149" s="2" t="s">
        <v>58</v>
      </c>
      <c r="AN149" s="2" t="s">
        <v>119</v>
      </c>
      <c r="AO149" s="2" t="s">
        <v>60</v>
      </c>
      <c r="AP149" s="7" t="n">
        <v>0.348</v>
      </c>
    </row>
    <row r="150" customFormat="false" ht="15" hidden="false" customHeight="false" outlineLevel="0" collapsed="false">
      <c r="A150" s="2" t="s">
        <v>743</v>
      </c>
      <c r="B150" s="2" t="s">
        <v>744</v>
      </c>
      <c r="C150" s="2" t="s">
        <v>745</v>
      </c>
      <c r="D150" s="2" t="s">
        <v>45</v>
      </c>
      <c r="E150" s="3" t="n">
        <v>59</v>
      </c>
      <c r="F150" s="2" t="s">
        <v>64</v>
      </c>
      <c r="G150" s="2" t="s">
        <v>90</v>
      </c>
      <c r="H150" s="2" t="s">
        <v>77</v>
      </c>
      <c r="I150" s="4" t="n">
        <v>18000</v>
      </c>
      <c r="J150" s="2" t="s">
        <v>90</v>
      </c>
      <c r="K150" s="3" t="n">
        <v>38</v>
      </c>
      <c r="L150" s="2" t="s">
        <v>91</v>
      </c>
      <c r="M150" s="2" t="s">
        <v>92</v>
      </c>
      <c r="N150" s="2" t="s">
        <v>52</v>
      </c>
      <c r="O150" s="3" t="n">
        <v>2</v>
      </c>
      <c r="P150" s="2" t="s">
        <v>169</v>
      </c>
      <c r="Q150" s="2" t="s">
        <v>170</v>
      </c>
      <c r="R150" s="2" t="s">
        <v>92</v>
      </c>
      <c r="S150" s="2" t="s">
        <v>92</v>
      </c>
      <c r="T150" s="2" t="s">
        <v>746</v>
      </c>
      <c r="U150" s="2" t="s">
        <v>57</v>
      </c>
      <c r="V150" s="4" t="n">
        <v>810000</v>
      </c>
      <c r="W150" s="5" t="n">
        <v>9.11</v>
      </c>
      <c r="X150" s="3" t="n">
        <v>204</v>
      </c>
      <c r="Y150" s="6" t="n">
        <v>46184</v>
      </c>
      <c r="Z150" s="6" t="n">
        <v>46186</v>
      </c>
      <c r="AA150" s="6" t="n">
        <v>46191</v>
      </c>
      <c r="AB150" s="4" t="n">
        <f aca="false">ROUND(PMT(W150/1200,X150,-V150),2)</f>
        <v>7821.19</v>
      </c>
      <c r="AC150" s="4" t="n">
        <v>885000</v>
      </c>
      <c r="AD150" s="3" t="n">
        <v>0</v>
      </c>
      <c r="AE150" s="4" t="n">
        <v>22000</v>
      </c>
      <c r="AF150" s="4" t="n">
        <v>3000</v>
      </c>
      <c r="AG150" s="3" t="n">
        <v>22</v>
      </c>
      <c r="AH150" s="4" t="n">
        <v>6400</v>
      </c>
      <c r="AI150" s="3" t="n">
        <v>701</v>
      </c>
      <c r="AJ150" s="7" t="n">
        <f aca="false">ROUND(AB150/I150,4)</f>
        <v>0.4345</v>
      </c>
      <c r="AK150" s="2" t="str">
        <f aca="false">IF(AND(AI150&gt;=750,AJ150&lt;=0.35),"Low",IF(AND(AI150&gt;=600,AJ150&lt;=0.5),"Medium","High"))</f>
        <v>Medium</v>
      </c>
      <c r="AL150" s="3" t="n">
        <v>2</v>
      </c>
      <c r="AM150" s="2" t="s">
        <v>58</v>
      </c>
      <c r="AN150" s="2" t="s">
        <v>59</v>
      </c>
      <c r="AO150" s="2" t="s">
        <v>60</v>
      </c>
      <c r="AP150" s="7" t="n">
        <v>0.286</v>
      </c>
    </row>
    <row r="151" customFormat="false" ht="15" hidden="false" customHeight="false" outlineLevel="0" collapsed="false">
      <c r="A151" s="2" t="s">
        <v>747</v>
      </c>
      <c r="B151" s="2" t="s">
        <v>748</v>
      </c>
      <c r="C151" s="2" t="s">
        <v>749</v>
      </c>
      <c r="D151" s="2" t="s">
        <v>45</v>
      </c>
      <c r="E151" s="3" t="n">
        <v>38</v>
      </c>
      <c r="F151" s="2" t="s">
        <v>46</v>
      </c>
      <c r="G151" s="2" t="s">
        <v>154</v>
      </c>
      <c r="H151" s="2" t="s">
        <v>48</v>
      </c>
      <c r="I151" s="4" t="n">
        <v>52500</v>
      </c>
      <c r="J151" s="2" t="s">
        <v>145</v>
      </c>
      <c r="K151" s="3"/>
      <c r="L151" s="2" t="s">
        <v>70</v>
      </c>
      <c r="M151" s="2" t="s">
        <v>67</v>
      </c>
      <c r="N151" s="2" t="s">
        <v>140</v>
      </c>
      <c r="O151" s="3" t="n">
        <v>0</v>
      </c>
      <c r="P151" s="2" t="s">
        <v>68</v>
      </c>
      <c r="Q151" s="2" t="s">
        <v>69</v>
      </c>
      <c r="R151" s="2" t="s">
        <v>70</v>
      </c>
      <c r="S151" s="2" t="s">
        <v>67</v>
      </c>
      <c r="T151" s="2" t="s">
        <v>750</v>
      </c>
      <c r="U151" s="2" t="s">
        <v>97</v>
      </c>
      <c r="V151" s="4" t="n">
        <v>593000</v>
      </c>
      <c r="W151" s="5" t="n">
        <v>15.58</v>
      </c>
      <c r="X151" s="3" t="n">
        <v>36</v>
      </c>
      <c r="Y151" s="6" t="n">
        <v>46192</v>
      </c>
      <c r="Z151" s="6"/>
      <c r="AA151" s="6"/>
      <c r="AB151" s="4" t="n">
        <f aca="false">ROUND(PMT(W151/1200,X151,-V151),2)</f>
        <v>20725.37</v>
      </c>
      <c r="AC151" s="4" t="n">
        <v>0</v>
      </c>
      <c r="AD151" s="3" t="n">
        <v>2</v>
      </c>
      <c r="AE151" s="4" t="n">
        <v>33200</v>
      </c>
      <c r="AF151" s="4" t="n">
        <v>5400</v>
      </c>
      <c r="AG151" s="3" t="n">
        <v>4</v>
      </c>
      <c r="AH151" s="4" t="n">
        <v>47900</v>
      </c>
      <c r="AI151" s="3" t="n">
        <v>819</v>
      </c>
      <c r="AJ151" s="7" t="n">
        <f aca="false">ROUND(AB151/I151,4)</f>
        <v>0.3948</v>
      </c>
      <c r="AK151" s="2" t="str">
        <f aca="false">IF(AND(AI151&gt;=750,AJ151&lt;=0.35),"Low",IF(AND(AI151&gt;=600,AJ151&lt;=0.5),"Medium","High"))</f>
        <v>Medium</v>
      </c>
      <c r="AL151" s="3" t="n">
        <v>1</v>
      </c>
      <c r="AM151" s="2" t="s">
        <v>58</v>
      </c>
      <c r="AN151" s="2"/>
      <c r="AO151" s="2" t="s">
        <v>127</v>
      </c>
      <c r="AP151" s="7" t="n">
        <v>0.106</v>
      </c>
    </row>
    <row r="152" customFormat="false" ht="15" hidden="false" customHeight="false" outlineLevel="0" collapsed="false">
      <c r="A152" s="2" t="s">
        <v>751</v>
      </c>
      <c r="B152" s="2" t="s">
        <v>183</v>
      </c>
      <c r="C152" s="2" t="s">
        <v>752</v>
      </c>
      <c r="D152" s="2" t="s">
        <v>45</v>
      </c>
      <c r="E152" s="3" t="n">
        <v>30</v>
      </c>
      <c r="F152" s="2" t="s">
        <v>175</v>
      </c>
      <c r="G152" s="2" t="s">
        <v>76</v>
      </c>
      <c r="H152" s="2" t="s">
        <v>101</v>
      </c>
      <c r="I152" s="4" t="n">
        <v>54500</v>
      </c>
      <c r="J152" s="2" t="s">
        <v>78</v>
      </c>
      <c r="K152" s="3" t="n">
        <v>7</v>
      </c>
      <c r="L152" s="2" t="s">
        <v>753</v>
      </c>
      <c r="M152" s="2" t="s">
        <v>147</v>
      </c>
      <c r="N152" s="2"/>
      <c r="O152" s="3" t="n">
        <v>1</v>
      </c>
      <c r="P152" s="2" t="s">
        <v>93</v>
      </c>
      <c r="Q152" s="2" t="s">
        <v>94</v>
      </c>
      <c r="R152" s="2" t="s">
        <v>95</v>
      </c>
      <c r="S152" s="2" t="s">
        <v>92</v>
      </c>
      <c r="T152" s="2" t="s">
        <v>754</v>
      </c>
      <c r="U152" s="2" t="s">
        <v>97</v>
      </c>
      <c r="V152" s="4" t="n">
        <v>599000</v>
      </c>
      <c r="W152" s="5" t="n">
        <v>15.34</v>
      </c>
      <c r="X152" s="3" t="n">
        <v>60</v>
      </c>
      <c r="Y152" s="6" t="n">
        <v>46201</v>
      </c>
      <c r="Z152" s="6"/>
      <c r="AA152" s="6"/>
      <c r="AB152" s="4" t="n">
        <f aca="false">ROUND(PMT(W152/1200,X152,-V152),2)</f>
        <v>14357.29</v>
      </c>
      <c r="AC152" s="4" t="n">
        <v>0</v>
      </c>
      <c r="AD152" s="3"/>
      <c r="AE152" s="4"/>
      <c r="AF152" s="4" t="n">
        <v>88500</v>
      </c>
      <c r="AG152" s="3" t="n">
        <v>11</v>
      </c>
      <c r="AH152" s="4" t="n">
        <v>34800</v>
      </c>
      <c r="AI152" s="3" t="n">
        <v>624</v>
      </c>
      <c r="AJ152" s="7" t="n">
        <f aca="false">ROUND(AB152/I152,4)</f>
        <v>0.2634</v>
      </c>
      <c r="AK152" s="2" t="str">
        <f aca="false">IF(AND(AI152&gt;=750,AJ152&lt;=0.35),"Low",IF(AND(AI152&gt;=600,AJ152&lt;=0.5),"Medium","High"))</f>
        <v>Medium</v>
      </c>
      <c r="AL152" s="3" t="n">
        <v>0</v>
      </c>
      <c r="AM152" s="2" t="s">
        <v>58</v>
      </c>
      <c r="AN152" s="2"/>
      <c r="AO152" s="2" t="s">
        <v>127</v>
      </c>
      <c r="AP152" s="7" t="n">
        <v>0.32</v>
      </c>
    </row>
    <row r="153" customFormat="false" ht="15" hidden="false" customHeight="false" outlineLevel="0" collapsed="false">
      <c r="A153" s="2" t="s">
        <v>755</v>
      </c>
      <c r="B153" s="2" t="s">
        <v>756</v>
      </c>
      <c r="C153" s="2" t="s">
        <v>757</v>
      </c>
      <c r="D153" s="2" t="s">
        <v>109</v>
      </c>
      <c r="E153" s="3" t="n">
        <v>26</v>
      </c>
      <c r="F153" s="2" t="s">
        <v>64</v>
      </c>
      <c r="G153" s="2" t="s">
        <v>154</v>
      </c>
      <c r="H153" s="2" t="s">
        <v>101</v>
      </c>
      <c r="I153" s="4" t="n">
        <v>29500</v>
      </c>
      <c r="J153" s="2" t="s">
        <v>145</v>
      </c>
      <c r="K153" s="3" t="n">
        <v>0</v>
      </c>
      <c r="L153" s="2" t="s">
        <v>556</v>
      </c>
      <c r="M153" s="2" t="s">
        <v>147</v>
      </c>
      <c r="N153" s="2" t="s">
        <v>140</v>
      </c>
      <c r="O153" s="3" t="n">
        <v>2</v>
      </c>
      <c r="P153" s="2" t="s">
        <v>148</v>
      </c>
      <c r="Q153" s="2" t="s">
        <v>149</v>
      </c>
      <c r="R153" s="2" t="s">
        <v>147</v>
      </c>
      <c r="S153" s="2" t="s">
        <v>147</v>
      </c>
      <c r="T153" s="2" t="s">
        <v>758</v>
      </c>
      <c r="U153" s="2" t="s">
        <v>85</v>
      </c>
      <c r="V153" s="4" t="n">
        <v>78000</v>
      </c>
      <c r="W153" s="5" t="n">
        <v>8.79</v>
      </c>
      <c r="X153" s="3" t="n">
        <v>24</v>
      </c>
      <c r="Y153" s="6" t="n">
        <v>46190</v>
      </c>
      <c r="Z153" s="6" t="n">
        <v>46197</v>
      </c>
      <c r="AA153" s="6" t="n">
        <v>46198</v>
      </c>
      <c r="AB153" s="4" t="n">
        <f aca="false">ROUND(PMT(W153/1200,X153,-V153),2)</f>
        <v>3555.9</v>
      </c>
      <c r="AC153" s="4" t="n">
        <v>0</v>
      </c>
      <c r="AD153" s="3" t="n">
        <v>0</v>
      </c>
      <c r="AE153" s="4" t="n">
        <v>75000</v>
      </c>
      <c r="AF153" s="4" t="n">
        <v>43200</v>
      </c>
      <c r="AG153" s="3" t="n">
        <v>20</v>
      </c>
      <c r="AH153" s="4" t="n">
        <v>9900</v>
      </c>
      <c r="AI153" s="3" t="n">
        <v>838</v>
      </c>
      <c r="AJ153" s="7" t="n">
        <f aca="false">ROUND(AB153/I153,4)</f>
        <v>0.1205</v>
      </c>
      <c r="AK153" s="2" t="str">
        <f aca="false">IF(AND(AI153&gt;=750,AJ153&lt;=0.35),"Low",IF(AND(AI153&gt;=600,AJ153&lt;=0.5),"Medium","High"))</f>
        <v>Low</v>
      </c>
      <c r="AL153" s="3" t="n">
        <v>1</v>
      </c>
      <c r="AM153" s="2" t="s">
        <v>58</v>
      </c>
      <c r="AN153" s="2" t="s">
        <v>59</v>
      </c>
      <c r="AO153" s="2" t="s">
        <v>60</v>
      </c>
      <c r="AP153" s="7" t="n">
        <v>0.13</v>
      </c>
    </row>
    <row r="154" customFormat="false" ht="15" hidden="false" customHeight="false" outlineLevel="0" collapsed="false">
      <c r="A154" s="2" t="s">
        <v>759</v>
      </c>
      <c r="B154" s="2" t="s">
        <v>760</v>
      </c>
      <c r="C154" s="2" t="s">
        <v>761</v>
      </c>
      <c r="D154" s="2" t="s">
        <v>109</v>
      </c>
      <c r="E154" s="3" t="n">
        <v>45</v>
      </c>
      <c r="F154" s="2" t="s">
        <v>46</v>
      </c>
      <c r="G154" s="2" t="s">
        <v>176</v>
      </c>
      <c r="H154" s="2" t="s">
        <v>123</v>
      </c>
      <c r="I154" s="4" t="n">
        <v>38500</v>
      </c>
      <c r="J154" s="2" t="s">
        <v>177</v>
      </c>
      <c r="K154" s="3" t="n">
        <v>23</v>
      </c>
      <c r="L154" s="2" t="s">
        <v>726</v>
      </c>
      <c r="M154" s="2" t="s">
        <v>147</v>
      </c>
      <c r="N154" s="2"/>
      <c r="O154" s="3" t="n">
        <v>0</v>
      </c>
      <c r="P154" s="2" t="s">
        <v>148</v>
      </c>
      <c r="Q154" s="2" t="s">
        <v>149</v>
      </c>
      <c r="R154" s="2" t="s">
        <v>147</v>
      </c>
      <c r="S154" s="2" t="s">
        <v>147</v>
      </c>
      <c r="T154" s="2" t="s">
        <v>762</v>
      </c>
      <c r="U154" s="2" t="s">
        <v>72</v>
      </c>
      <c r="V154" s="4" t="n">
        <v>1152000</v>
      </c>
      <c r="W154" s="5" t="n">
        <v>15.69</v>
      </c>
      <c r="X154" s="3" t="n">
        <v>72</v>
      </c>
      <c r="Y154" s="6" t="n">
        <v>46179</v>
      </c>
      <c r="Z154" s="6" t="n">
        <v>46185</v>
      </c>
      <c r="AA154" s="6" t="n">
        <v>46189</v>
      </c>
      <c r="AB154" s="4" t="n">
        <f aca="false">ROUND(PMT(W154/1200,X154,-V154),2)</f>
        <v>24792.79</v>
      </c>
      <c r="AC154" s="4" t="n">
        <v>1554000</v>
      </c>
      <c r="AD154" s="3" t="n">
        <v>2</v>
      </c>
      <c r="AE154" s="4" t="n">
        <v>143400</v>
      </c>
      <c r="AF154" s="4" t="n">
        <v>64100</v>
      </c>
      <c r="AG154" s="3" t="n">
        <v>53</v>
      </c>
      <c r="AH154" s="4" t="n">
        <v>34000</v>
      </c>
      <c r="AI154" s="3" t="n">
        <v>888</v>
      </c>
      <c r="AJ154" s="7" t="n">
        <f aca="false">ROUND(AB154/I154,4)</f>
        <v>0.644</v>
      </c>
      <c r="AK154" s="2" t="str">
        <f aca="false">IF(AND(AI154&gt;=750,AJ154&lt;=0.35),"Low",IF(AND(AI154&gt;=600,AJ154&lt;=0.5),"Medium","High"))</f>
        <v>High</v>
      </c>
      <c r="AL154" s="3" t="n">
        <v>0</v>
      </c>
      <c r="AM154" s="2" t="s">
        <v>58</v>
      </c>
      <c r="AN154" s="2" t="s">
        <v>59</v>
      </c>
      <c r="AO154" s="2" t="s">
        <v>60</v>
      </c>
      <c r="AP154" s="7" t="n">
        <v>0.038</v>
      </c>
    </row>
    <row r="155" customFormat="false" ht="15" hidden="false" customHeight="false" outlineLevel="0" collapsed="false">
      <c r="A155" s="2" t="s">
        <v>763</v>
      </c>
      <c r="B155" s="2" t="s">
        <v>764</v>
      </c>
      <c r="C155" s="2" t="s">
        <v>765</v>
      </c>
      <c r="D155" s="2" t="s">
        <v>45</v>
      </c>
      <c r="E155" s="3" t="n">
        <v>33</v>
      </c>
      <c r="F155" s="2" t="s">
        <v>46</v>
      </c>
      <c r="G155" s="2"/>
      <c r="H155" s="2" t="s">
        <v>101</v>
      </c>
      <c r="I155" s="4" t="n">
        <v>62500</v>
      </c>
      <c r="J155" s="2" t="s">
        <v>145</v>
      </c>
      <c r="K155" s="3" t="n">
        <v>14</v>
      </c>
      <c r="L155" s="2" t="s">
        <v>159</v>
      </c>
      <c r="M155" s="2" t="s">
        <v>159</v>
      </c>
      <c r="N155" s="2" t="s">
        <v>81</v>
      </c>
      <c r="O155" s="3" t="n">
        <v>1</v>
      </c>
      <c r="P155" s="2" t="s">
        <v>160</v>
      </c>
      <c r="Q155" s="2" t="s">
        <v>161</v>
      </c>
      <c r="R155" s="2" t="s">
        <v>159</v>
      </c>
      <c r="S155" s="2" t="s">
        <v>159</v>
      </c>
      <c r="T155" s="2" t="s">
        <v>766</v>
      </c>
      <c r="U155" s="2" t="s">
        <v>180</v>
      </c>
      <c r="V155" s="4" t="n">
        <v>1193000</v>
      </c>
      <c r="W155" s="5" t="n">
        <v>9.94</v>
      </c>
      <c r="X155" s="3" t="n">
        <v>60</v>
      </c>
      <c r="Y155" s="6" t="n">
        <v>46181</v>
      </c>
      <c r="Z155" s="6"/>
      <c r="AA155" s="6"/>
      <c r="AB155" s="4" t="n">
        <f aca="false">ROUND(PMT(W155/1200,X155,-V155),2)</f>
        <v>25312.52</v>
      </c>
      <c r="AC155" s="4" t="n">
        <v>1631000</v>
      </c>
      <c r="AD155" s="3" t="n">
        <v>0</v>
      </c>
      <c r="AE155" s="4" t="n">
        <v>214800</v>
      </c>
      <c r="AF155" s="4" t="n">
        <v>22700</v>
      </c>
      <c r="AG155" s="3" t="n">
        <v>26</v>
      </c>
      <c r="AH155" s="4" t="n">
        <v>53900</v>
      </c>
      <c r="AI155" s="3" t="n">
        <v>785</v>
      </c>
      <c r="AJ155" s="7" t="n">
        <f aca="false">ROUND(AB155/I155,4)</f>
        <v>0.405</v>
      </c>
      <c r="AK155" s="2" t="str">
        <f aca="false">IF(AND(AI155&gt;=750,AJ155&lt;=0.35),"Low",IF(AND(AI155&gt;=600,AJ155&lt;=0.5),"Medium","High"))</f>
        <v>Medium</v>
      </c>
      <c r="AL155" s="3" t="n">
        <v>4</v>
      </c>
      <c r="AM155" s="2" t="s">
        <v>233</v>
      </c>
      <c r="AN155" s="2"/>
      <c r="AO155" s="2" t="s">
        <v>134</v>
      </c>
      <c r="AP155" s="7" t="n">
        <v>0.291</v>
      </c>
    </row>
    <row r="156" customFormat="false" ht="15" hidden="false" customHeight="false" outlineLevel="0" collapsed="false">
      <c r="A156" s="2" t="s">
        <v>767</v>
      </c>
      <c r="B156" s="2" t="s">
        <v>768</v>
      </c>
      <c r="C156" s="2" t="s">
        <v>769</v>
      </c>
      <c r="D156" s="2" t="s">
        <v>109</v>
      </c>
      <c r="E156" s="3" t="n">
        <v>37</v>
      </c>
      <c r="F156" s="2" t="s">
        <v>46</v>
      </c>
      <c r="G156" s="2" t="s">
        <v>166</v>
      </c>
      <c r="H156" s="2" t="s">
        <v>48</v>
      </c>
      <c r="I156" s="4" t="n">
        <v>148000</v>
      </c>
      <c r="J156" s="2" t="s">
        <v>145</v>
      </c>
      <c r="K156" s="3" t="n">
        <v>12</v>
      </c>
      <c r="L156" s="2" t="s">
        <v>80</v>
      </c>
      <c r="M156" s="2" t="s">
        <v>80</v>
      </c>
      <c r="N156" s="2" t="s">
        <v>81</v>
      </c>
      <c r="O156" s="3" t="n">
        <v>0</v>
      </c>
      <c r="P156" s="2" t="s">
        <v>82</v>
      </c>
      <c r="Q156" s="2" t="s">
        <v>83</v>
      </c>
      <c r="R156" s="2" t="s">
        <v>80</v>
      </c>
      <c r="S156" s="2" t="s">
        <v>80</v>
      </c>
      <c r="T156" s="2" t="s">
        <v>770</v>
      </c>
      <c r="U156" s="2" t="s">
        <v>57</v>
      </c>
      <c r="V156" s="4" t="n">
        <v>4231000</v>
      </c>
      <c r="W156" s="5" t="n">
        <v>10.44</v>
      </c>
      <c r="X156" s="3" t="n">
        <v>192</v>
      </c>
      <c r="Y156" s="6" t="n">
        <v>46200</v>
      </c>
      <c r="Z156" s="6" t="n">
        <v>46204</v>
      </c>
      <c r="AA156" s="6" t="n">
        <v>46206</v>
      </c>
      <c r="AB156" s="4" t="n">
        <f aca="false">ROUND(PMT(W156/1200,X156,-V156),2)</f>
        <v>45418.06</v>
      </c>
      <c r="AC156" s="4" t="n">
        <v>5070000</v>
      </c>
      <c r="AD156" s="3" t="n">
        <v>2</v>
      </c>
      <c r="AE156" s="4" t="n">
        <v>224200</v>
      </c>
      <c r="AF156" s="4" t="n">
        <v>120100</v>
      </c>
      <c r="AG156" s="3" t="n">
        <v>15</v>
      </c>
      <c r="AH156" s="4" t="n">
        <v>124000</v>
      </c>
      <c r="AI156" s="3" t="n">
        <v>885</v>
      </c>
      <c r="AJ156" s="7" t="n">
        <f aca="false">ROUND(AB156/I156,4)</f>
        <v>0.3069</v>
      </c>
      <c r="AK156" s="2" t="str">
        <f aca="false">IF(AND(AI156&gt;=750,AJ156&lt;=0.35),"Low",IF(AND(AI156&gt;=600,AJ156&lt;=0.5),"Medium","High"))</f>
        <v>Low</v>
      </c>
      <c r="AL156" s="3" t="n">
        <v>1</v>
      </c>
      <c r="AM156" s="2" t="s">
        <v>233</v>
      </c>
      <c r="AN156" s="2" t="s">
        <v>59</v>
      </c>
      <c r="AO156" s="2" t="s">
        <v>86</v>
      </c>
      <c r="AP156" s="7" t="n">
        <v>0.149</v>
      </c>
    </row>
    <row r="157" customFormat="false" ht="15" hidden="false" customHeight="false" outlineLevel="0" collapsed="false">
      <c r="A157" s="2" t="s">
        <v>771</v>
      </c>
      <c r="B157" s="2" t="s">
        <v>772</v>
      </c>
      <c r="C157" s="2" t="s">
        <v>773</v>
      </c>
      <c r="D157" s="2" t="s">
        <v>45</v>
      </c>
      <c r="E157" s="3" t="n">
        <v>30</v>
      </c>
      <c r="F157" s="2" t="s">
        <v>64</v>
      </c>
      <c r="G157" s="2" t="s">
        <v>90</v>
      </c>
      <c r="H157" s="2" t="s">
        <v>101</v>
      </c>
      <c r="I157" s="4" t="n">
        <v>44500</v>
      </c>
      <c r="J157" s="2" t="s">
        <v>90</v>
      </c>
      <c r="K157" s="3" t="n">
        <v>10</v>
      </c>
      <c r="L157" s="2" t="s">
        <v>231</v>
      </c>
      <c r="M157" s="2" t="s">
        <v>92</v>
      </c>
      <c r="N157" s="2" t="s">
        <v>81</v>
      </c>
      <c r="O157" s="3" t="n">
        <v>4</v>
      </c>
      <c r="P157" s="2" t="s">
        <v>93</v>
      </c>
      <c r="Q157" s="2" t="s">
        <v>94</v>
      </c>
      <c r="R157" s="2" t="s">
        <v>95</v>
      </c>
      <c r="S157" s="2" t="s">
        <v>92</v>
      </c>
      <c r="T157" s="2" t="s">
        <v>774</v>
      </c>
      <c r="U157" s="2" t="s">
        <v>72</v>
      </c>
      <c r="V157" s="4" t="n">
        <v>516000</v>
      </c>
      <c r="W157" s="5" t="n">
        <v>14.96</v>
      </c>
      <c r="X157" s="3" t="n">
        <v>36</v>
      </c>
      <c r="Y157" s="6" t="n">
        <v>46175</v>
      </c>
      <c r="Z157" s="6"/>
      <c r="AA157" s="6"/>
      <c r="AB157" s="4" t="n">
        <f aca="false">ROUND(PMT(W157/1200,X157,-V157),2)</f>
        <v>17877.2</v>
      </c>
      <c r="AC157" s="4"/>
      <c r="AD157" s="3" t="n">
        <v>1</v>
      </c>
      <c r="AE157" s="4" t="n">
        <v>144300</v>
      </c>
      <c r="AF157" s="4" t="n">
        <v>35000</v>
      </c>
      <c r="AG157" s="3" t="n">
        <v>25</v>
      </c>
      <c r="AH157" s="4" t="n">
        <v>28800</v>
      </c>
      <c r="AI157" s="3" t="n">
        <v>560</v>
      </c>
      <c r="AJ157" s="7" t="n">
        <f aca="false">ROUND(AB157/I157,4)</f>
        <v>0.4017</v>
      </c>
      <c r="AK157" s="2" t="str">
        <f aca="false">IF(AND(AI157&gt;=750,AJ157&lt;=0.35),"Low",IF(AND(AI157&gt;=600,AJ157&lt;=0.5),"Medium","High"))</f>
        <v>High</v>
      </c>
      <c r="AL157" s="3" t="n">
        <v>1</v>
      </c>
      <c r="AM157" s="2" t="s">
        <v>58</v>
      </c>
      <c r="AN157" s="2"/>
      <c r="AO157" s="2" t="s">
        <v>134</v>
      </c>
      <c r="AP157" s="7" t="n">
        <v>0.339</v>
      </c>
    </row>
    <row r="158" customFormat="false" ht="15" hidden="false" customHeight="false" outlineLevel="0" collapsed="false">
      <c r="A158" s="2" t="s">
        <v>775</v>
      </c>
      <c r="B158" s="2" t="s">
        <v>776</v>
      </c>
      <c r="C158" s="2" t="s">
        <v>777</v>
      </c>
      <c r="D158" s="2" t="s">
        <v>45</v>
      </c>
      <c r="E158" s="3" t="n">
        <v>25</v>
      </c>
      <c r="F158" s="2" t="s">
        <v>46</v>
      </c>
      <c r="G158" s="2" t="s">
        <v>207</v>
      </c>
      <c r="H158" s="2" t="s">
        <v>77</v>
      </c>
      <c r="I158" s="4" t="n">
        <v>54500</v>
      </c>
      <c r="J158" s="2" t="s">
        <v>49</v>
      </c>
      <c r="K158" s="3" t="n">
        <v>3</v>
      </c>
      <c r="L158" s="2" t="s">
        <v>114</v>
      </c>
      <c r="M158" s="2" t="s">
        <v>114</v>
      </c>
      <c r="N158" s="2" t="s">
        <v>52</v>
      </c>
      <c r="O158" s="3"/>
      <c r="P158" s="2" t="s">
        <v>115</v>
      </c>
      <c r="Q158" s="2" t="s">
        <v>116</v>
      </c>
      <c r="R158" s="2" t="s">
        <v>114</v>
      </c>
      <c r="S158" s="2" t="s">
        <v>114</v>
      </c>
      <c r="T158" s="2" t="s">
        <v>778</v>
      </c>
      <c r="U158" s="2" t="s">
        <v>72</v>
      </c>
      <c r="V158" s="4" t="n">
        <v>335000</v>
      </c>
      <c r="W158" s="5" t="n">
        <v>15.19</v>
      </c>
      <c r="X158" s="3" t="n">
        <v>18</v>
      </c>
      <c r="Y158" s="6" t="n">
        <v>46193</v>
      </c>
      <c r="Z158" s="6" t="n">
        <v>46198</v>
      </c>
      <c r="AA158" s="6" t="n">
        <v>46202</v>
      </c>
      <c r="AB158" s="4" t="n">
        <f aca="false">ROUND(PMT(W158/1200,X158,-V158),2)</f>
        <v>20928.87</v>
      </c>
      <c r="AC158" s="4" t="n">
        <v>382000</v>
      </c>
      <c r="AD158" s="3" t="n">
        <v>0</v>
      </c>
      <c r="AE158" s="4" t="n">
        <v>214300</v>
      </c>
      <c r="AF158" s="4" t="n">
        <v>28700</v>
      </c>
      <c r="AG158" s="3" t="n">
        <v>4</v>
      </c>
      <c r="AH158" s="4" t="n">
        <v>39000</v>
      </c>
      <c r="AI158" s="3" t="n">
        <v>727</v>
      </c>
      <c r="AJ158" s="7" t="n">
        <f aca="false">ROUND(AB158/I158,4)</f>
        <v>0.384</v>
      </c>
      <c r="AK158" s="2" t="str">
        <f aca="false">IF(AND(AI158&gt;=750,AJ158&lt;=0.35),"Low",IF(AND(AI158&gt;=600,AJ158&lt;=0.5),"Medium","High"))</f>
        <v>Medium</v>
      </c>
      <c r="AL158" s="3" t="n">
        <v>3</v>
      </c>
      <c r="AM158" s="2" t="s">
        <v>233</v>
      </c>
      <c r="AN158" s="2" t="s">
        <v>59</v>
      </c>
      <c r="AO158" s="2" t="s">
        <v>60</v>
      </c>
      <c r="AP158" s="7" t="n">
        <v>0.321</v>
      </c>
    </row>
    <row r="159" customFormat="false" ht="15" hidden="false" customHeight="false" outlineLevel="0" collapsed="false">
      <c r="A159" s="2" t="s">
        <v>779</v>
      </c>
      <c r="B159" s="2" t="s">
        <v>780</v>
      </c>
      <c r="C159" s="2" t="s">
        <v>781</v>
      </c>
      <c r="D159" s="2" t="s">
        <v>109</v>
      </c>
      <c r="E159" s="3" t="n">
        <v>35</v>
      </c>
      <c r="F159" s="2" t="s">
        <v>46</v>
      </c>
      <c r="G159" s="2" t="s">
        <v>90</v>
      </c>
      <c r="H159" s="2" t="s">
        <v>48</v>
      </c>
      <c r="I159" s="4" t="n">
        <v>21000</v>
      </c>
      <c r="J159" s="2" t="s">
        <v>90</v>
      </c>
      <c r="K159" s="3" t="n">
        <v>7</v>
      </c>
      <c r="L159" s="2" t="s">
        <v>247</v>
      </c>
      <c r="M159" s="2" t="s">
        <v>80</v>
      </c>
      <c r="N159" s="2" t="s">
        <v>52</v>
      </c>
      <c r="O159" s="3" t="n">
        <v>1</v>
      </c>
      <c r="P159" s="2" t="s">
        <v>82</v>
      </c>
      <c r="Q159" s="2" t="s">
        <v>83</v>
      </c>
      <c r="R159" s="2" t="s">
        <v>80</v>
      </c>
      <c r="S159" s="2" t="s">
        <v>80</v>
      </c>
      <c r="T159" s="2" t="s">
        <v>782</v>
      </c>
      <c r="U159" s="2" t="s">
        <v>72</v>
      </c>
      <c r="V159" s="4" t="n">
        <v>300000</v>
      </c>
      <c r="W159" s="5" t="n">
        <v>14.16</v>
      </c>
      <c r="X159" s="3" t="n">
        <v>30</v>
      </c>
      <c r="Y159" s="6" t="n">
        <v>46182</v>
      </c>
      <c r="Z159" s="6" t="n">
        <v>46188</v>
      </c>
      <c r="AA159" s="6" t="n">
        <v>46193</v>
      </c>
      <c r="AB159" s="4" t="n">
        <f aca="false">ROUND(PMT(W159/1200,X159,-V159),2)</f>
        <v>11932.49</v>
      </c>
      <c r="AC159" s="4" t="n">
        <v>343000</v>
      </c>
      <c r="AD159" s="3" t="n">
        <v>0</v>
      </c>
      <c r="AE159" s="4" t="n">
        <v>54900</v>
      </c>
      <c r="AF159" s="4" t="n">
        <v>7600</v>
      </c>
      <c r="AG159" s="3" t="n">
        <v>28</v>
      </c>
      <c r="AH159" s="4" t="n">
        <v>7600</v>
      </c>
      <c r="AI159" s="3" t="n">
        <v>601</v>
      </c>
      <c r="AJ159" s="7" t="n">
        <f aca="false">ROUND(AB159/I159,4)</f>
        <v>0.5682</v>
      </c>
      <c r="AK159" s="2" t="str">
        <f aca="false">IF(AND(AI159&gt;=750,AJ159&lt;=0.35),"Low",IF(AND(AI159&gt;=600,AJ159&lt;=0.5),"Medium","High"))</f>
        <v>High</v>
      </c>
      <c r="AL159" s="3" t="n">
        <v>1</v>
      </c>
      <c r="AM159" s="2" t="s">
        <v>58</v>
      </c>
      <c r="AN159" s="2" t="s">
        <v>59</v>
      </c>
      <c r="AO159" s="2" t="s">
        <v>60</v>
      </c>
      <c r="AP159" s="7" t="n">
        <v>0.337</v>
      </c>
    </row>
    <row r="160" customFormat="false" ht="15" hidden="false" customHeight="false" outlineLevel="0" collapsed="false">
      <c r="A160" s="2" t="s">
        <v>783</v>
      </c>
      <c r="B160" s="2" t="s">
        <v>784</v>
      </c>
      <c r="C160" s="2" t="s">
        <v>785</v>
      </c>
      <c r="D160" s="2" t="s">
        <v>109</v>
      </c>
      <c r="E160" s="3" t="n">
        <v>37</v>
      </c>
      <c r="F160" s="2" t="s">
        <v>64</v>
      </c>
      <c r="G160" s="2" t="s">
        <v>176</v>
      </c>
      <c r="H160" s="2" t="s">
        <v>48</v>
      </c>
      <c r="I160" s="4" t="n">
        <v>92500</v>
      </c>
      <c r="J160" s="2" t="s">
        <v>177</v>
      </c>
      <c r="K160" s="3" t="n">
        <v>18</v>
      </c>
      <c r="L160" s="2" t="s">
        <v>91</v>
      </c>
      <c r="M160" s="2" t="s">
        <v>92</v>
      </c>
      <c r="N160" s="2" t="s">
        <v>140</v>
      </c>
      <c r="O160" s="3" t="n">
        <v>0</v>
      </c>
      <c r="P160" s="2" t="s">
        <v>229</v>
      </c>
      <c r="Q160" s="2" t="s">
        <v>230</v>
      </c>
      <c r="R160" s="2" t="s">
        <v>231</v>
      </c>
      <c r="S160" s="2" t="s">
        <v>92</v>
      </c>
      <c r="T160" s="2" t="s">
        <v>786</v>
      </c>
      <c r="U160" s="2" t="s">
        <v>85</v>
      </c>
      <c r="V160" s="4" t="n">
        <v>462000</v>
      </c>
      <c r="W160" s="5" t="n">
        <v>10.64</v>
      </c>
      <c r="X160" s="3" t="n">
        <v>12</v>
      </c>
      <c r="Y160" s="6" t="n">
        <v>46203</v>
      </c>
      <c r="Z160" s="6"/>
      <c r="AA160" s="6"/>
      <c r="AB160" s="4" t="n">
        <f aca="false">ROUND(PMT(W160/1200,X160,-V160),2)</f>
        <v>40754.79</v>
      </c>
      <c r="AC160" s="4" t="n">
        <v>0</v>
      </c>
      <c r="AD160" s="3" t="n">
        <v>1</v>
      </c>
      <c r="AE160" s="4" t="n">
        <v>243700</v>
      </c>
      <c r="AF160" s="4" t="n">
        <v>62500</v>
      </c>
      <c r="AG160" s="3"/>
      <c r="AH160" s="4" t="n">
        <v>47800</v>
      </c>
      <c r="AI160" s="3" t="n">
        <v>603</v>
      </c>
      <c r="AJ160" s="7" t="n">
        <f aca="false">ROUND(AB160/I160,4)</f>
        <v>0.4406</v>
      </c>
      <c r="AK160" s="2" t="str">
        <f aca="false">IF(AND(AI160&gt;=750,AJ160&lt;=0.35),"Low",IF(AND(AI160&gt;=600,AJ160&lt;=0.5),"Medium","High"))</f>
        <v>Medium</v>
      </c>
      <c r="AL160" s="3" t="n">
        <v>0</v>
      </c>
      <c r="AM160" s="2" t="s">
        <v>58</v>
      </c>
      <c r="AN160" s="2"/>
      <c r="AO160" s="2" t="s">
        <v>127</v>
      </c>
      <c r="AP160" s="7" t="n">
        <v>0.36</v>
      </c>
    </row>
    <row r="161" customFormat="false" ht="15" hidden="false" customHeight="false" outlineLevel="0" collapsed="false">
      <c r="A161" s="2" t="s">
        <v>787</v>
      </c>
      <c r="B161" s="2" t="s">
        <v>788</v>
      </c>
      <c r="C161" s="2" t="s">
        <v>789</v>
      </c>
      <c r="D161" s="2" t="s">
        <v>109</v>
      </c>
      <c r="E161" s="3" t="n">
        <v>49</v>
      </c>
      <c r="F161" s="2" t="s">
        <v>64</v>
      </c>
      <c r="G161" s="2" t="s">
        <v>90</v>
      </c>
      <c r="H161" s="2" t="s">
        <v>77</v>
      </c>
      <c r="I161" s="4" t="n">
        <v>29500</v>
      </c>
      <c r="J161" s="2" t="s">
        <v>90</v>
      </c>
      <c r="K161" s="3" t="n">
        <v>25</v>
      </c>
      <c r="L161" s="2" t="s">
        <v>168</v>
      </c>
      <c r="M161" s="2" t="s">
        <v>92</v>
      </c>
      <c r="N161" s="2" t="s">
        <v>140</v>
      </c>
      <c r="O161" s="3"/>
      <c r="P161" s="2" t="s">
        <v>93</v>
      </c>
      <c r="Q161" s="2" t="s">
        <v>94</v>
      </c>
      <c r="R161" s="2" t="s">
        <v>95</v>
      </c>
      <c r="S161" s="2" t="s">
        <v>92</v>
      </c>
      <c r="T161" s="2" t="s">
        <v>790</v>
      </c>
      <c r="U161" s="2" t="s">
        <v>57</v>
      </c>
      <c r="V161" s="4" t="n">
        <v>800000</v>
      </c>
      <c r="W161" s="5" t="n">
        <v>10.22</v>
      </c>
      <c r="X161" s="3" t="n">
        <v>120</v>
      </c>
      <c r="Y161" s="6" t="n">
        <v>46175</v>
      </c>
      <c r="Z161" s="6" t="n">
        <v>46179</v>
      </c>
      <c r="AA161" s="6" t="n">
        <v>46180</v>
      </c>
      <c r="AB161" s="4" t="n">
        <f aca="false">ROUND(PMT(W161/1200,X161,-V161),2)</f>
        <v>10669.76</v>
      </c>
      <c r="AC161" s="4" t="n">
        <v>980000</v>
      </c>
      <c r="AD161" s="3" t="n">
        <v>0</v>
      </c>
      <c r="AE161" s="4" t="n">
        <v>4489125</v>
      </c>
      <c r="AF161" s="4" t="n">
        <v>19700</v>
      </c>
      <c r="AG161" s="3" t="n">
        <v>34</v>
      </c>
      <c r="AH161" s="4" t="n">
        <v>24700</v>
      </c>
      <c r="AI161" s="3" t="n">
        <v>712</v>
      </c>
      <c r="AJ161" s="7" t="n">
        <f aca="false">ROUND(AB161/I161,4)</f>
        <v>0.3617</v>
      </c>
      <c r="AK161" s="2" t="str">
        <f aca="false">IF(AND(AI161&gt;=750,AJ161&lt;=0.35),"Low",IF(AND(AI161&gt;=600,AJ161&lt;=0.5),"Medium","High"))</f>
        <v>Medium</v>
      </c>
      <c r="AL161" s="3" t="n">
        <v>4</v>
      </c>
      <c r="AM161" s="2" t="s">
        <v>233</v>
      </c>
      <c r="AN161" s="2" t="s">
        <v>59</v>
      </c>
      <c r="AO161" s="2" t="s">
        <v>60</v>
      </c>
      <c r="AP161" s="7" t="n">
        <v>0.365</v>
      </c>
    </row>
    <row r="162" customFormat="false" ht="15" hidden="false" customHeight="false" outlineLevel="0" collapsed="false">
      <c r="A162" s="2" t="s">
        <v>791</v>
      </c>
      <c r="B162" s="2" t="s">
        <v>792</v>
      </c>
      <c r="C162" s="2" t="s">
        <v>793</v>
      </c>
      <c r="D162" s="2" t="s">
        <v>45</v>
      </c>
      <c r="E162" s="3" t="n">
        <v>37</v>
      </c>
      <c r="F162" s="2" t="s">
        <v>64</v>
      </c>
      <c r="G162" s="2" t="s">
        <v>65</v>
      </c>
      <c r="H162" s="2" t="s">
        <v>48</v>
      </c>
      <c r="I162" s="4" t="n">
        <v>40500</v>
      </c>
      <c r="J162" s="2" t="s">
        <v>49</v>
      </c>
      <c r="K162" s="3" t="n">
        <v>16</v>
      </c>
      <c r="L162" s="2" t="s">
        <v>66</v>
      </c>
      <c r="M162" s="2" t="s">
        <v>67</v>
      </c>
      <c r="N162" s="2" t="s">
        <v>102</v>
      </c>
      <c r="O162" s="3" t="n">
        <v>0</v>
      </c>
      <c r="P162" s="2" t="s">
        <v>68</v>
      </c>
      <c r="Q162" s="2" t="s">
        <v>69</v>
      </c>
      <c r="R162" s="2" t="s">
        <v>70</v>
      </c>
      <c r="S162" s="2" t="s">
        <v>67</v>
      </c>
      <c r="T162" s="2" t="s">
        <v>794</v>
      </c>
      <c r="U162" s="2" t="s">
        <v>57</v>
      </c>
      <c r="V162" s="4" t="n">
        <v>800000</v>
      </c>
      <c r="W162" s="5" t="n">
        <v>10.34</v>
      </c>
      <c r="X162" s="3" t="n">
        <v>204</v>
      </c>
      <c r="Y162" s="6" t="n">
        <v>46186</v>
      </c>
      <c r="Z162" s="6" t="n">
        <v>46192</v>
      </c>
      <c r="AA162" s="6" t="n">
        <v>46195</v>
      </c>
      <c r="AB162" s="4" t="n">
        <f aca="false">ROUND(PMT(W162/1200,X162,-V162),2)</f>
        <v>8342.68</v>
      </c>
      <c r="AC162" s="4" t="n">
        <v>1055000</v>
      </c>
      <c r="AD162" s="3" t="n">
        <v>2</v>
      </c>
      <c r="AE162" s="4" t="n">
        <v>33200</v>
      </c>
      <c r="AF162" s="4" t="n">
        <v>6600</v>
      </c>
      <c r="AG162" s="3" t="n">
        <v>14</v>
      </c>
      <c r="AH162" s="4" t="n">
        <v>40600</v>
      </c>
      <c r="AI162" s="3" t="n">
        <v>670</v>
      </c>
      <c r="AJ162" s="7" t="n">
        <f aca="false">ROUND(AB162/I162,4)</f>
        <v>0.206</v>
      </c>
      <c r="AK162" s="2" t="str">
        <f aca="false">IF(AND(AI162&gt;=750,AJ162&lt;=0.35),"Low",IF(AND(AI162&gt;=600,AJ162&lt;=0.5),"Medium","High"))</f>
        <v>Medium</v>
      </c>
      <c r="AL162" s="3" t="n">
        <v>1</v>
      </c>
      <c r="AM162" s="2" t="s">
        <v>58</v>
      </c>
      <c r="AN162" s="2" t="s">
        <v>59</v>
      </c>
      <c r="AO162" s="2" t="s">
        <v>60</v>
      </c>
      <c r="AP162" s="7" t="n">
        <v>0.297</v>
      </c>
    </row>
    <row r="163" customFormat="false" ht="15" hidden="false" customHeight="false" outlineLevel="0" collapsed="false">
      <c r="A163" s="2" t="s">
        <v>795</v>
      </c>
      <c r="B163" s="2" t="s">
        <v>796</v>
      </c>
      <c r="C163" s="2" t="s">
        <v>797</v>
      </c>
      <c r="D163" s="2" t="s">
        <v>109</v>
      </c>
      <c r="E163" s="3" t="n">
        <v>29</v>
      </c>
      <c r="F163" s="2" t="s">
        <v>175</v>
      </c>
      <c r="G163" s="2"/>
      <c r="H163" s="2" t="s">
        <v>48</v>
      </c>
      <c r="I163" s="4" t="n">
        <v>61000</v>
      </c>
      <c r="J163" s="2" t="s">
        <v>177</v>
      </c>
      <c r="K163" s="3" t="n">
        <v>6</v>
      </c>
      <c r="L163" s="2" t="s">
        <v>279</v>
      </c>
      <c r="M163" s="2" t="s">
        <v>51</v>
      </c>
      <c r="N163" s="2" t="s">
        <v>52</v>
      </c>
      <c r="O163" s="3" t="n">
        <v>0</v>
      </c>
      <c r="P163" s="2" t="s">
        <v>53</v>
      </c>
      <c r="Q163" s="2" t="s">
        <v>54</v>
      </c>
      <c r="R163" s="2" t="s">
        <v>55</v>
      </c>
      <c r="S163" s="2" t="s">
        <v>51</v>
      </c>
      <c r="T163" s="2" t="s">
        <v>798</v>
      </c>
      <c r="U163" s="2" t="s">
        <v>72</v>
      </c>
      <c r="V163" s="4" t="n">
        <v>711000</v>
      </c>
      <c r="W163" s="5" t="n">
        <v>16.25</v>
      </c>
      <c r="X163" s="3" t="n">
        <v>72</v>
      </c>
      <c r="Y163" s="6" t="n">
        <v>46197</v>
      </c>
      <c r="Z163" s="6" t="n">
        <v>46207</v>
      </c>
      <c r="AA163" s="6" t="n">
        <v>46211</v>
      </c>
      <c r="AB163" s="4" t="n">
        <f aca="false">ROUND(PMT(W163/1200,X163,-V163),2)</f>
        <v>15520.93</v>
      </c>
      <c r="AC163" s="4" t="n">
        <v>997000</v>
      </c>
      <c r="AD163" s="3" t="n">
        <v>0</v>
      </c>
      <c r="AE163" s="4" t="n">
        <v>162200</v>
      </c>
      <c r="AF163" s="4" t="n">
        <v>76500</v>
      </c>
      <c r="AG163" s="3" t="n">
        <v>30</v>
      </c>
      <c r="AH163" s="4" t="n">
        <v>54300</v>
      </c>
      <c r="AI163" s="3" t="n">
        <v>701</v>
      </c>
      <c r="AJ163" s="7" t="n">
        <f aca="false">ROUND(AB163/I163,4)</f>
        <v>0.2544</v>
      </c>
      <c r="AK163" s="2" t="str">
        <f aca="false">IF(AND(AI163&gt;=750,AJ163&lt;=0.35),"Low",IF(AND(AI163&gt;=600,AJ163&lt;=0.5),"Medium","High"))</f>
        <v>Medium</v>
      </c>
      <c r="AL163" s="3" t="n">
        <v>3</v>
      </c>
      <c r="AM163" s="2" t="s">
        <v>233</v>
      </c>
      <c r="AN163" s="2" t="s">
        <v>119</v>
      </c>
      <c r="AO163" s="2" t="s">
        <v>60</v>
      </c>
      <c r="AP163" s="7" t="n">
        <v>0.309</v>
      </c>
    </row>
    <row r="164" customFormat="false" ht="15" hidden="false" customHeight="false" outlineLevel="0" collapsed="false">
      <c r="A164" s="2" t="s">
        <v>799</v>
      </c>
      <c r="B164" s="2" t="s">
        <v>800</v>
      </c>
      <c r="C164" s="2" t="s">
        <v>801</v>
      </c>
      <c r="D164" s="2" t="s">
        <v>45</v>
      </c>
      <c r="E164" s="3" t="n">
        <v>29</v>
      </c>
      <c r="F164" s="2" t="s">
        <v>64</v>
      </c>
      <c r="G164" s="2" t="s">
        <v>90</v>
      </c>
      <c r="H164" s="2" t="s">
        <v>77</v>
      </c>
      <c r="I164" s="4" t="n">
        <v>22000</v>
      </c>
      <c r="J164" s="2" t="s">
        <v>90</v>
      </c>
      <c r="K164" s="3" t="n">
        <v>6</v>
      </c>
      <c r="L164" s="2" t="s">
        <v>178</v>
      </c>
      <c r="M164" s="2" t="s">
        <v>92</v>
      </c>
      <c r="N164" s="2" t="s">
        <v>52</v>
      </c>
      <c r="O164" s="3" t="n">
        <v>2</v>
      </c>
      <c r="P164" s="2" t="s">
        <v>93</v>
      </c>
      <c r="Q164" s="2" t="s">
        <v>94</v>
      </c>
      <c r="R164" s="2" t="s">
        <v>95</v>
      </c>
      <c r="S164" s="2" t="s">
        <v>92</v>
      </c>
      <c r="T164" s="2" t="s">
        <v>802</v>
      </c>
      <c r="U164" s="2" t="s">
        <v>85</v>
      </c>
      <c r="V164" s="4" t="n">
        <v>73000</v>
      </c>
      <c r="W164" s="5" t="n">
        <v>9.2</v>
      </c>
      <c r="X164" s="3" t="n">
        <v>12</v>
      </c>
      <c r="Y164" s="6" t="n">
        <v>46202</v>
      </c>
      <c r="Z164" s="6"/>
      <c r="AA164" s="6"/>
      <c r="AB164" s="4" t="n">
        <f aca="false">ROUND(PMT(W164/1200,X164,-V164),2)</f>
        <v>6390.73</v>
      </c>
      <c r="AC164" s="4" t="n">
        <v>0</v>
      </c>
      <c r="AD164" s="3" t="n">
        <v>1</v>
      </c>
      <c r="AE164" s="4" t="n">
        <v>45100</v>
      </c>
      <c r="AF164" s="4" t="n">
        <v>19200</v>
      </c>
      <c r="AG164" s="3" t="n">
        <v>52</v>
      </c>
      <c r="AH164" s="4" t="n">
        <v>23100</v>
      </c>
      <c r="AI164" s="3" t="n">
        <v>776</v>
      </c>
      <c r="AJ164" s="7" t="n">
        <f aca="false">ROUND(AB164/I164,4)</f>
        <v>0.2905</v>
      </c>
      <c r="AK164" s="2" t="str">
        <f aca="false">IF(AND(AI164&gt;=750,AJ164&lt;=0.35),"Low",IF(AND(AI164&gt;=600,AJ164&lt;=0.5),"Medium","High"))</f>
        <v>Low</v>
      </c>
      <c r="AL164" s="3" t="n">
        <v>2</v>
      </c>
      <c r="AM164" s="2" t="s">
        <v>58</v>
      </c>
      <c r="AN164" s="2"/>
      <c r="AO164" s="2" t="s">
        <v>134</v>
      </c>
      <c r="AP164" s="7" t="n">
        <v>0.158</v>
      </c>
    </row>
    <row r="165" customFormat="false" ht="15" hidden="false" customHeight="false" outlineLevel="0" collapsed="false">
      <c r="A165" s="2" t="s">
        <v>803</v>
      </c>
      <c r="B165" s="2" t="s">
        <v>804</v>
      </c>
      <c r="C165" s="2" t="s">
        <v>805</v>
      </c>
      <c r="D165" s="2" t="s">
        <v>45</v>
      </c>
      <c r="E165" s="3" t="n">
        <v>32</v>
      </c>
      <c r="F165" s="2" t="s">
        <v>64</v>
      </c>
      <c r="G165" s="2" t="s">
        <v>76</v>
      </c>
      <c r="H165" s="2" t="s">
        <v>48</v>
      </c>
      <c r="I165" s="4" t="n">
        <v>25000</v>
      </c>
      <c r="J165" s="2" t="s">
        <v>78</v>
      </c>
      <c r="K165" s="3"/>
      <c r="L165" s="2" t="s">
        <v>79</v>
      </c>
      <c r="M165" s="2" t="s">
        <v>80</v>
      </c>
      <c r="N165" s="2" t="s">
        <v>102</v>
      </c>
      <c r="O165" s="3" t="n">
        <v>0</v>
      </c>
      <c r="P165" s="2" t="s">
        <v>82</v>
      </c>
      <c r="Q165" s="2" t="s">
        <v>83</v>
      </c>
      <c r="R165" s="2" t="s">
        <v>80</v>
      </c>
      <c r="S165" s="2" t="s">
        <v>80</v>
      </c>
      <c r="T165" s="2" t="s">
        <v>806</v>
      </c>
      <c r="U165" s="2" t="s">
        <v>85</v>
      </c>
      <c r="V165" s="4" t="n">
        <v>144000</v>
      </c>
      <c r="W165" s="5" t="n">
        <v>9.96</v>
      </c>
      <c r="X165" s="3" t="n">
        <v>18</v>
      </c>
      <c r="Y165" s="6" t="n">
        <v>46186</v>
      </c>
      <c r="Z165" s="6" t="n">
        <v>46193</v>
      </c>
      <c r="AA165" s="6" t="n">
        <v>46194</v>
      </c>
      <c r="AB165" s="4" t="n">
        <f aca="false">ROUND(PMT(W165/1200,X165,-V165),2)</f>
        <v>8645.57</v>
      </c>
      <c r="AC165" s="4" t="n">
        <v>0</v>
      </c>
      <c r="AD165" s="3" t="n">
        <v>0</v>
      </c>
      <c r="AE165" s="4" t="n">
        <v>26500</v>
      </c>
      <c r="AF165" s="4" t="n">
        <v>4800</v>
      </c>
      <c r="AG165" s="3" t="n">
        <v>39</v>
      </c>
      <c r="AH165" s="4" t="n">
        <v>8900</v>
      </c>
      <c r="AI165" s="3" t="n">
        <v>632</v>
      </c>
      <c r="AJ165" s="7" t="n">
        <f aca="false">ROUND(AB165/I165,4)</f>
        <v>0.3458</v>
      </c>
      <c r="AK165" s="2" t="str">
        <f aca="false">IF(AND(AI165&gt;=750,AJ165&lt;=0.35),"Low",IF(AND(AI165&gt;=600,AJ165&lt;=0.5),"Medium","High"))</f>
        <v>Medium</v>
      </c>
      <c r="AL165" s="3" t="n">
        <v>2</v>
      </c>
      <c r="AM165" s="2" t="s">
        <v>58</v>
      </c>
      <c r="AN165" s="2" t="s">
        <v>119</v>
      </c>
      <c r="AO165" s="2" t="s">
        <v>60</v>
      </c>
      <c r="AP165" s="7" t="n">
        <v>0.264</v>
      </c>
    </row>
    <row r="166" customFormat="false" ht="15" hidden="false" customHeight="false" outlineLevel="0" collapsed="false">
      <c r="A166" s="2" t="s">
        <v>807</v>
      </c>
      <c r="B166" s="2" t="s">
        <v>808</v>
      </c>
      <c r="C166" s="2" t="s">
        <v>809</v>
      </c>
      <c r="D166" s="2" t="s">
        <v>45</v>
      </c>
      <c r="E166" s="3" t="n">
        <v>43</v>
      </c>
      <c r="F166" s="2" t="s">
        <v>64</v>
      </c>
      <c r="G166" s="2" t="s">
        <v>90</v>
      </c>
      <c r="H166" s="2" t="s">
        <v>123</v>
      </c>
      <c r="I166" s="4" t="n">
        <v>15500</v>
      </c>
      <c r="J166" s="2" t="s">
        <v>90</v>
      </c>
      <c r="K166" s="3" t="n">
        <v>19</v>
      </c>
      <c r="L166" s="2" t="s">
        <v>67</v>
      </c>
      <c r="M166" s="2" t="s">
        <v>67</v>
      </c>
      <c r="N166" s="2" t="s">
        <v>81</v>
      </c>
      <c r="O166" s="3" t="n">
        <v>3</v>
      </c>
      <c r="P166" s="2" t="s">
        <v>103</v>
      </c>
      <c r="Q166" s="2" t="s">
        <v>104</v>
      </c>
      <c r="R166" s="2" t="s">
        <v>67</v>
      </c>
      <c r="S166" s="2" t="s">
        <v>67</v>
      </c>
      <c r="T166" s="2" t="s">
        <v>810</v>
      </c>
      <c r="U166" s="2" t="s">
        <v>57</v>
      </c>
      <c r="V166" s="4" t="n">
        <v>800000</v>
      </c>
      <c r="W166" s="5" t="n">
        <v>11.21</v>
      </c>
      <c r="X166" s="3" t="n">
        <v>252</v>
      </c>
      <c r="Y166" s="6" t="n">
        <v>46202</v>
      </c>
      <c r="Z166" s="6"/>
      <c r="AA166" s="6"/>
      <c r="AB166" s="4" t="n">
        <f aca="false">ROUND(PMT(W166/1200,X166,-V166),2)</f>
        <v>8267.17</v>
      </c>
      <c r="AC166" s="4" t="n">
        <v>923000</v>
      </c>
      <c r="AD166" s="3" t="n">
        <v>0</v>
      </c>
      <c r="AE166" s="4" t="n">
        <v>35200</v>
      </c>
      <c r="AF166" s="4" t="n">
        <v>20100</v>
      </c>
      <c r="AG166" s="3" t="n">
        <v>8</v>
      </c>
      <c r="AH166" s="4" t="n">
        <v>15500</v>
      </c>
      <c r="AI166" s="3" t="n">
        <v>612</v>
      </c>
      <c r="AJ166" s="7" t="n">
        <f aca="false">ROUND(AB166/I166,4)</f>
        <v>0.5334</v>
      </c>
      <c r="AK166" s="2" t="str">
        <f aca="false">IF(AND(AI166&gt;=750,AJ166&lt;=0.35),"Low",IF(AND(AI166&gt;=600,AJ166&lt;=0.5),"Medium","High"))</f>
        <v>High</v>
      </c>
      <c r="AL166" s="3" t="n">
        <v>3</v>
      </c>
      <c r="AM166" s="2" t="s">
        <v>233</v>
      </c>
      <c r="AN166" s="2"/>
      <c r="AO166" s="2" t="s">
        <v>134</v>
      </c>
      <c r="AP166" s="7" t="n">
        <v>0.401</v>
      </c>
    </row>
    <row r="167" customFormat="false" ht="15" hidden="false" customHeight="false" outlineLevel="0" collapsed="false">
      <c r="A167" s="2" t="s">
        <v>811</v>
      </c>
      <c r="B167" s="2" t="s">
        <v>812</v>
      </c>
      <c r="C167" s="2" t="s">
        <v>813</v>
      </c>
      <c r="D167" s="2" t="s">
        <v>45</v>
      </c>
      <c r="E167" s="3" t="n">
        <v>68</v>
      </c>
      <c r="F167" s="2" t="s">
        <v>64</v>
      </c>
      <c r="G167" s="2" t="s">
        <v>176</v>
      </c>
      <c r="H167" s="2" t="s">
        <v>123</v>
      </c>
      <c r="I167" s="4" t="n">
        <v>39500</v>
      </c>
      <c r="J167" s="2" t="s">
        <v>177</v>
      </c>
      <c r="K167" s="3" t="n">
        <v>9</v>
      </c>
      <c r="L167" s="2" t="s">
        <v>569</v>
      </c>
      <c r="M167" s="2" t="s">
        <v>67</v>
      </c>
      <c r="N167" s="2" t="s">
        <v>140</v>
      </c>
      <c r="O167" s="3" t="n">
        <v>2</v>
      </c>
      <c r="P167" s="2" t="s">
        <v>115</v>
      </c>
      <c r="Q167" s="2" t="s">
        <v>116</v>
      </c>
      <c r="R167" s="2" t="s">
        <v>114</v>
      </c>
      <c r="S167" s="2" t="s">
        <v>114</v>
      </c>
      <c r="T167" s="2" t="s">
        <v>814</v>
      </c>
      <c r="U167" s="2" t="s">
        <v>192</v>
      </c>
      <c r="V167" s="4" t="n">
        <v>328000</v>
      </c>
      <c r="W167" s="5" t="n">
        <v>13.13</v>
      </c>
      <c r="X167" s="3" t="n">
        <v>24</v>
      </c>
      <c r="Y167" s="6" t="n">
        <v>46186</v>
      </c>
      <c r="Z167" s="6" t="n">
        <v>46194</v>
      </c>
      <c r="AA167" s="6" t="n">
        <v>46196</v>
      </c>
      <c r="AB167" s="4" t="n">
        <f aca="false">ROUND(PMT(W167/1200,X167,-V167),2)</f>
        <v>15613.75</v>
      </c>
      <c r="AC167" s="4" t="n">
        <v>442000</v>
      </c>
      <c r="AD167" s="3" t="n">
        <v>2</v>
      </c>
      <c r="AE167" s="4" t="n">
        <v>42600</v>
      </c>
      <c r="AF167" s="4" t="n">
        <v>4300</v>
      </c>
      <c r="AG167" s="3" t="n">
        <v>23</v>
      </c>
      <c r="AH167" s="4"/>
      <c r="AI167" s="3" t="n">
        <v>726</v>
      </c>
      <c r="AJ167" s="7" t="n">
        <f aca="false">ROUND(AB167/I167,4)</f>
        <v>0.3953</v>
      </c>
      <c r="AK167" s="2" t="str">
        <f aca="false">IF(AND(AI167&gt;=750,AJ167&lt;=0.35),"Low",IF(AND(AI167&gt;=600,AJ167&lt;=0.5),"Medium","High"))</f>
        <v>Medium</v>
      </c>
      <c r="AL167" s="3" t="n">
        <v>2</v>
      </c>
      <c r="AM167" s="2" t="s">
        <v>233</v>
      </c>
      <c r="AN167" s="2" t="s">
        <v>59</v>
      </c>
      <c r="AO167" s="2" t="s">
        <v>60</v>
      </c>
      <c r="AP167" s="7" t="n">
        <v>0.311</v>
      </c>
    </row>
    <row r="168" customFormat="false" ht="15" hidden="false" customHeight="false" outlineLevel="0" collapsed="false">
      <c r="A168" s="2" t="s">
        <v>815</v>
      </c>
      <c r="B168" s="2" t="s">
        <v>816</v>
      </c>
      <c r="C168" s="2" t="s">
        <v>817</v>
      </c>
      <c r="D168" s="2" t="s">
        <v>45</v>
      </c>
      <c r="E168" s="3" t="n">
        <v>39</v>
      </c>
      <c r="F168" s="2" t="s">
        <v>64</v>
      </c>
      <c r="G168" s="2" t="s">
        <v>47</v>
      </c>
      <c r="H168" s="2" t="s">
        <v>48</v>
      </c>
      <c r="I168" s="4" t="n">
        <v>164500</v>
      </c>
      <c r="J168" s="2" t="s">
        <v>49</v>
      </c>
      <c r="K168" s="3" t="n">
        <v>14</v>
      </c>
      <c r="L168" s="2" t="s">
        <v>91</v>
      </c>
      <c r="M168" s="2" t="s">
        <v>92</v>
      </c>
      <c r="N168" s="2" t="s">
        <v>52</v>
      </c>
      <c r="O168" s="3" t="n">
        <v>0</v>
      </c>
      <c r="P168" s="2" t="s">
        <v>124</v>
      </c>
      <c r="Q168" s="2" t="s">
        <v>125</v>
      </c>
      <c r="R168" s="2" t="s">
        <v>91</v>
      </c>
      <c r="S168" s="2" t="s">
        <v>92</v>
      </c>
      <c r="T168" s="2" t="s">
        <v>818</v>
      </c>
      <c r="U168" s="2" t="s">
        <v>180</v>
      </c>
      <c r="V168" s="4" t="n">
        <v>2174000</v>
      </c>
      <c r="W168" s="5" t="n">
        <v>10.33</v>
      </c>
      <c r="X168" s="3" t="n">
        <v>42</v>
      </c>
      <c r="Y168" s="6" t="n">
        <v>46195</v>
      </c>
      <c r="Z168" s="6" t="n">
        <v>46204</v>
      </c>
      <c r="AA168" s="6" t="n">
        <v>46208</v>
      </c>
      <c r="AB168" s="4" t="n">
        <f aca="false">ROUND(PMT(W168/1200,X168,-V168),2)</f>
        <v>61901.87</v>
      </c>
      <c r="AC168" s="4"/>
      <c r="AD168" s="3" t="n">
        <v>0</v>
      </c>
      <c r="AE168" s="4" t="n">
        <v>208700</v>
      </c>
      <c r="AF168" s="4" t="n">
        <v>121000</v>
      </c>
      <c r="AG168" s="3" t="n">
        <v>20</v>
      </c>
      <c r="AH168" s="4" t="n">
        <v>130500</v>
      </c>
      <c r="AI168" s="3" t="n">
        <v>723</v>
      </c>
      <c r="AJ168" s="7" t="n">
        <f aca="false">ROUND(AB168/I168,4)</f>
        <v>0.3763</v>
      </c>
      <c r="AK168" s="2" t="str">
        <f aca="false">IF(AND(AI168&gt;=750,AJ168&lt;=0.35),"Low",IF(AND(AI168&gt;=600,AJ168&lt;=0.5),"Medium","High"))</f>
        <v>Medium</v>
      </c>
      <c r="AL168" s="3" t="n">
        <v>1</v>
      </c>
      <c r="AM168" s="2" t="s">
        <v>58</v>
      </c>
      <c r="AN168" s="2" t="s">
        <v>59</v>
      </c>
      <c r="AO168" s="2" t="s">
        <v>60</v>
      </c>
      <c r="AP168" s="7" t="n">
        <v>0.161</v>
      </c>
    </row>
    <row r="169" customFormat="false" ht="15" hidden="false" customHeight="false" outlineLevel="0" collapsed="false">
      <c r="A169" s="2" t="s">
        <v>819</v>
      </c>
      <c r="B169" s="2" t="s">
        <v>820</v>
      </c>
      <c r="C169" s="2" t="s">
        <v>648</v>
      </c>
      <c r="D169" s="2" t="s">
        <v>45</v>
      </c>
      <c r="E169" s="3" t="n">
        <v>21</v>
      </c>
      <c r="F169" s="2" t="s">
        <v>64</v>
      </c>
      <c r="G169" s="2" t="s">
        <v>76</v>
      </c>
      <c r="H169" s="2" t="s">
        <v>101</v>
      </c>
      <c r="I169" s="4" t="n">
        <v>77000</v>
      </c>
      <c r="J169" s="2" t="s">
        <v>78</v>
      </c>
      <c r="K169" s="3" t="n">
        <v>2</v>
      </c>
      <c r="L169" s="2" t="s">
        <v>653</v>
      </c>
      <c r="M169" s="2" t="s">
        <v>159</v>
      </c>
      <c r="N169" s="2" t="s">
        <v>140</v>
      </c>
      <c r="O169" s="3" t="n">
        <v>2</v>
      </c>
      <c r="P169" s="2" t="s">
        <v>160</v>
      </c>
      <c r="Q169" s="2" t="s">
        <v>161</v>
      </c>
      <c r="R169" s="2" t="s">
        <v>159</v>
      </c>
      <c r="S169" s="2" t="s">
        <v>159</v>
      </c>
      <c r="T169" s="2" t="s">
        <v>821</v>
      </c>
      <c r="U169" s="2" t="s">
        <v>85</v>
      </c>
      <c r="V169" s="4" t="n">
        <v>325000</v>
      </c>
      <c r="W169" s="5" t="n">
        <v>9.88</v>
      </c>
      <c r="X169" s="3" t="n">
        <v>12</v>
      </c>
      <c r="Y169" s="6" t="n">
        <v>46198</v>
      </c>
      <c r="Z169" s="6"/>
      <c r="AA169" s="6"/>
      <c r="AB169" s="4" t="n">
        <f aca="false">ROUND(PMT(W169/1200,X169,-V169),2)</f>
        <v>28554.53</v>
      </c>
      <c r="AC169" s="4" t="n">
        <v>0</v>
      </c>
      <c r="AD169" s="3" t="n">
        <v>1</v>
      </c>
      <c r="AE169" s="4" t="n">
        <v>225000</v>
      </c>
      <c r="AF169" s="4" t="n">
        <v>45700</v>
      </c>
      <c r="AG169" s="3" t="n">
        <v>22</v>
      </c>
      <c r="AH169" s="4" t="n">
        <v>47200</v>
      </c>
      <c r="AI169" s="3" t="n">
        <v>474</v>
      </c>
      <c r="AJ169" s="7" t="n">
        <f aca="false">ROUND(AB169/I169,4)</f>
        <v>0.3708</v>
      </c>
      <c r="AK169" s="2" t="str">
        <f aca="false">IF(AND(AI169&gt;=750,AJ169&lt;=0.35),"Low",IF(AND(AI169&gt;=600,AJ169&lt;=0.5),"Medium","High"))</f>
        <v>High</v>
      </c>
      <c r="AL169" s="3" t="n">
        <v>3</v>
      </c>
      <c r="AM169" s="2" t="s">
        <v>58</v>
      </c>
      <c r="AN169" s="2"/>
      <c r="AO169" s="2" t="s">
        <v>127</v>
      </c>
      <c r="AP169" s="7" t="n">
        <v>0.438</v>
      </c>
    </row>
    <row r="170" customFormat="false" ht="15" hidden="false" customHeight="false" outlineLevel="0" collapsed="false">
      <c r="A170" s="2" t="s">
        <v>822</v>
      </c>
      <c r="B170" s="2" t="s">
        <v>823</v>
      </c>
      <c r="C170" s="2" t="s">
        <v>824</v>
      </c>
      <c r="D170" s="2" t="s">
        <v>45</v>
      </c>
      <c r="E170" s="3" t="n">
        <v>36</v>
      </c>
      <c r="F170" s="2" t="s">
        <v>64</v>
      </c>
      <c r="G170" s="2" t="s">
        <v>176</v>
      </c>
      <c r="H170" s="2" t="s">
        <v>77</v>
      </c>
      <c r="I170" s="4" t="n">
        <v>71500</v>
      </c>
      <c r="J170" s="2" t="s">
        <v>177</v>
      </c>
      <c r="K170" s="3" t="n">
        <v>17</v>
      </c>
      <c r="L170" s="2" t="s">
        <v>241</v>
      </c>
      <c r="M170" s="2" t="s">
        <v>92</v>
      </c>
      <c r="N170" s="2" t="s">
        <v>52</v>
      </c>
      <c r="O170" s="3" t="n">
        <v>2</v>
      </c>
      <c r="P170" s="2" t="s">
        <v>124</v>
      </c>
      <c r="Q170" s="2" t="s">
        <v>125</v>
      </c>
      <c r="R170" s="2" t="s">
        <v>91</v>
      </c>
      <c r="S170" s="2" t="s">
        <v>92</v>
      </c>
      <c r="T170" s="2" t="s">
        <v>825</v>
      </c>
      <c r="U170" s="2" t="s">
        <v>72</v>
      </c>
      <c r="V170" s="4" t="n">
        <v>318000</v>
      </c>
      <c r="W170" s="5" t="n">
        <v>14.44</v>
      </c>
      <c r="X170" s="3" t="n">
        <v>30</v>
      </c>
      <c r="Y170" s="6" t="n">
        <v>46179</v>
      </c>
      <c r="Z170" s="6"/>
      <c r="AA170" s="6"/>
      <c r="AB170" s="4" t="n">
        <f aca="false">ROUND(PMT(W170/1200,X170,-V170),2)</f>
        <v>12691.13</v>
      </c>
      <c r="AC170" s="4" t="n">
        <v>320000</v>
      </c>
      <c r="AD170" s="3" t="n">
        <v>1</v>
      </c>
      <c r="AE170" s="4" t="n">
        <v>245000</v>
      </c>
      <c r="AF170" s="4" t="n">
        <v>125100</v>
      </c>
      <c r="AG170" s="3" t="n">
        <v>52</v>
      </c>
      <c r="AH170" s="4"/>
      <c r="AI170" s="3" t="n">
        <v>900</v>
      </c>
      <c r="AJ170" s="7" t="n">
        <f aca="false">ROUND(AB170/I170,4)</f>
        <v>0.1775</v>
      </c>
      <c r="AK170" s="2" t="str">
        <f aca="false">IF(AND(AI170&gt;=750,AJ170&lt;=0.35),"Low",IF(AND(AI170&gt;=600,AJ170&lt;=0.5),"Medium","High"))</f>
        <v>Low</v>
      </c>
      <c r="AL170" s="3" t="n">
        <v>0</v>
      </c>
      <c r="AM170" s="2" t="s">
        <v>58</v>
      </c>
      <c r="AN170" s="2"/>
      <c r="AO170" s="2" t="s">
        <v>134</v>
      </c>
      <c r="AP170" s="7" t="n">
        <v>0.051</v>
      </c>
    </row>
    <row r="171" customFormat="false" ht="15" hidden="false" customHeight="false" outlineLevel="0" collapsed="false">
      <c r="A171" s="2" t="s">
        <v>826</v>
      </c>
      <c r="B171" s="2" t="s">
        <v>827</v>
      </c>
      <c r="C171" s="2" t="s">
        <v>828</v>
      </c>
      <c r="D171" s="2" t="s">
        <v>109</v>
      </c>
      <c r="E171" s="3" t="n">
        <v>21</v>
      </c>
      <c r="F171" s="2" t="s">
        <v>46</v>
      </c>
      <c r="G171" s="2" t="s">
        <v>176</v>
      </c>
      <c r="H171" s="2" t="s">
        <v>48</v>
      </c>
      <c r="I171" s="4" t="n">
        <v>67000</v>
      </c>
      <c r="J171" s="2" t="s">
        <v>177</v>
      </c>
      <c r="K171" s="3" t="n">
        <v>2</v>
      </c>
      <c r="L171" s="2" t="s">
        <v>208</v>
      </c>
      <c r="M171" s="2" t="s">
        <v>114</v>
      </c>
      <c r="N171" s="2" t="s">
        <v>52</v>
      </c>
      <c r="O171" s="3" t="n">
        <v>1</v>
      </c>
      <c r="P171" s="2" t="s">
        <v>115</v>
      </c>
      <c r="Q171" s="2" t="s">
        <v>116</v>
      </c>
      <c r="R171" s="2" t="s">
        <v>114</v>
      </c>
      <c r="S171" s="2" t="s">
        <v>114</v>
      </c>
      <c r="T171" s="2" t="s">
        <v>829</v>
      </c>
      <c r="U171" s="2" t="s">
        <v>192</v>
      </c>
      <c r="V171" s="4" t="n">
        <v>1192000</v>
      </c>
      <c r="W171" s="5" t="n">
        <v>10.95</v>
      </c>
      <c r="X171" s="3" t="n">
        <v>72</v>
      </c>
      <c r="Y171" s="6" t="n">
        <v>46182</v>
      </c>
      <c r="Z171" s="6" t="n">
        <v>46183</v>
      </c>
      <c r="AA171" s="6" t="n">
        <v>46189</v>
      </c>
      <c r="AB171" s="4" t="n">
        <f aca="false">ROUND(PMT(W171/1200,X171,-V171),2)</f>
        <v>22658.11</v>
      </c>
      <c r="AC171" s="4" t="n">
        <v>1424000</v>
      </c>
      <c r="AD171" s="3" t="n">
        <v>0</v>
      </c>
      <c r="AE171" s="4" t="n">
        <v>49100</v>
      </c>
      <c r="AF171" s="4" t="n">
        <v>20800</v>
      </c>
      <c r="AG171" s="3" t="n">
        <v>28</v>
      </c>
      <c r="AH171" s="4" t="n">
        <v>24100</v>
      </c>
      <c r="AI171" s="3" t="n">
        <v>629</v>
      </c>
      <c r="AJ171" s="7" t="n">
        <f aca="false">ROUND(AB171/I171,4)</f>
        <v>0.3382</v>
      </c>
      <c r="AK171" s="2" t="str">
        <f aca="false">IF(AND(AI171&gt;=750,AJ171&lt;=0.35),"Low",IF(AND(AI171&gt;=600,AJ171&lt;=0.5),"Medium","High"))</f>
        <v>Medium</v>
      </c>
      <c r="AL171" s="3" t="n">
        <v>3</v>
      </c>
      <c r="AM171" s="2" t="s">
        <v>58</v>
      </c>
      <c r="AN171" s="2" t="s">
        <v>59</v>
      </c>
      <c r="AO171" s="2" t="s">
        <v>60</v>
      </c>
      <c r="AP171" s="7" t="n">
        <v>0.351</v>
      </c>
    </row>
    <row r="172" customFormat="false" ht="15" hidden="false" customHeight="false" outlineLevel="0" collapsed="false">
      <c r="A172" s="2" t="s">
        <v>830</v>
      </c>
      <c r="B172" s="2" t="s">
        <v>831</v>
      </c>
      <c r="C172" s="2" t="s">
        <v>622</v>
      </c>
      <c r="D172" s="2" t="s">
        <v>109</v>
      </c>
      <c r="E172" s="3" t="n">
        <v>51</v>
      </c>
      <c r="F172" s="2" t="s">
        <v>64</v>
      </c>
      <c r="G172" s="2" t="s">
        <v>110</v>
      </c>
      <c r="H172" s="2" t="s">
        <v>77</v>
      </c>
      <c r="I172" s="4" t="n">
        <v>15500</v>
      </c>
      <c r="J172" s="2" t="s">
        <v>112</v>
      </c>
      <c r="K172" s="3" t="n">
        <v>23</v>
      </c>
      <c r="L172" s="2" t="s">
        <v>70</v>
      </c>
      <c r="M172" s="2" t="s">
        <v>67</v>
      </c>
      <c r="N172" s="2" t="s">
        <v>81</v>
      </c>
      <c r="O172" s="3"/>
      <c r="P172" s="2" t="s">
        <v>103</v>
      </c>
      <c r="Q172" s="2" t="s">
        <v>104</v>
      </c>
      <c r="R172" s="2" t="s">
        <v>67</v>
      </c>
      <c r="S172" s="2" t="s">
        <v>67</v>
      </c>
      <c r="T172" s="2" t="s">
        <v>832</v>
      </c>
      <c r="U172" s="2" t="s">
        <v>57</v>
      </c>
      <c r="V172" s="4" t="n">
        <v>800000</v>
      </c>
      <c r="W172" s="5" t="n">
        <v>9.85</v>
      </c>
      <c r="X172" s="3" t="n">
        <v>168</v>
      </c>
      <c r="Y172" s="6" t="n">
        <v>46192</v>
      </c>
      <c r="Z172" s="6"/>
      <c r="AA172" s="6"/>
      <c r="AB172" s="4" t="n">
        <f aca="false">ROUND(PMT(W172/1200,X172,-V172),2)</f>
        <v>8793.68</v>
      </c>
      <c r="AC172" s="4" t="n">
        <v>1089000</v>
      </c>
      <c r="AD172" s="3" t="n">
        <v>0</v>
      </c>
      <c r="AE172" s="4" t="n">
        <v>8200</v>
      </c>
      <c r="AF172" s="4" t="n">
        <v>1700</v>
      </c>
      <c r="AG172" s="3" t="n">
        <v>41</v>
      </c>
      <c r="AH172" s="4" t="n">
        <v>12900</v>
      </c>
      <c r="AI172" s="3" t="n">
        <v>605</v>
      </c>
      <c r="AJ172" s="7" t="n">
        <f aca="false">ROUND(AB172/I172,4)</f>
        <v>0.5673</v>
      </c>
      <c r="AK172" s="2" t="str">
        <f aca="false">IF(AND(AI172&gt;=750,AJ172&lt;=0.35),"Low",IF(AND(AI172&gt;=600,AJ172&lt;=0.5),"Medium","High"))</f>
        <v>High</v>
      </c>
      <c r="AL172" s="3" t="n">
        <v>0</v>
      </c>
      <c r="AM172" s="2" t="s">
        <v>58</v>
      </c>
      <c r="AN172" s="2"/>
      <c r="AO172" s="2" t="s">
        <v>127</v>
      </c>
      <c r="AP172" s="7" t="n">
        <v>0.362</v>
      </c>
    </row>
    <row r="173" customFormat="false" ht="15" hidden="false" customHeight="false" outlineLevel="0" collapsed="false">
      <c r="A173" s="2" t="s">
        <v>833</v>
      </c>
      <c r="B173" s="2" t="s">
        <v>834</v>
      </c>
      <c r="C173" s="2" t="s">
        <v>835</v>
      </c>
      <c r="D173" s="2" t="s">
        <v>45</v>
      </c>
      <c r="E173" s="3" t="n">
        <v>35</v>
      </c>
      <c r="F173" s="2" t="s">
        <v>46</v>
      </c>
      <c r="G173" s="2" t="s">
        <v>145</v>
      </c>
      <c r="H173" s="2"/>
      <c r="I173" s="4" t="n">
        <v>31500</v>
      </c>
      <c r="J173" s="2" t="s">
        <v>145</v>
      </c>
      <c r="K173" s="3" t="n">
        <v>14</v>
      </c>
      <c r="L173" s="2" t="s">
        <v>569</v>
      </c>
      <c r="M173" s="2" t="s">
        <v>67</v>
      </c>
      <c r="N173" s="2"/>
      <c r="O173" s="3" t="n">
        <v>1</v>
      </c>
      <c r="P173" s="2" t="s">
        <v>103</v>
      </c>
      <c r="Q173" s="2" t="s">
        <v>104</v>
      </c>
      <c r="R173" s="2" t="s">
        <v>67</v>
      </c>
      <c r="S173" s="2" t="s">
        <v>67</v>
      </c>
      <c r="T173" s="2" t="s">
        <v>836</v>
      </c>
      <c r="U173" s="2" t="s">
        <v>85</v>
      </c>
      <c r="V173" s="4" t="n">
        <v>333000</v>
      </c>
      <c r="W173" s="5" t="n">
        <v>9.39</v>
      </c>
      <c r="X173" s="3" t="n">
        <v>24</v>
      </c>
      <c r="Y173" s="6" t="n">
        <v>46200</v>
      </c>
      <c r="Z173" s="6"/>
      <c r="AA173" s="6"/>
      <c r="AB173" s="4" t="n">
        <f aca="false">ROUND(PMT(W173/1200,X173,-V173),2)</f>
        <v>15272.68</v>
      </c>
      <c r="AC173" s="4" t="n">
        <v>0</v>
      </c>
      <c r="AD173" s="3" t="n">
        <v>1</v>
      </c>
      <c r="AE173" s="4" t="n">
        <v>37200</v>
      </c>
      <c r="AF173" s="4" t="n">
        <v>20300</v>
      </c>
      <c r="AG173" s="3" t="n">
        <v>35</v>
      </c>
      <c r="AH173" s="4" t="n">
        <v>28300</v>
      </c>
      <c r="AI173" s="3" t="n">
        <v>749</v>
      </c>
      <c r="AJ173" s="7" t="n">
        <f aca="false">ROUND(AB173/I173,4)</f>
        <v>0.4848</v>
      </c>
      <c r="AK173" s="2" t="str">
        <f aca="false">IF(AND(AI173&gt;=750,AJ173&lt;=0.35),"Low",IF(AND(AI173&gt;=600,AJ173&lt;=0.5),"Medium","High"))</f>
        <v>Medium</v>
      </c>
      <c r="AL173" s="3" t="n">
        <v>4</v>
      </c>
      <c r="AM173" s="2" t="s">
        <v>233</v>
      </c>
      <c r="AN173" s="2"/>
      <c r="AO173" s="2" t="s">
        <v>127</v>
      </c>
      <c r="AP173" s="7" t="n">
        <v>0.307</v>
      </c>
    </row>
    <row r="174" customFormat="false" ht="15" hidden="false" customHeight="false" outlineLevel="0" collapsed="false">
      <c r="A174" s="2" t="s">
        <v>837</v>
      </c>
      <c r="B174" s="2" t="s">
        <v>838</v>
      </c>
      <c r="C174" s="2" t="s">
        <v>839</v>
      </c>
      <c r="D174" s="2" t="s">
        <v>109</v>
      </c>
      <c r="E174" s="3" t="n">
        <v>40</v>
      </c>
      <c r="F174" s="2" t="s">
        <v>64</v>
      </c>
      <c r="G174" s="2" t="s">
        <v>246</v>
      </c>
      <c r="H174" s="2" t="s">
        <v>123</v>
      </c>
      <c r="I174" s="4" t="n">
        <v>18000</v>
      </c>
      <c r="J174" s="2" t="s">
        <v>145</v>
      </c>
      <c r="K174" s="3" t="n">
        <v>15</v>
      </c>
      <c r="L174" s="2" t="s">
        <v>91</v>
      </c>
      <c r="M174" s="2" t="s">
        <v>92</v>
      </c>
      <c r="N174" s="2" t="s">
        <v>140</v>
      </c>
      <c r="O174" s="3" t="n">
        <v>3</v>
      </c>
      <c r="P174" s="2" t="s">
        <v>124</v>
      </c>
      <c r="Q174" s="2" t="s">
        <v>125</v>
      </c>
      <c r="R174" s="2" t="s">
        <v>91</v>
      </c>
      <c r="S174" s="2" t="s">
        <v>92</v>
      </c>
      <c r="T174" s="2" t="s">
        <v>840</v>
      </c>
      <c r="U174" s="2" t="s">
        <v>57</v>
      </c>
      <c r="V174" s="4" t="n">
        <v>800000</v>
      </c>
      <c r="W174" s="5" t="n">
        <v>8.65</v>
      </c>
      <c r="X174" s="3" t="n">
        <v>132</v>
      </c>
      <c r="Y174" s="6" t="n">
        <v>46203</v>
      </c>
      <c r="Z174" s="6"/>
      <c r="AA174" s="6"/>
      <c r="AB174" s="4" t="n">
        <f aca="false">ROUND(PMT(W174/1200,X174,-V174),2)</f>
        <v>9414.68</v>
      </c>
      <c r="AC174" s="4" t="n">
        <v>897000</v>
      </c>
      <c r="AD174" s="3" t="n">
        <v>1</v>
      </c>
      <c r="AE174" s="4" t="n">
        <v>66200</v>
      </c>
      <c r="AF174" s="4" t="n">
        <v>23400</v>
      </c>
      <c r="AG174" s="3" t="n">
        <v>8</v>
      </c>
      <c r="AH174" s="4" t="n">
        <v>8100</v>
      </c>
      <c r="AI174" s="3" t="n">
        <v>881</v>
      </c>
      <c r="AJ174" s="7" t="n">
        <f aca="false">ROUND(AB174/I174,4)</f>
        <v>0.523</v>
      </c>
      <c r="AK174" s="2" t="str">
        <f aca="false">IF(AND(AI174&gt;=750,AJ174&lt;=0.35),"Low",IF(AND(AI174&gt;=600,AJ174&lt;=0.5),"Medium","High"))</f>
        <v>High</v>
      </c>
      <c r="AL174" s="3" t="n">
        <v>0</v>
      </c>
      <c r="AM174" s="2" t="s">
        <v>58</v>
      </c>
      <c r="AN174" s="2"/>
      <c r="AO174" s="2" t="s">
        <v>127</v>
      </c>
      <c r="AP174" s="7" t="n">
        <v>0.043</v>
      </c>
    </row>
    <row r="175" customFormat="false" ht="15" hidden="false" customHeight="false" outlineLevel="0" collapsed="false">
      <c r="A175" s="2" t="s">
        <v>841</v>
      </c>
      <c r="B175" s="2" t="s">
        <v>842</v>
      </c>
      <c r="C175" s="2" t="s">
        <v>843</v>
      </c>
      <c r="D175" s="2" t="s">
        <v>109</v>
      </c>
      <c r="E175" s="3" t="n">
        <v>40</v>
      </c>
      <c r="F175" s="2" t="s">
        <v>64</v>
      </c>
      <c r="G175" s="2" t="s">
        <v>145</v>
      </c>
      <c r="H175" s="2" t="s">
        <v>111</v>
      </c>
      <c r="I175" s="4" t="n">
        <v>23500</v>
      </c>
      <c r="J175" s="2" t="s">
        <v>145</v>
      </c>
      <c r="K175" s="3" t="n">
        <v>19</v>
      </c>
      <c r="L175" s="2" t="s">
        <v>91</v>
      </c>
      <c r="M175" s="2" t="s">
        <v>92</v>
      </c>
      <c r="N175" s="2" t="s">
        <v>81</v>
      </c>
      <c r="O175" s="3" t="n">
        <v>3</v>
      </c>
      <c r="P175" s="2" t="s">
        <v>124</v>
      </c>
      <c r="Q175" s="2" t="s">
        <v>125</v>
      </c>
      <c r="R175" s="2" t="s">
        <v>91</v>
      </c>
      <c r="S175" s="2" t="s">
        <v>92</v>
      </c>
      <c r="T175" s="2" t="s">
        <v>844</v>
      </c>
      <c r="U175" s="2" t="s">
        <v>57</v>
      </c>
      <c r="V175" s="4" t="n">
        <v>800000</v>
      </c>
      <c r="W175" s="5" t="n">
        <v>10.81</v>
      </c>
      <c r="X175" s="3" t="n">
        <v>114</v>
      </c>
      <c r="Y175" s="6" t="n">
        <v>46175</v>
      </c>
      <c r="Z175" s="6" t="n">
        <v>46181</v>
      </c>
      <c r="AA175" s="6" t="n">
        <v>46187</v>
      </c>
      <c r="AB175" s="4" t="n">
        <f aca="false">ROUND(PMT(W175/1200,X175,-V175),2)</f>
        <v>11255.98</v>
      </c>
      <c r="AC175" s="4" t="n">
        <v>1038000</v>
      </c>
      <c r="AD175" s="3" t="n">
        <v>0</v>
      </c>
      <c r="AE175" s="4" t="n">
        <v>78800</v>
      </c>
      <c r="AF175" s="4" t="n">
        <v>38500</v>
      </c>
      <c r="AG175" s="3" t="n">
        <v>10</v>
      </c>
      <c r="AH175" s="4" t="n">
        <v>21400</v>
      </c>
      <c r="AI175" s="3" t="n">
        <v>610</v>
      </c>
      <c r="AJ175" s="7" t="n">
        <f aca="false">ROUND(AB175/I175,4)</f>
        <v>0.479</v>
      </c>
      <c r="AK175" s="2" t="str">
        <f aca="false">IF(AND(AI175&gt;=750,AJ175&lt;=0.35),"Low",IF(AND(AI175&gt;=600,AJ175&lt;=0.5),"Medium","High"))</f>
        <v>Medium</v>
      </c>
      <c r="AL175" s="3" t="n">
        <v>4</v>
      </c>
      <c r="AM175" s="2" t="s">
        <v>233</v>
      </c>
      <c r="AN175" s="2" t="s">
        <v>59</v>
      </c>
      <c r="AO175" s="2" t="s">
        <v>60</v>
      </c>
      <c r="AP175" s="7" t="n">
        <v>0.497</v>
      </c>
    </row>
    <row r="176" customFormat="false" ht="15" hidden="false" customHeight="false" outlineLevel="0" collapsed="false">
      <c r="A176" s="2" t="s">
        <v>845</v>
      </c>
      <c r="B176" s="2" t="s">
        <v>846</v>
      </c>
      <c r="C176" s="2" t="s">
        <v>847</v>
      </c>
      <c r="D176" s="2" t="s">
        <v>45</v>
      </c>
      <c r="E176" s="3" t="n">
        <v>27</v>
      </c>
      <c r="F176" s="2" t="s">
        <v>64</v>
      </c>
      <c r="G176" s="2" t="s">
        <v>207</v>
      </c>
      <c r="H176" s="2" t="s">
        <v>48</v>
      </c>
      <c r="I176" s="4" t="n">
        <v>70500</v>
      </c>
      <c r="J176" s="2" t="s">
        <v>49</v>
      </c>
      <c r="K176" s="3" t="n">
        <v>0</v>
      </c>
      <c r="L176" s="2" t="s">
        <v>91</v>
      </c>
      <c r="M176" s="2" t="s">
        <v>92</v>
      </c>
      <c r="N176" s="2" t="s">
        <v>52</v>
      </c>
      <c r="O176" s="3" t="n">
        <v>1</v>
      </c>
      <c r="P176" s="2" t="s">
        <v>53</v>
      </c>
      <c r="Q176" s="2" t="s">
        <v>54</v>
      </c>
      <c r="R176" s="2" t="s">
        <v>55</v>
      </c>
      <c r="S176" s="2" t="s">
        <v>51</v>
      </c>
      <c r="T176" s="2" t="s">
        <v>848</v>
      </c>
      <c r="U176" s="2" t="s">
        <v>72</v>
      </c>
      <c r="V176" s="4" t="n">
        <v>312000</v>
      </c>
      <c r="W176" s="5" t="n">
        <v>14.7</v>
      </c>
      <c r="X176" s="3" t="n">
        <v>36</v>
      </c>
      <c r="Y176" s="6" t="n">
        <v>46200</v>
      </c>
      <c r="Z176" s="6" t="n">
        <v>46205</v>
      </c>
      <c r="AA176" s="6" t="n">
        <v>46206</v>
      </c>
      <c r="AB176" s="4" t="n">
        <f aca="false">ROUND(PMT(W176/1200,X176,-V176),2)</f>
        <v>10769.8</v>
      </c>
      <c r="AC176" s="4" t="n">
        <v>452000</v>
      </c>
      <c r="AD176" s="3" t="n">
        <v>0</v>
      </c>
      <c r="AE176" s="4" t="n">
        <v>257600</v>
      </c>
      <c r="AF176" s="4" t="n">
        <v>154100</v>
      </c>
      <c r="AG176" s="3" t="n">
        <v>38</v>
      </c>
      <c r="AH176" s="4" t="n">
        <v>67700</v>
      </c>
      <c r="AI176" s="3" t="n">
        <v>752</v>
      </c>
      <c r="AJ176" s="7" t="n">
        <f aca="false">ROUND(AB176/I176,4)</f>
        <v>0.1528</v>
      </c>
      <c r="AK176" s="2" t="str">
        <f aca="false">IF(AND(AI176&gt;=750,AJ176&lt;=0.35),"Low",IF(AND(AI176&gt;=600,AJ176&lt;=0.5),"Medium","High"))</f>
        <v>Low</v>
      </c>
      <c r="AL176" s="3" t="n">
        <v>0</v>
      </c>
      <c r="AM176" s="2" t="s">
        <v>58</v>
      </c>
      <c r="AN176" s="2" t="s">
        <v>59</v>
      </c>
      <c r="AO176" s="2" t="s">
        <v>60</v>
      </c>
      <c r="AP176" s="7" t="n">
        <v>0.162</v>
      </c>
    </row>
    <row r="177" customFormat="false" ht="15" hidden="false" customHeight="false" outlineLevel="0" collapsed="false">
      <c r="A177" s="2" t="s">
        <v>849</v>
      </c>
      <c r="B177" s="2" t="s">
        <v>850</v>
      </c>
      <c r="C177" s="2" t="s">
        <v>851</v>
      </c>
      <c r="D177" s="2" t="s">
        <v>45</v>
      </c>
      <c r="E177" s="3" t="n">
        <v>32</v>
      </c>
      <c r="F177" s="2" t="s">
        <v>46</v>
      </c>
      <c r="G177" s="2" t="s">
        <v>166</v>
      </c>
      <c r="H177" s="2" t="s">
        <v>167</v>
      </c>
      <c r="I177" s="4" t="n">
        <v>241500</v>
      </c>
      <c r="J177" s="2" t="s">
        <v>145</v>
      </c>
      <c r="K177" s="3" t="n">
        <v>11</v>
      </c>
      <c r="L177" s="2" t="s">
        <v>91</v>
      </c>
      <c r="M177" s="2" t="s">
        <v>92</v>
      </c>
      <c r="N177" s="2" t="s">
        <v>81</v>
      </c>
      <c r="O177" s="3" t="n">
        <v>0</v>
      </c>
      <c r="P177" s="2" t="s">
        <v>124</v>
      </c>
      <c r="Q177" s="2" t="s">
        <v>125</v>
      </c>
      <c r="R177" s="2" t="s">
        <v>91</v>
      </c>
      <c r="S177" s="2" t="s">
        <v>92</v>
      </c>
      <c r="T177" s="2" t="s">
        <v>852</v>
      </c>
      <c r="U177" s="2" t="s">
        <v>192</v>
      </c>
      <c r="V177" s="4" t="n">
        <v>1843000</v>
      </c>
      <c r="W177" s="5" t="n">
        <v>10.26</v>
      </c>
      <c r="X177" s="3" t="n">
        <v>42</v>
      </c>
      <c r="Y177" s="6" t="n">
        <v>46174</v>
      </c>
      <c r="Z177" s="6" t="n">
        <v>46184</v>
      </c>
      <c r="AA177" s="6" t="n">
        <v>46187</v>
      </c>
      <c r="AB177" s="4" t="n">
        <f aca="false">ROUND(PMT(W177/1200,X177,-V177),2)</f>
        <v>52415.65</v>
      </c>
      <c r="AC177" s="4" t="n">
        <v>1963000</v>
      </c>
      <c r="AD177" s="3"/>
      <c r="AE177" s="4" t="n">
        <v>783200</v>
      </c>
      <c r="AF177" s="4" t="n">
        <v>300000</v>
      </c>
      <c r="AG177" s="3" t="n">
        <v>26</v>
      </c>
      <c r="AH177" s="4" t="n">
        <v>132900</v>
      </c>
      <c r="AI177" s="3" t="n">
        <v>862</v>
      </c>
      <c r="AJ177" s="7" t="n">
        <f aca="false">ROUND(AB177/I177,4)</f>
        <v>0.217</v>
      </c>
      <c r="AK177" s="2" t="str">
        <f aca="false">IF(AND(AI177&gt;=750,AJ177&lt;=0.35),"Low",IF(AND(AI177&gt;=600,AJ177&lt;=0.5),"Medium","High"))</f>
        <v>Low</v>
      </c>
      <c r="AL177" s="3" t="n">
        <v>3</v>
      </c>
      <c r="AM177" s="2" t="s">
        <v>58</v>
      </c>
      <c r="AN177" s="2" t="s">
        <v>59</v>
      </c>
      <c r="AO177" s="2" t="s">
        <v>60</v>
      </c>
      <c r="AP177" s="7" t="n">
        <v>0.116</v>
      </c>
    </row>
    <row r="178" customFormat="false" ht="15" hidden="false" customHeight="false" outlineLevel="0" collapsed="false">
      <c r="A178" s="2" t="s">
        <v>853</v>
      </c>
      <c r="B178" s="2" t="s">
        <v>854</v>
      </c>
      <c r="C178" s="2" t="s">
        <v>855</v>
      </c>
      <c r="D178" s="2" t="s">
        <v>45</v>
      </c>
      <c r="E178" s="3" t="n">
        <v>24</v>
      </c>
      <c r="F178" s="2" t="s">
        <v>46</v>
      </c>
      <c r="G178" s="2" t="s">
        <v>154</v>
      </c>
      <c r="H178" s="2" t="s">
        <v>48</v>
      </c>
      <c r="I178" s="4" t="n">
        <v>45500</v>
      </c>
      <c r="J178" s="2" t="s">
        <v>145</v>
      </c>
      <c r="K178" s="3" t="n">
        <v>5</v>
      </c>
      <c r="L178" s="2" t="s">
        <v>91</v>
      </c>
      <c r="M178" s="2" t="s">
        <v>92</v>
      </c>
      <c r="N178" s="2"/>
      <c r="O178" s="3" t="n">
        <v>0</v>
      </c>
      <c r="P178" s="2" t="s">
        <v>124</v>
      </c>
      <c r="Q178" s="2" t="s">
        <v>125</v>
      </c>
      <c r="R178" s="2" t="s">
        <v>91</v>
      </c>
      <c r="S178" s="2" t="s">
        <v>92</v>
      </c>
      <c r="T178" s="2" t="s">
        <v>856</v>
      </c>
      <c r="U178" s="2" t="s">
        <v>118</v>
      </c>
      <c r="V178" s="4" t="n">
        <v>895000</v>
      </c>
      <c r="W178" s="5" t="n">
        <v>9.14</v>
      </c>
      <c r="X178" s="3" t="n">
        <v>54</v>
      </c>
      <c r="Y178" s="6" t="n">
        <v>46185</v>
      </c>
      <c r="Z178" s="6" t="n">
        <v>46195</v>
      </c>
      <c r="AA178" s="6" t="n">
        <v>46200</v>
      </c>
      <c r="AB178" s="4" t="n">
        <f aca="false">ROUND(PMT(W178/1200,X178,-V178),2)</f>
        <v>20277.69</v>
      </c>
      <c r="AC178" s="4" t="n">
        <v>0</v>
      </c>
      <c r="AD178" s="3" t="n">
        <v>1</v>
      </c>
      <c r="AE178" s="4" t="n">
        <v>84700</v>
      </c>
      <c r="AF178" s="4" t="n">
        <v>18200</v>
      </c>
      <c r="AG178" s="3"/>
      <c r="AH178" s="4" t="n">
        <v>35400</v>
      </c>
      <c r="AI178" s="3" t="n">
        <v>747</v>
      </c>
      <c r="AJ178" s="7" t="n">
        <f aca="false">ROUND(AB178/I178,4)</f>
        <v>0.4457</v>
      </c>
      <c r="AK178" s="2" t="str">
        <f aca="false">IF(AND(AI178&gt;=750,AJ178&lt;=0.35),"Low",IF(AND(AI178&gt;=600,AJ178&lt;=0.5),"Medium","High"))</f>
        <v>Medium</v>
      </c>
      <c r="AL178" s="3" t="n">
        <v>2</v>
      </c>
      <c r="AM178" s="2" t="s">
        <v>58</v>
      </c>
      <c r="AN178" s="2" t="s">
        <v>59</v>
      </c>
      <c r="AO178" s="2" t="s">
        <v>60</v>
      </c>
      <c r="AP178" s="7" t="n">
        <v>0.28</v>
      </c>
    </row>
    <row r="179" customFormat="false" ht="15" hidden="false" customHeight="false" outlineLevel="0" collapsed="false">
      <c r="A179" s="2" t="s">
        <v>857</v>
      </c>
      <c r="B179" s="2" t="s">
        <v>858</v>
      </c>
      <c r="C179" s="2" t="s">
        <v>859</v>
      </c>
      <c r="D179" s="2" t="s">
        <v>109</v>
      </c>
      <c r="E179" s="3" t="n">
        <v>42</v>
      </c>
      <c r="F179" s="2" t="s">
        <v>175</v>
      </c>
      <c r="G179" s="2" t="s">
        <v>176</v>
      </c>
      <c r="H179" s="2" t="s">
        <v>48</v>
      </c>
      <c r="I179" s="4" t="n">
        <v>48500</v>
      </c>
      <c r="J179" s="2" t="s">
        <v>177</v>
      </c>
      <c r="K179" s="3" t="n">
        <v>21</v>
      </c>
      <c r="L179" s="2" t="s">
        <v>196</v>
      </c>
      <c r="M179" s="2" t="s">
        <v>139</v>
      </c>
      <c r="N179" s="2" t="s">
        <v>81</v>
      </c>
      <c r="O179" s="3" t="n">
        <v>0</v>
      </c>
      <c r="P179" s="2" t="s">
        <v>197</v>
      </c>
      <c r="Q179" s="2" t="s">
        <v>198</v>
      </c>
      <c r="R179" s="2" t="s">
        <v>139</v>
      </c>
      <c r="S179" s="2" t="s">
        <v>139</v>
      </c>
      <c r="T179" s="2" t="s">
        <v>860</v>
      </c>
      <c r="U179" s="2" t="s">
        <v>72</v>
      </c>
      <c r="V179" s="4" t="n">
        <v>354000</v>
      </c>
      <c r="W179" s="5" t="n">
        <v>16.38</v>
      </c>
      <c r="X179" s="3" t="n">
        <v>24</v>
      </c>
      <c r="Y179" s="6" t="n">
        <v>46195</v>
      </c>
      <c r="Z179" s="6" t="n">
        <v>46198</v>
      </c>
      <c r="AA179" s="6" t="n">
        <v>46204</v>
      </c>
      <c r="AB179" s="4" t="n">
        <f aca="false">ROUND(PMT(W179/1200,X179,-V179),2)</f>
        <v>17397.28</v>
      </c>
      <c r="AC179" s="4" t="n">
        <v>443000</v>
      </c>
      <c r="AD179" s="3" t="n">
        <v>4</v>
      </c>
      <c r="AE179" s="4" t="n">
        <v>134400</v>
      </c>
      <c r="AF179" s="4" t="n">
        <v>31900</v>
      </c>
      <c r="AG179" s="3" t="n">
        <v>43</v>
      </c>
      <c r="AH179" s="4" t="n">
        <v>20600</v>
      </c>
      <c r="AI179" s="3" t="n">
        <v>630</v>
      </c>
      <c r="AJ179" s="7" t="n">
        <f aca="false">ROUND(AB179/I179,4)</f>
        <v>0.3587</v>
      </c>
      <c r="AK179" s="2" t="str">
        <f aca="false">IF(AND(AI179&gt;=750,AJ179&lt;=0.35),"Low",IF(AND(AI179&gt;=600,AJ179&lt;=0.5),"Medium","High"))</f>
        <v>Medium</v>
      </c>
      <c r="AL179" s="3" t="n">
        <v>3</v>
      </c>
      <c r="AM179" s="2" t="s">
        <v>58</v>
      </c>
      <c r="AN179" s="2" t="s">
        <v>59</v>
      </c>
      <c r="AO179" s="2" t="s">
        <v>60</v>
      </c>
      <c r="AP179" s="7" t="n">
        <v>0.375</v>
      </c>
    </row>
    <row r="180" customFormat="false" ht="15" hidden="false" customHeight="false" outlineLevel="0" collapsed="false">
      <c r="A180" s="2" t="s">
        <v>861</v>
      </c>
      <c r="B180" s="2" t="s">
        <v>862</v>
      </c>
      <c r="C180" s="2" t="s">
        <v>863</v>
      </c>
      <c r="D180" s="2" t="s">
        <v>109</v>
      </c>
      <c r="E180" s="3" t="n">
        <v>51</v>
      </c>
      <c r="F180" s="2" t="s">
        <v>64</v>
      </c>
      <c r="G180" s="2" t="s">
        <v>110</v>
      </c>
      <c r="H180" s="2" t="s">
        <v>123</v>
      </c>
      <c r="I180" s="4" t="n">
        <v>25000</v>
      </c>
      <c r="J180" s="2" t="s">
        <v>112</v>
      </c>
      <c r="K180" s="3" t="n">
        <v>22</v>
      </c>
      <c r="L180" s="2" t="s">
        <v>114</v>
      </c>
      <c r="M180" s="2" t="s">
        <v>114</v>
      </c>
      <c r="N180" s="2" t="s">
        <v>81</v>
      </c>
      <c r="O180" s="3" t="n">
        <v>0</v>
      </c>
      <c r="P180" s="2" t="s">
        <v>115</v>
      </c>
      <c r="Q180" s="2" t="s">
        <v>116</v>
      </c>
      <c r="R180" s="2" t="s">
        <v>114</v>
      </c>
      <c r="S180" s="2" t="s">
        <v>114</v>
      </c>
      <c r="T180" s="2" t="s">
        <v>864</v>
      </c>
      <c r="U180" s="2" t="s">
        <v>72</v>
      </c>
      <c r="V180" s="4" t="n">
        <v>447000</v>
      </c>
      <c r="W180" s="5" t="n">
        <v>11.29</v>
      </c>
      <c r="X180" s="3" t="n">
        <v>66</v>
      </c>
      <c r="Y180" s="6" t="n">
        <v>46201</v>
      </c>
      <c r="Z180" s="6" t="n">
        <v>46210</v>
      </c>
      <c r="AA180" s="6" t="n">
        <v>46212</v>
      </c>
      <c r="AB180" s="4" t="n">
        <f aca="false">ROUND(PMT(W180/1200,X180,-V180),2)</f>
        <v>9122.53</v>
      </c>
      <c r="AC180" s="4" t="n">
        <v>583000</v>
      </c>
      <c r="AD180" s="3" t="n">
        <v>1</v>
      </c>
      <c r="AE180" s="4" t="n">
        <v>82700</v>
      </c>
      <c r="AF180" s="4" t="n">
        <v>48000</v>
      </c>
      <c r="AG180" s="3" t="n">
        <v>34</v>
      </c>
      <c r="AH180" s="4" t="n">
        <v>18200</v>
      </c>
      <c r="AI180" s="3" t="n">
        <v>823</v>
      </c>
      <c r="AJ180" s="7" t="n">
        <f aca="false">ROUND(AB180/I180,4)</f>
        <v>0.3649</v>
      </c>
      <c r="AK180" s="2" t="str">
        <f aca="false">IF(AND(AI180&gt;=750,AJ180&lt;=0.35),"Low",IF(AND(AI180&gt;=600,AJ180&lt;=0.5),"Medium","High"))</f>
        <v>Medium</v>
      </c>
      <c r="AL180" s="3" t="n">
        <v>0</v>
      </c>
      <c r="AM180" s="2" t="s">
        <v>58</v>
      </c>
      <c r="AN180" s="2" t="s">
        <v>59</v>
      </c>
      <c r="AO180" s="2" t="s">
        <v>60</v>
      </c>
      <c r="AP180" s="7" t="n">
        <v>0.144</v>
      </c>
    </row>
    <row r="181" customFormat="false" ht="15" hidden="false" customHeight="false" outlineLevel="0" collapsed="false">
      <c r="A181" s="2" t="s">
        <v>865</v>
      </c>
      <c r="B181" s="2" t="s">
        <v>866</v>
      </c>
      <c r="C181" s="2" t="s">
        <v>867</v>
      </c>
      <c r="D181" s="2" t="s">
        <v>109</v>
      </c>
      <c r="E181" s="3" t="n">
        <v>21</v>
      </c>
      <c r="F181" s="2" t="s">
        <v>46</v>
      </c>
      <c r="G181" s="2" t="s">
        <v>176</v>
      </c>
      <c r="H181" s="2" t="s">
        <v>123</v>
      </c>
      <c r="I181" s="4" t="n">
        <v>41000</v>
      </c>
      <c r="J181" s="2" t="s">
        <v>177</v>
      </c>
      <c r="K181" s="3" t="n">
        <v>0</v>
      </c>
      <c r="L181" s="2" t="s">
        <v>556</v>
      </c>
      <c r="M181" s="2" t="s">
        <v>147</v>
      </c>
      <c r="N181" s="2" t="s">
        <v>81</v>
      </c>
      <c r="O181" s="3" t="n">
        <v>0</v>
      </c>
      <c r="P181" s="2" t="s">
        <v>209</v>
      </c>
      <c r="Q181" s="2" t="s">
        <v>210</v>
      </c>
      <c r="R181" s="2" t="s">
        <v>211</v>
      </c>
      <c r="S181" s="2" t="s">
        <v>147</v>
      </c>
      <c r="T181" s="2" t="s">
        <v>868</v>
      </c>
      <c r="U181" s="2" t="s">
        <v>118</v>
      </c>
      <c r="V181" s="4" t="n">
        <v>197000</v>
      </c>
      <c r="W181" s="5" t="n">
        <v>7.66</v>
      </c>
      <c r="X181" s="3" t="n">
        <v>12</v>
      </c>
      <c r="Y181" s="6" t="n">
        <v>46183</v>
      </c>
      <c r="Z181" s="6" t="n">
        <v>46185</v>
      </c>
      <c r="AA181" s="6" t="n">
        <v>46189</v>
      </c>
      <c r="AB181" s="4" t="n">
        <f aca="false">ROUND(PMT(W181/1200,X181,-V181),2)</f>
        <v>17105.77</v>
      </c>
      <c r="AC181" s="4" t="n">
        <v>0</v>
      </c>
      <c r="AD181" s="3" t="n">
        <v>1</v>
      </c>
      <c r="AE181" s="4" t="n">
        <v>107600</v>
      </c>
      <c r="AF181" s="4" t="n">
        <v>58200</v>
      </c>
      <c r="AG181" s="3" t="n">
        <v>25</v>
      </c>
      <c r="AH181" s="4" t="n">
        <v>41300</v>
      </c>
      <c r="AI181" s="3" t="n">
        <v>698</v>
      </c>
      <c r="AJ181" s="7" t="n">
        <f aca="false">ROUND(AB181/I181,4)</f>
        <v>0.4172</v>
      </c>
      <c r="AK181" s="2" t="str">
        <f aca="false">IF(AND(AI181&gt;=750,AJ181&lt;=0.35),"Low",IF(AND(AI181&gt;=600,AJ181&lt;=0.5),"Medium","High"))</f>
        <v>Medium</v>
      </c>
      <c r="AL181" s="3" t="n">
        <v>1</v>
      </c>
      <c r="AM181" s="2" t="s">
        <v>58</v>
      </c>
      <c r="AN181" s="2" t="s">
        <v>59</v>
      </c>
      <c r="AO181" s="2" t="s">
        <v>60</v>
      </c>
      <c r="AP181" s="7" t="n">
        <v>0.207</v>
      </c>
    </row>
    <row r="182" customFormat="false" ht="15" hidden="false" customHeight="false" outlineLevel="0" collapsed="false">
      <c r="A182" s="2" t="s">
        <v>869</v>
      </c>
      <c r="B182" s="2" t="s">
        <v>870</v>
      </c>
      <c r="C182" s="2" t="s">
        <v>871</v>
      </c>
      <c r="D182" s="2" t="s">
        <v>45</v>
      </c>
      <c r="E182" s="3" t="n">
        <v>25</v>
      </c>
      <c r="F182" s="2" t="s">
        <v>64</v>
      </c>
      <c r="G182" s="2" t="s">
        <v>65</v>
      </c>
      <c r="H182" s="2" t="s">
        <v>48</v>
      </c>
      <c r="I182" s="4" t="n">
        <v>43000</v>
      </c>
      <c r="J182" s="2" t="s">
        <v>49</v>
      </c>
      <c r="K182" s="3" t="n">
        <v>2</v>
      </c>
      <c r="L182" s="2" t="s">
        <v>297</v>
      </c>
      <c r="M182" s="2" t="s">
        <v>92</v>
      </c>
      <c r="N182" s="2" t="s">
        <v>52</v>
      </c>
      <c r="O182" s="3"/>
      <c r="P182" s="2" t="s">
        <v>229</v>
      </c>
      <c r="Q182" s="2" t="s">
        <v>230</v>
      </c>
      <c r="R182" s="2" t="s">
        <v>231</v>
      </c>
      <c r="S182" s="2" t="s">
        <v>92</v>
      </c>
      <c r="T182" s="2" t="s">
        <v>872</v>
      </c>
      <c r="U182" s="2" t="s">
        <v>118</v>
      </c>
      <c r="V182" s="4" t="n">
        <v>244000</v>
      </c>
      <c r="W182" s="5" t="n">
        <v>8.43</v>
      </c>
      <c r="X182" s="3" t="n">
        <v>18</v>
      </c>
      <c r="Y182" s="6" t="n">
        <v>46188</v>
      </c>
      <c r="Z182" s="6" t="n">
        <v>46191</v>
      </c>
      <c r="AA182" s="6" t="n">
        <v>46192</v>
      </c>
      <c r="AB182" s="4" t="n">
        <f aca="false">ROUND(PMT(W182/1200,X182,-V182),2)</f>
        <v>14478.16</v>
      </c>
      <c r="AC182" s="4" t="n">
        <v>0</v>
      </c>
      <c r="AD182" s="3" t="n">
        <v>1</v>
      </c>
      <c r="AE182" s="4" t="n">
        <v>32200</v>
      </c>
      <c r="AF182" s="4" t="n">
        <v>6600</v>
      </c>
      <c r="AG182" s="3" t="n">
        <v>17</v>
      </c>
      <c r="AH182" s="4" t="n">
        <v>20800</v>
      </c>
      <c r="AI182" s="3" t="n">
        <v>732</v>
      </c>
      <c r="AJ182" s="7" t="n">
        <f aca="false">ROUND(AB182/I182,4)</f>
        <v>0.3367</v>
      </c>
      <c r="AK182" s="2" t="str">
        <f aca="false">IF(AND(AI182&gt;=750,AJ182&lt;=0.35),"Low",IF(AND(AI182&gt;=600,AJ182&lt;=0.5),"Medium","High"))</f>
        <v>Medium</v>
      </c>
      <c r="AL182" s="3" t="n">
        <v>2</v>
      </c>
      <c r="AM182" s="2" t="s">
        <v>58</v>
      </c>
      <c r="AN182" s="2" t="s">
        <v>59</v>
      </c>
      <c r="AO182" s="2" t="s">
        <v>60</v>
      </c>
      <c r="AP182" s="7" t="n">
        <v>0.214</v>
      </c>
    </row>
    <row r="183" customFormat="false" ht="15" hidden="false" customHeight="false" outlineLevel="0" collapsed="false">
      <c r="A183" s="2" t="s">
        <v>873</v>
      </c>
      <c r="B183" s="2" t="s">
        <v>874</v>
      </c>
      <c r="C183" s="2" t="s">
        <v>839</v>
      </c>
      <c r="D183" s="2" t="s">
        <v>109</v>
      </c>
      <c r="E183" s="3" t="n">
        <v>21</v>
      </c>
      <c r="F183" s="2" t="s">
        <v>64</v>
      </c>
      <c r="G183" s="2" t="s">
        <v>110</v>
      </c>
      <c r="H183" s="2" t="s">
        <v>111</v>
      </c>
      <c r="I183" s="4" t="n">
        <v>8500</v>
      </c>
      <c r="J183" s="2" t="s">
        <v>112</v>
      </c>
      <c r="K183" s="3" t="n">
        <v>0</v>
      </c>
      <c r="L183" s="2" t="s">
        <v>92</v>
      </c>
      <c r="M183" s="2" t="s">
        <v>92</v>
      </c>
      <c r="N183" s="2" t="s">
        <v>140</v>
      </c>
      <c r="O183" s="3" t="n">
        <v>0</v>
      </c>
      <c r="P183" s="2" t="s">
        <v>169</v>
      </c>
      <c r="Q183" s="2" t="s">
        <v>170</v>
      </c>
      <c r="R183" s="2" t="s">
        <v>92</v>
      </c>
      <c r="S183" s="2" t="s">
        <v>92</v>
      </c>
      <c r="T183" s="2" t="s">
        <v>875</v>
      </c>
      <c r="U183" s="2" t="s">
        <v>118</v>
      </c>
      <c r="V183" s="4" t="n">
        <v>100000</v>
      </c>
      <c r="W183" s="5" t="n">
        <v>8.63</v>
      </c>
      <c r="X183" s="3" t="n">
        <v>24</v>
      </c>
      <c r="Y183" s="6" t="n">
        <v>46186</v>
      </c>
      <c r="Z183" s="6" t="n">
        <v>46195</v>
      </c>
      <c r="AA183" s="6" t="n">
        <v>46197</v>
      </c>
      <c r="AB183" s="4" t="n">
        <f aca="false">ROUND(PMT(W183/1200,X183,-V183),2)</f>
        <v>4551.52</v>
      </c>
      <c r="AC183" s="4" t="n">
        <v>0</v>
      </c>
      <c r="AD183" s="3" t="n">
        <v>0</v>
      </c>
      <c r="AE183" s="4" t="n">
        <v>24300</v>
      </c>
      <c r="AF183" s="4" t="n">
        <v>3200</v>
      </c>
      <c r="AG183" s="3" t="n">
        <v>9</v>
      </c>
      <c r="AH183" s="4" t="n">
        <v>4000</v>
      </c>
      <c r="AI183" s="3" t="n">
        <v>527</v>
      </c>
      <c r="AJ183" s="7" t="n">
        <f aca="false">ROUND(AB183/I183,4)</f>
        <v>0.5355</v>
      </c>
      <c r="AK183" s="2" t="str">
        <f aca="false">IF(AND(AI183&gt;=750,AJ183&lt;=0.35),"Low",IF(AND(AI183&gt;=600,AJ183&lt;=0.5),"Medium","High"))</f>
        <v>High</v>
      </c>
      <c r="AL183" s="3" t="n">
        <v>2</v>
      </c>
      <c r="AM183" s="2" t="s">
        <v>58</v>
      </c>
      <c r="AN183" s="2" t="s">
        <v>119</v>
      </c>
      <c r="AO183" s="2" t="s">
        <v>60</v>
      </c>
      <c r="AP183" s="7" t="n">
        <v>0.38</v>
      </c>
    </row>
    <row r="184" customFormat="false" ht="15" hidden="false" customHeight="false" outlineLevel="0" collapsed="false">
      <c r="A184" s="2" t="s">
        <v>876</v>
      </c>
      <c r="B184" s="2" t="s">
        <v>877</v>
      </c>
      <c r="C184" s="2" t="s">
        <v>878</v>
      </c>
      <c r="D184" s="2" t="s">
        <v>109</v>
      </c>
      <c r="E184" s="3" t="n">
        <v>33</v>
      </c>
      <c r="F184" s="2" t="s">
        <v>64</v>
      </c>
      <c r="G184" s="2" t="s">
        <v>176</v>
      </c>
      <c r="H184" s="2" t="s">
        <v>123</v>
      </c>
      <c r="I184" s="4" t="n">
        <v>55000</v>
      </c>
      <c r="J184" s="2" t="s">
        <v>177</v>
      </c>
      <c r="K184" s="3" t="n">
        <v>7</v>
      </c>
      <c r="L184" s="2" t="s">
        <v>147</v>
      </c>
      <c r="M184" s="2" t="s">
        <v>147</v>
      </c>
      <c r="N184" s="2" t="s">
        <v>52</v>
      </c>
      <c r="O184" s="3" t="n">
        <v>2</v>
      </c>
      <c r="P184" s="2" t="s">
        <v>148</v>
      </c>
      <c r="Q184" s="2" t="s">
        <v>149</v>
      </c>
      <c r="R184" s="2" t="s">
        <v>147</v>
      </c>
      <c r="S184" s="2" t="s">
        <v>147</v>
      </c>
      <c r="T184" s="2" t="s">
        <v>879</v>
      </c>
      <c r="U184" s="2" t="s">
        <v>72</v>
      </c>
      <c r="V184" s="4" t="n">
        <v>686000</v>
      </c>
      <c r="W184" s="5" t="n">
        <v>14.84</v>
      </c>
      <c r="X184" s="3" t="n">
        <v>48</v>
      </c>
      <c r="Y184" s="6" t="n">
        <v>46183</v>
      </c>
      <c r="Z184" s="6" t="n">
        <v>46192</v>
      </c>
      <c r="AA184" s="6" t="n">
        <v>46197</v>
      </c>
      <c r="AB184" s="4" t="n">
        <f aca="false">ROUND(PMT(W184/1200,X184,-V184),2)</f>
        <v>19036.3</v>
      </c>
      <c r="AC184" s="4" t="n">
        <v>735000</v>
      </c>
      <c r="AD184" s="3" t="n">
        <v>0</v>
      </c>
      <c r="AE184" s="4" t="n">
        <v>121400</v>
      </c>
      <c r="AF184" s="4" t="n">
        <v>17100</v>
      </c>
      <c r="AG184" s="3" t="n">
        <v>38</v>
      </c>
      <c r="AH184" s="4" t="n">
        <v>36700</v>
      </c>
      <c r="AI184" s="3" t="n">
        <v>524</v>
      </c>
      <c r="AJ184" s="7" t="n">
        <f aca="false">ROUND(AB184/I184,4)</f>
        <v>0.3461</v>
      </c>
      <c r="AK184" s="2" t="str">
        <f aca="false">IF(AND(AI184&gt;=750,AJ184&lt;=0.35),"Low",IF(AND(AI184&gt;=600,AJ184&lt;=0.5),"Medium","High"))</f>
        <v>High</v>
      </c>
      <c r="AL184" s="3" t="n">
        <v>2</v>
      </c>
      <c r="AM184" s="2" t="s">
        <v>58</v>
      </c>
      <c r="AN184" s="2" t="s">
        <v>119</v>
      </c>
      <c r="AO184" s="2" t="s">
        <v>60</v>
      </c>
      <c r="AP184" s="7" t="n">
        <v>0.356</v>
      </c>
    </row>
    <row r="185" customFormat="false" ht="15" hidden="false" customHeight="false" outlineLevel="0" collapsed="false">
      <c r="A185" s="2" t="s">
        <v>880</v>
      </c>
      <c r="B185" s="2" t="s">
        <v>881</v>
      </c>
      <c r="C185" s="2" t="s">
        <v>882</v>
      </c>
      <c r="D185" s="2" t="s">
        <v>109</v>
      </c>
      <c r="E185" s="3" t="n">
        <v>48</v>
      </c>
      <c r="F185" s="2" t="s">
        <v>46</v>
      </c>
      <c r="G185" s="2" t="s">
        <v>110</v>
      </c>
      <c r="H185" s="2" t="s">
        <v>123</v>
      </c>
      <c r="I185" s="4" t="n">
        <v>13500</v>
      </c>
      <c r="J185" s="2" t="s">
        <v>112</v>
      </c>
      <c r="K185" s="3" t="n">
        <v>27</v>
      </c>
      <c r="L185" s="2" t="s">
        <v>139</v>
      </c>
      <c r="M185" s="2" t="s">
        <v>139</v>
      </c>
      <c r="N185" s="2" t="s">
        <v>140</v>
      </c>
      <c r="O185" s="3" t="n">
        <v>0</v>
      </c>
      <c r="P185" s="2" t="s">
        <v>197</v>
      </c>
      <c r="Q185" s="2" t="s">
        <v>198</v>
      </c>
      <c r="R185" s="2" t="s">
        <v>139</v>
      </c>
      <c r="S185" s="2" t="s">
        <v>139</v>
      </c>
      <c r="T185" s="2" t="s">
        <v>883</v>
      </c>
      <c r="U185" s="2" t="s">
        <v>192</v>
      </c>
      <c r="V185" s="4" t="n">
        <v>200000</v>
      </c>
      <c r="W185" s="5" t="n">
        <v>12.7</v>
      </c>
      <c r="X185" s="3" t="n">
        <v>66</v>
      </c>
      <c r="Y185" s="6" t="n">
        <v>46185</v>
      </c>
      <c r="Z185" s="6" t="n">
        <v>46186</v>
      </c>
      <c r="AA185" s="6" t="n">
        <v>46190</v>
      </c>
      <c r="AB185" s="4" t="n">
        <f aca="false">ROUND(PMT(W185/1200,X185,-V185),2)</f>
        <v>4226.23</v>
      </c>
      <c r="AC185" s="4" t="n">
        <v>286000</v>
      </c>
      <c r="AD185" s="3" t="n">
        <v>0</v>
      </c>
      <c r="AE185" s="4" t="n">
        <v>46400</v>
      </c>
      <c r="AF185" s="4"/>
      <c r="AG185" s="3" t="n">
        <v>2</v>
      </c>
      <c r="AH185" s="4" t="n">
        <v>13700</v>
      </c>
      <c r="AI185" s="3" t="n">
        <v>886</v>
      </c>
      <c r="AJ185" s="7" t="n">
        <f aca="false">ROUND(AB185/I185,4)</f>
        <v>0.3131</v>
      </c>
      <c r="AK185" s="2" t="str">
        <f aca="false">IF(AND(AI185&gt;=750,AJ185&lt;=0.35),"Low",IF(AND(AI185&gt;=600,AJ185&lt;=0.5),"Medium","High"))</f>
        <v>Low</v>
      </c>
      <c r="AL185" s="3" t="n">
        <v>0</v>
      </c>
      <c r="AM185" s="2" t="s">
        <v>58</v>
      </c>
      <c r="AN185" s="2" t="s">
        <v>119</v>
      </c>
      <c r="AO185" s="2" t="s">
        <v>86</v>
      </c>
      <c r="AP185" s="7" t="n">
        <v>0.069</v>
      </c>
    </row>
    <row r="186" customFormat="false" ht="15" hidden="false" customHeight="false" outlineLevel="0" collapsed="false">
      <c r="A186" s="2" t="s">
        <v>884</v>
      </c>
      <c r="B186" s="2" t="s">
        <v>885</v>
      </c>
      <c r="C186" s="2" t="s">
        <v>886</v>
      </c>
      <c r="D186" s="2" t="s">
        <v>45</v>
      </c>
      <c r="E186" s="3" t="n">
        <v>24</v>
      </c>
      <c r="F186" s="2" t="s">
        <v>64</v>
      </c>
      <c r="G186" s="2" t="s">
        <v>246</v>
      </c>
      <c r="H186" s="2" t="s">
        <v>111</v>
      </c>
      <c r="I186" s="4" t="n">
        <v>9500</v>
      </c>
      <c r="J186" s="2" t="s">
        <v>145</v>
      </c>
      <c r="K186" s="3" t="n">
        <v>0</v>
      </c>
      <c r="L186" s="2" t="s">
        <v>51</v>
      </c>
      <c r="M186" s="2" t="s">
        <v>51</v>
      </c>
      <c r="N186" s="2" t="s">
        <v>140</v>
      </c>
      <c r="O186" s="3"/>
      <c r="P186" s="2" t="s">
        <v>93</v>
      </c>
      <c r="Q186" s="2" t="s">
        <v>94</v>
      </c>
      <c r="R186" s="2" t="s">
        <v>95</v>
      </c>
      <c r="S186" s="2" t="s">
        <v>92</v>
      </c>
      <c r="T186" s="2" t="s">
        <v>887</v>
      </c>
      <c r="U186" s="2" t="s">
        <v>180</v>
      </c>
      <c r="V186" s="4" t="n">
        <v>300000</v>
      </c>
      <c r="W186" s="5" t="n">
        <v>11.45</v>
      </c>
      <c r="X186" s="3" t="n">
        <v>60</v>
      </c>
      <c r="Y186" s="6" t="n">
        <v>46194</v>
      </c>
      <c r="Z186" s="6" t="n">
        <v>46201</v>
      </c>
      <c r="AA186" s="6" t="n">
        <v>46207</v>
      </c>
      <c r="AB186" s="4" t="n">
        <f aca="false">ROUND(PMT(W186/1200,X186,-V186),2)</f>
        <v>6590.25</v>
      </c>
      <c r="AC186" s="4" t="n">
        <v>319000</v>
      </c>
      <c r="AD186" s="3" t="n">
        <v>0</v>
      </c>
      <c r="AE186" s="4" t="n">
        <v>24000</v>
      </c>
      <c r="AF186" s="4" t="n">
        <v>8300</v>
      </c>
      <c r="AG186" s="3" t="n">
        <v>10</v>
      </c>
      <c r="AH186" s="4" t="n">
        <v>7800</v>
      </c>
      <c r="AI186" s="3" t="n">
        <v>647</v>
      </c>
      <c r="AJ186" s="7" t="n">
        <f aca="false">ROUND(AB186/I186,4)</f>
        <v>0.6937</v>
      </c>
      <c r="AK186" s="2" t="str">
        <f aca="false">IF(AND(AI186&gt;=750,AJ186&lt;=0.35),"Low",IF(AND(AI186&gt;=600,AJ186&lt;=0.5),"Medium","High"))</f>
        <v>High</v>
      </c>
      <c r="AL186" s="3" t="n">
        <v>2</v>
      </c>
      <c r="AM186" s="2" t="s">
        <v>58</v>
      </c>
      <c r="AN186" s="2" t="s">
        <v>59</v>
      </c>
      <c r="AO186" s="2" t="s">
        <v>60</v>
      </c>
      <c r="AP186" s="7" t="n">
        <v>0.311</v>
      </c>
    </row>
    <row r="187" customFormat="false" ht="15" hidden="false" customHeight="false" outlineLevel="0" collapsed="false">
      <c r="A187" s="2" t="s">
        <v>888</v>
      </c>
      <c r="B187" s="2" t="s">
        <v>889</v>
      </c>
      <c r="C187" s="2" t="s">
        <v>890</v>
      </c>
      <c r="D187" s="2" t="s">
        <v>109</v>
      </c>
      <c r="E187" s="3" t="n">
        <v>41</v>
      </c>
      <c r="F187" s="2" t="s">
        <v>64</v>
      </c>
      <c r="G187" s="2" t="s">
        <v>110</v>
      </c>
      <c r="H187" s="2" t="s">
        <v>111</v>
      </c>
      <c r="I187" s="4" t="n">
        <v>8000</v>
      </c>
      <c r="J187" s="2" t="s">
        <v>112</v>
      </c>
      <c r="K187" s="3" t="n">
        <v>15</v>
      </c>
      <c r="L187" s="2" t="s">
        <v>114</v>
      </c>
      <c r="M187" s="2" t="s">
        <v>114</v>
      </c>
      <c r="N187" s="2" t="s">
        <v>140</v>
      </c>
      <c r="O187" s="3" t="n">
        <v>2</v>
      </c>
      <c r="P187" s="2" t="s">
        <v>115</v>
      </c>
      <c r="Q187" s="2" t="s">
        <v>116</v>
      </c>
      <c r="R187" s="2" t="s">
        <v>114</v>
      </c>
      <c r="S187" s="2" t="s">
        <v>114</v>
      </c>
      <c r="T187" s="2" t="s">
        <v>891</v>
      </c>
      <c r="U187" s="2" t="s">
        <v>72</v>
      </c>
      <c r="V187" s="4" t="n">
        <v>300000</v>
      </c>
      <c r="W187" s="5" t="n">
        <v>13.15</v>
      </c>
      <c r="X187" s="3" t="n">
        <v>78</v>
      </c>
      <c r="Y187" s="6" t="n">
        <v>46180</v>
      </c>
      <c r="Z187" s="6" t="n">
        <v>46187</v>
      </c>
      <c r="AA187" s="6" t="n">
        <v>46190</v>
      </c>
      <c r="AB187" s="4" t="n">
        <f aca="false">ROUND(PMT(W187/1200,X187,-V187),2)</f>
        <v>5741.07</v>
      </c>
      <c r="AC187" s="4" t="n">
        <v>445000</v>
      </c>
      <c r="AD187" s="3" t="n">
        <v>1</v>
      </c>
      <c r="AE187" s="4" t="n">
        <v>14500</v>
      </c>
      <c r="AF187" s="4" t="n">
        <v>7200</v>
      </c>
      <c r="AG187" s="3" t="n">
        <v>31</v>
      </c>
      <c r="AH187" s="4" t="n">
        <v>4800</v>
      </c>
      <c r="AI187" s="3" t="n">
        <v>612</v>
      </c>
      <c r="AJ187" s="7" t="n">
        <f aca="false">ROUND(AB187/I187,4)</f>
        <v>0.7176</v>
      </c>
      <c r="AK187" s="2" t="str">
        <f aca="false">IF(AND(AI187&gt;=750,AJ187&lt;=0.35),"Low",IF(AND(AI187&gt;=600,AJ187&lt;=0.5),"Medium","High"))</f>
        <v>High</v>
      </c>
      <c r="AL187" s="3" t="n">
        <v>1</v>
      </c>
      <c r="AM187" s="2" t="s">
        <v>58</v>
      </c>
      <c r="AN187" s="2" t="s">
        <v>59</v>
      </c>
      <c r="AO187" s="2" t="s">
        <v>60</v>
      </c>
      <c r="AP187" s="7" t="n">
        <v>0.274</v>
      </c>
    </row>
    <row r="188" customFormat="false" ht="15" hidden="false" customHeight="false" outlineLevel="0" collapsed="false">
      <c r="A188" s="2" t="s">
        <v>892</v>
      </c>
      <c r="B188" s="2" t="s">
        <v>893</v>
      </c>
      <c r="C188" s="2" t="s">
        <v>894</v>
      </c>
      <c r="D188" s="2" t="s">
        <v>45</v>
      </c>
      <c r="E188" s="3" t="n">
        <v>39</v>
      </c>
      <c r="F188" s="2" t="s">
        <v>46</v>
      </c>
      <c r="G188" s="2" t="s">
        <v>154</v>
      </c>
      <c r="H188" s="2" t="s">
        <v>101</v>
      </c>
      <c r="I188" s="4" t="n">
        <v>39000</v>
      </c>
      <c r="J188" s="2" t="s">
        <v>145</v>
      </c>
      <c r="K188" s="3" t="n">
        <v>13</v>
      </c>
      <c r="L188" s="2" t="s">
        <v>262</v>
      </c>
      <c r="M188" s="2" t="s">
        <v>139</v>
      </c>
      <c r="N188" s="2" t="s">
        <v>102</v>
      </c>
      <c r="O188" s="3" t="n">
        <v>2</v>
      </c>
      <c r="P188" s="2" t="s">
        <v>209</v>
      </c>
      <c r="Q188" s="2" t="s">
        <v>210</v>
      </c>
      <c r="R188" s="2" t="s">
        <v>211</v>
      </c>
      <c r="S188" s="2" t="s">
        <v>147</v>
      </c>
      <c r="T188" s="2" t="s">
        <v>895</v>
      </c>
      <c r="U188" s="2" t="s">
        <v>85</v>
      </c>
      <c r="V188" s="4" t="n">
        <v>310000</v>
      </c>
      <c r="W188" s="5" t="n">
        <v>7.37</v>
      </c>
      <c r="X188" s="3" t="n">
        <v>30</v>
      </c>
      <c r="Y188" s="6" t="n">
        <v>46197</v>
      </c>
      <c r="Z188" s="6" t="n">
        <v>46202</v>
      </c>
      <c r="AA188" s="6" t="n">
        <v>46208</v>
      </c>
      <c r="AB188" s="4" t="n">
        <f aca="false">ROUND(PMT(W188/1200,X188,-V188),2)</f>
        <v>11346.12</v>
      </c>
      <c r="AC188" s="4" t="n">
        <v>0</v>
      </c>
      <c r="AD188" s="3" t="n">
        <v>1</v>
      </c>
      <c r="AE188" s="4" t="n">
        <v>121900</v>
      </c>
      <c r="AF188" s="4" t="n">
        <v>21500</v>
      </c>
      <c r="AG188" s="3" t="n">
        <v>45</v>
      </c>
      <c r="AH188" s="4" t="n">
        <v>26000</v>
      </c>
      <c r="AI188" s="3" t="n">
        <v>753</v>
      </c>
      <c r="AJ188" s="7" t="n">
        <f aca="false">ROUND(AB188/I188,4)</f>
        <v>0.2909</v>
      </c>
      <c r="AK188" s="2" t="str">
        <f aca="false">IF(AND(AI188&gt;=750,AJ188&lt;=0.35),"Low",IF(AND(AI188&gt;=600,AJ188&lt;=0.5),"Medium","High"))</f>
        <v>Low</v>
      </c>
      <c r="AL188" s="3"/>
      <c r="AM188" s="2" t="s">
        <v>233</v>
      </c>
      <c r="AN188" s="2" t="s">
        <v>59</v>
      </c>
      <c r="AO188" s="2" t="s">
        <v>60</v>
      </c>
      <c r="AP188" s="7" t="n">
        <v>0.31</v>
      </c>
    </row>
    <row r="189" customFormat="false" ht="15" hidden="false" customHeight="false" outlineLevel="0" collapsed="false">
      <c r="A189" s="2" t="s">
        <v>896</v>
      </c>
      <c r="B189" s="2" t="s">
        <v>897</v>
      </c>
      <c r="C189" s="2" t="s">
        <v>898</v>
      </c>
      <c r="D189" s="2" t="s">
        <v>45</v>
      </c>
      <c r="E189" s="3" t="n">
        <v>30</v>
      </c>
      <c r="F189" s="2" t="s">
        <v>46</v>
      </c>
      <c r="G189" s="2" t="s">
        <v>145</v>
      </c>
      <c r="H189" s="2" t="s">
        <v>111</v>
      </c>
      <c r="I189" s="4" t="n">
        <v>22500</v>
      </c>
      <c r="J189" s="2" t="s">
        <v>145</v>
      </c>
      <c r="K189" s="3" t="n">
        <v>11</v>
      </c>
      <c r="L189" s="2" t="s">
        <v>220</v>
      </c>
      <c r="M189" s="2" t="s">
        <v>51</v>
      </c>
      <c r="N189" s="2" t="s">
        <v>52</v>
      </c>
      <c r="O189" s="3" t="n">
        <v>0</v>
      </c>
      <c r="P189" s="2" t="s">
        <v>131</v>
      </c>
      <c r="Q189" s="2" t="s">
        <v>132</v>
      </c>
      <c r="R189" s="2" t="s">
        <v>51</v>
      </c>
      <c r="S189" s="2" t="s">
        <v>51</v>
      </c>
      <c r="T189" s="2" t="s">
        <v>899</v>
      </c>
      <c r="U189" s="2" t="s">
        <v>57</v>
      </c>
      <c r="V189" s="4" t="n">
        <v>800000</v>
      </c>
      <c r="W189" s="5" t="n">
        <v>10.13</v>
      </c>
      <c r="X189" s="3" t="n">
        <v>240</v>
      </c>
      <c r="Y189" s="6" t="n">
        <v>46184</v>
      </c>
      <c r="Z189" s="6" t="n">
        <v>46192</v>
      </c>
      <c r="AA189" s="6" t="n">
        <v>46197</v>
      </c>
      <c r="AB189" s="4" t="n">
        <f aca="false">ROUND(PMT(W189/1200,X189,-V189),2)</f>
        <v>7789.2</v>
      </c>
      <c r="AC189" s="4" t="n">
        <v>862000</v>
      </c>
      <c r="AD189" s="3" t="n">
        <v>1</v>
      </c>
      <c r="AE189" s="4" t="n">
        <v>58300</v>
      </c>
      <c r="AF189" s="4" t="n">
        <v>35000</v>
      </c>
      <c r="AG189" s="3" t="n">
        <v>21</v>
      </c>
      <c r="AH189" s="4" t="n">
        <v>20600</v>
      </c>
      <c r="AI189" s="3" t="n">
        <v>607</v>
      </c>
      <c r="AJ189" s="7" t="n">
        <f aca="false">ROUND(AB189/I189,4)</f>
        <v>0.3462</v>
      </c>
      <c r="AK189" s="2" t="str">
        <f aca="false">IF(AND(AI189&gt;=750,AJ189&lt;=0.35),"Low",IF(AND(AI189&gt;=600,AJ189&lt;=0.5),"Medium","High"))</f>
        <v>Medium</v>
      </c>
      <c r="AL189" s="3" t="n">
        <v>2</v>
      </c>
      <c r="AM189" s="2" t="s">
        <v>58</v>
      </c>
      <c r="AN189" s="2" t="s">
        <v>59</v>
      </c>
      <c r="AO189" s="2" t="s">
        <v>60</v>
      </c>
      <c r="AP189" s="7" t="n">
        <v>0.227</v>
      </c>
    </row>
    <row r="190" customFormat="false" ht="15" hidden="false" customHeight="false" outlineLevel="0" collapsed="false">
      <c r="A190" s="2" t="s">
        <v>900</v>
      </c>
      <c r="B190" s="2" t="s">
        <v>901</v>
      </c>
      <c r="C190" s="2" t="s">
        <v>902</v>
      </c>
      <c r="D190" s="2" t="s">
        <v>45</v>
      </c>
      <c r="E190" s="3" t="n">
        <v>50</v>
      </c>
      <c r="F190" s="2" t="s">
        <v>64</v>
      </c>
      <c r="G190" s="2" t="s">
        <v>65</v>
      </c>
      <c r="H190" s="2" t="s">
        <v>101</v>
      </c>
      <c r="I190" s="4" t="n">
        <v>54500</v>
      </c>
      <c r="J190" s="2" t="s">
        <v>49</v>
      </c>
      <c r="K190" s="3" t="n">
        <v>30</v>
      </c>
      <c r="L190" s="2" t="s">
        <v>302</v>
      </c>
      <c r="M190" s="2" t="s">
        <v>67</v>
      </c>
      <c r="N190" s="2" t="s">
        <v>52</v>
      </c>
      <c r="O190" s="3" t="n">
        <v>0</v>
      </c>
      <c r="P190" s="2" t="s">
        <v>103</v>
      </c>
      <c r="Q190" s="2" t="s">
        <v>104</v>
      </c>
      <c r="R190" s="2" t="s">
        <v>67</v>
      </c>
      <c r="S190" s="2" t="s">
        <v>67</v>
      </c>
      <c r="T190" s="2" t="s">
        <v>903</v>
      </c>
      <c r="U190" s="2" t="s">
        <v>85</v>
      </c>
      <c r="V190" s="4" t="n">
        <v>68000</v>
      </c>
      <c r="W190" s="5" t="n">
        <v>9.04</v>
      </c>
      <c r="X190" s="3" t="n">
        <v>6</v>
      </c>
      <c r="Y190" s="6" t="n">
        <v>46201</v>
      </c>
      <c r="Z190" s="6" t="n">
        <v>46208</v>
      </c>
      <c r="AA190" s="6" t="n">
        <v>46213</v>
      </c>
      <c r="AB190" s="4" t="n">
        <f aca="false">ROUND(PMT(W190/1200,X190,-V190),2)</f>
        <v>11634.02</v>
      </c>
      <c r="AC190" s="4" t="n">
        <v>0</v>
      </c>
      <c r="AD190" s="3" t="n">
        <v>0</v>
      </c>
      <c r="AE190" s="4"/>
      <c r="AF190" s="4" t="n">
        <v>57600</v>
      </c>
      <c r="AG190" s="3"/>
      <c r="AH190" s="4" t="n">
        <v>23400</v>
      </c>
      <c r="AI190" s="3" t="n">
        <v>687</v>
      </c>
      <c r="AJ190" s="7" t="n">
        <f aca="false">ROUND(AB190/I190,4)</f>
        <v>0.2135</v>
      </c>
      <c r="AK190" s="2" t="str">
        <f aca="false">IF(AND(AI190&gt;=750,AJ190&lt;=0.35),"Low",IF(AND(AI190&gt;=600,AJ190&lt;=0.5),"Medium","High"))</f>
        <v>Medium</v>
      </c>
      <c r="AL190" s="3" t="n">
        <v>3</v>
      </c>
      <c r="AM190" s="2" t="s">
        <v>58</v>
      </c>
      <c r="AN190" s="2" t="s">
        <v>59</v>
      </c>
      <c r="AO190" s="2" t="s">
        <v>60</v>
      </c>
      <c r="AP190" s="7" t="n">
        <v>0.28</v>
      </c>
    </row>
    <row r="191" customFormat="false" ht="15" hidden="false" customHeight="false" outlineLevel="0" collapsed="false">
      <c r="A191" s="2" t="s">
        <v>904</v>
      </c>
      <c r="B191" s="2" t="s">
        <v>905</v>
      </c>
      <c r="C191" s="2" t="s">
        <v>906</v>
      </c>
      <c r="D191" s="2" t="s">
        <v>109</v>
      </c>
      <c r="E191" s="3" t="n">
        <v>37</v>
      </c>
      <c r="F191" s="2" t="s">
        <v>46</v>
      </c>
      <c r="G191" s="2" t="s">
        <v>207</v>
      </c>
      <c r="H191" s="2" t="s">
        <v>48</v>
      </c>
      <c r="I191" s="4" t="n">
        <v>49500</v>
      </c>
      <c r="J191" s="2" t="s">
        <v>49</v>
      </c>
      <c r="K191" s="3" t="n">
        <v>15</v>
      </c>
      <c r="L191" s="2" t="s">
        <v>70</v>
      </c>
      <c r="M191" s="2" t="s">
        <v>67</v>
      </c>
      <c r="N191" s="2" t="s">
        <v>140</v>
      </c>
      <c r="O191" s="3" t="n">
        <v>0</v>
      </c>
      <c r="P191" s="2" t="s">
        <v>68</v>
      </c>
      <c r="Q191" s="2" t="s">
        <v>69</v>
      </c>
      <c r="R191" s="2" t="s">
        <v>70</v>
      </c>
      <c r="S191" s="2" t="s">
        <v>67</v>
      </c>
      <c r="T191" s="2" t="s">
        <v>907</v>
      </c>
      <c r="U191" s="2" t="s">
        <v>97</v>
      </c>
      <c r="V191" s="4" t="n">
        <v>476000</v>
      </c>
      <c r="W191" s="5" t="n">
        <v>12.44</v>
      </c>
      <c r="X191" s="3" t="n">
        <v>30</v>
      </c>
      <c r="Y191" s="6" t="n">
        <v>46174</v>
      </c>
      <c r="Z191" s="6"/>
      <c r="AA191" s="6"/>
      <c r="AB191" s="4" t="n">
        <f aca="false">ROUND(PMT(W191/1200,X191,-V191),2)</f>
        <v>18543.06</v>
      </c>
      <c r="AC191" s="4" t="n">
        <v>0</v>
      </c>
      <c r="AD191" s="3" t="n">
        <v>0</v>
      </c>
      <c r="AE191" s="4" t="n">
        <v>154800</v>
      </c>
      <c r="AF191" s="4" t="n">
        <v>25200</v>
      </c>
      <c r="AG191" s="3" t="n">
        <v>45</v>
      </c>
      <c r="AH191" s="4" t="n">
        <v>45500</v>
      </c>
      <c r="AI191" s="3" t="n">
        <v>669</v>
      </c>
      <c r="AJ191" s="7" t="n">
        <f aca="false">ROUND(AB191/I191,4)</f>
        <v>0.3746</v>
      </c>
      <c r="AK191" s="2" t="str">
        <f aca="false">IF(AND(AI191&gt;=750,AJ191&lt;=0.35),"Low",IF(AND(AI191&gt;=600,AJ191&lt;=0.5),"Medium","High"))</f>
        <v>Medium</v>
      </c>
      <c r="AL191" s="3" t="n">
        <v>1</v>
      </c>
      <c r="AM191" s="2" t="s">
        <v>58</v>
      </c>
      <c r="AN191" s="2"/>
      <c r="AO191" s="2" t="s">
        <v>127</v>
      </c>
      <c r="AP191" s="7" t="n">
        <v>0.248</v>
      </c>
    </row>
    <row r="192" customFormat="false" ht="15" hidden="false" customHeight="false" outlineLevel="0" collapsed="false">
      <c r="A192" s="2" t="s">
        <v>908</v>
      </c>
      <c r="B192" s="2" t="s">
        <v>909</v>
      </c>
      <c r="C192" s="2" t="s">
        <v>910</v>
      </c>
      <c r="D192" s="2" t="s">
        <v>45</v>
      </c>
      <c r="E192" s="3" t="n">
        <v>46</v>
      </c>
      <c r="F192" s="2" t="s">
        <v>46</v>
      </c>
      <c r="G192" s="2" t="s">
        <v>246</v>
      </c>
      <c r="H192" s="2" t="s">
        <v>123</v>
      </c>
      <c r="I192" s="4" t="n">
        <v>13000</v>
      </c>
      <c r="J192" s="2" t="s">
        <v>145</v>
      </c>
      <c r="K192" s="3" t="n">
        <v>22</v>
      </c>
      <c r="L192" s="2" t="s">
        <v>416</v>
      </c>
      <c r="M192" s="2" t="s">
        <v>147</v>
      </c>
      <c r="N192" s="2" t="s">
        <v>52</v>
      </c>
      <c r="O192" s="3" t="n">
        <v>0</v>
      </c>
      <c r="P192" s="2" t="s">
        <v>209</v>
      </c>
      <c r="Q192" s="2" t="s">
        <v>210</v>
      </c>
      <c r="R192" s="2" t="s">
        <v>211</v>
      </c>
      <c r="S192" s="2" t="s">
        <v>147</v>
      </c>
      <c r="T192" s="2" t="s">
        <v>911</v>
      </c>
      <c r="U192" s="2" t="s">
        <v>85</v>
      </c>
      <c r="V192" s="4" t="n">
        <v>50000</v>
      </c>
      <c r="W192" s="5" t="n">
        <v>8.49</v>
      </c>
      <c r="X192" s="3" t="n">
        <v>6</v>
      </c>
      <c r="Y192" s="6" t="n">
        <v>46200</v>
      </c>
      <c r="Z192" s="6"/>
      <c r="AA192" s="6"/>
      <c r="AB192" s="4" t="n">
        <f aca="false">ROUND(PMT(W192/1200,X192,-V192),2)</f>
        <v>8540.9</v>
      </c>
      <c r="AC192" s="4" t="n">
        <v>0</v>
      </c>
      <c r="AD192" s="3" t="n">
        <v>1</v>
      </c>
      <c r="AE192" s="4" t="n">
        <v>49000</v>
      </c>
      <c r="AF192" s="4" t="n">
        <v>11400</v>
      </c>
      <c r="AG192" s="3" t="n">
        <v>31</v>
      </c>
      <c r="AH192" s="4"/>
      <c r="AI192" s="3" t="n">
        <v>718</v>
      </c>
      <c r="AJ192" s="7" t="n">
        <f aca="false">ROUND(AB192/I192,4)</f>
        <v>0.657</v>
      </c>
      <c r="AK192" s="2" t="str">
        <f aca="false">IF(AND(AI192&gt;=750,AJ192&lt;=0.35),"Low",IF(AND(AI192&gt;=600,AJ192&lt;=0.5),"Medium","High"))</f>
        <v>High</v>
      </c>
      <c r="AL192" s="3" t="n">
        <v>1</v>
      </c>
      <c r="AM192" s="2" t="s">
        <v>58</v>
      </c>
      <c r="AN192" s="2"/>
      <c r="AO192" s="2" t="s">
        <v>127</v>
      </c>
      <c r="AP192" s="7" t="n">
        <v>0.225</v>
      </c>
    </row>
    <row r="193" customFormat="false" ht="15" hidden="false" customHeight="false" outlineLevel="0" collapsed="false">
      <c r="A193" s="2" t="s">
        <v>912</v>
      </c>
      <c r="B193" s="2" t="s">
        <v>913</v>
      </c>
      <c r="C193" s="2" t="s">
        <v>914</v>
      </c>
      <c r="D193" s="2" t="s">
        <v>45</v>
      </c>
      <c r="E193" s="3" t="n">
        <v>25</v>
      </c>
      <c r="F193" s="2" t="s">
        <v>64</v>
      </c>
      <c r="G193" s="2" t="s">
        <v>176</v>
      </c>
      <c r="H193" s="2" t="s">
        <v>77</v>
      </c>
      <c r="I193" s="4" t="n">
        <v>83000</v>
      </c>
      <c r="J193" s="2" t="s">
        <v>177</v>
      </c>
      <c r="K193" s="3" t="n">
        <v>6</v>
      </c>
      <c r="L193" s="2" t="s">
        <v>95</v>
      </c>
      <c r="M193" s="2" t="s">
        <v>92</v>
      </c>
      <c r="N193" s="2" t="s">
        <v>140</v>
      </c>
      <c r="O193" s="3" t="n">
        <v>4</v>
      </c>
      <c r="P193" s="2" t="s">
        <v>229</v>
      </c>
      <c r="Q193" s="2" t="s">
        <v>230</v>
      </c>
      <c r="R193" s="2" t="s">
        <v>231</v>
      </c>
      <c r="S193" s="2" t="s">
        <v>92</v>
      </c>
      <c r="T193" s="2" t="s">
        <v>915</v>
      </c>
      <c r="U193" s="2" t="s">
        <v>118</v>
      </c>
      <c r="V193" s="4" t="n">
        <v>601000</v>
      </c>
      <c r="W193" s="5" t="n">
        <v>8.24</v>
      </c>
      <c r="X193" s="3" t="n">
        <v>18</v>
      </c>
      <c r="Y193" s="6" t="n">
        <v>46176</v>
      </c>
      <c r="Z193" s="6" t="n">
        <v>46186</v>
      </c>
      <c r="AA193" s="6" t="n">
        <v>46190</v>
      </c>
      <c r="AB193" s="4" t="n">
        <f aca="false">ROUND(PMT(W193/1200,X193,-V193),2)</f>
        <v>35609.18</v>
      </c>
      <c r="AC193" s="4" t="n">
        <v>0</v>
      </c>
      <c r="AD193" s="3" t="n">
        <v>0</v>
      </c>
      <c r="AE193" s="4"/>
      <c r="AF193" s="4" t="n">
        <v>73100</v>
      </c>
      <c r="AG193" s="3" t="n">
        <v>22</v>
      </c>
      <c r="AH193" s="4" t="n">
        <v>87000</v>
      </c>
      <c r="AI193" s="3" t="n">
        <v>810</v>
      </c>
      <c r="AJ193" s="7" t="n">
        <f aca="false">ROUND(AB193/I193,4)</f>
        <v>0.429</v>
      </c>
      <c r="AK193" s="2" t="str">
        <f aca="false">IF(AND(AI193&gt;=750,AJ193&lt;=0.35),"Low",IF(AND(AI193&gt;=600,AJ193&lt;=0.5),"Medium","High"))</f>
        <v>Medium</v>
      </c>
      <c r="AL193" s="3" t="n">
        <v>2</v>
      </c>
      <c r="AM193" s="2" t="s">
        <v>58</v>
      </c>
      <c r="AN193" s="2" t="s">
        <v>59</v>
      </c>
      <c r="AO193" s="2" t="s">
        <v>60</v>
      </c>
      <c r="AP193" s="7" t="n">
        <v>0.085</v>
      </c>
    </row>
    <row r="194" customFormat="false" ht="15" hidden="false" customHeight="false" outlineLevel="0" collapsed="false">
      <c r="A194" s="2" t="s">
        <v>916</v>
      </c>
      <c r="B194" s="2" t="s">
        <v>917</v>
      </c>
      <c r="C194" s="2" t="s">
        <v>918</v>
      </c>
      <c r="D194" s="2" t="s">
        <v>45</v>
      </c>
      <c r="E194" s="3" t="n">
        <v>32</v>
      </c>
      <c r="F194" s="2" t="s">
        <v>64</v>
      </c>
      <c r="G194" s="2"/>
      <c r="H194" s="2" t="s">
        <v>48</v>
      </c>
      <c r="I194" s="4" t="n">
        <v>87500</v>
      </c>
      <c r="J194" s="2" t="s">
        <v>145</v>
      </c>
      <c r="K194" s="3" t="n">
        <v>9</v>
      </c>
      <c r="L194" s="2" t="s">
        <v>159</v>
      </c>
      <c r="M194" s="2" t="s">
        <v>159</v>
      </c>
      <c r="N194" s="2" t="s">
        <v>140</v>
      </c>
      <c r="O194" s="3" t="n">
        <v>1</v>
      </c>
      <c r="P194" s="2" t="s">
        <v>160</v>
      </c>
      <c r="Q194" s="2" t="s">
        <v>161</v>
      </c>
      <c r="R194" s="2" t="s">
        <v>159</v>
      </c>
      <c r="S194" s="2" t="s">
        <v>159</v>
      </c>
      <c r="T194" s="2" t="s">
        <v>919</v>
      </c>
      <c r="U194" s="2" t="s">
        <v>118</v>
      </c>
      <c r="V194" s="4" t="n">
        <v>617000</v>
      </c>
      <c r="W194" s="5" t="n">
        <v>10.31</v>
      </c>
      <c r="X194" s="3" t="n">
        <v>42</v>
      </c>
      <c r="Y194" s="6" t="n">
        <v>46200</v>
      </c>
      <c r="Z194" s="6" t="n">
        <v>46204</v>
      </c>
      <c r="AA194" s="6" t="n">
        <v>46208</v>
      </c>
      <c r="AB194" s="4" t="n">
        <f aca="false">ROUND(PMT(W194/1200,X194,-V194),2)</f>
        <v>17562.41</v>
      </c>
      <c r="AC194" s="4" t="n">
        <v>0</v>
      </c>
      <c r="AD194" s="3" t="n">
        <v>0</v>
      </c>
      <c r="AE194" s="4" t="n">
        <v>188000</v>
      </c>
      <c r="AF194" s="4" t="n">
        <v>81000</v>
      </c>
      <c r="AG194" s="3" t="n">
        <v>28</v>
      </c>
      <c r="AH194" s="4" t="n">
        <v>78800</v>
      </c>
      <c r="AI194" s="3" t="n">
        <v>739</v>
      </c>
      <c r="AJ194" s="7" t="n">
        <f aca="false">ROUND(AB194/I194,4)</f>
        <v>0.2007</v>
      </c>
      <c r="AK194" s="2" t="str">
        <f aca="false">IF(AND(AI194&gt;=750,AJ194&lt;=0.35),"Low",IF(AND(AI194&gt;=600,AJ194&lt;=0.5),"Medium","High"))</f>
        <v>Medium</v>
      </c>
      <c r="AL194" s="3" t="n">
        <v>0</v>
      </c>
      <c r="AM194" s="2" t="s">
        <v>58</v>
      </c>
      <c r="AN194" s="2" t="s">
        <v>59</v>
      </c>
      <c r="AO194" s="2" t="s">
        <v>60</v>
      </c>
      <c r="AP194" s="7" t="n">
        <v>0.122</v>
      </c>
    </row>
    <row r="195" customFormat="false" ht="15" hidden="false" customHeight="false" outlineLevel="0" collapsed="false">
      <c r="A195" s="2" t="s">
        <v>920</v>
      </c>
      <c r="B195" s="2" t="s">
        <v>921</v>
      </c>
      <c r="C195" s="2" t="s">
        <v>922</v>
      </c>
      <c r="D195" s="2" t="s">
        <v>109</v>
      </c>
      <c r="E195" s="3" t="n">
        <v>43</v>
      </c>
      <c r="F195" s="2" t="s">
        <v>64</v>
      </c>
      <c r="G195" s="2" t="s">
        <v>47</v>
      </c>
      <c r="H195" s="2" t="s">
        <v>101</v>
      </c>
      <c r="I195" s="4" t="n">
        <v>189500</v>
      </c>
      <c r="J195" s="2" t="s">
        <v>49</v>
      </c>
      <c r="K195" s="3" t="n">
        <v>15</v>
      </c>
      <c r="L195" s="2" t="s">
        <v>211</v>
      </c>
      <c r="M195" s="2" t="s">
        <v>147</v>
      </c>
      <c r="N195" s="2"/>
      <c r="O195" s="3" t="n">
        <v>3</v>
      </c>
      <c r="P195" s="2" t="s">
        <v>209</v>
      </c>
      <c r="Q195" s="2" t="s">
        <v>210</v>
      </c>
      <c r="R195" s="2" t="s">
        <v>211</v>
      </c>
      <c r="S195" s="2" t="s">
        <v>147</v>
      </c>
      <c r="T195" s="2" t="s">
        <v>923</v>
      </c>
      <c r="U195" s="2" t="s">
        <v>97</v>
      </c>
      <c r="V195" s="4" t="n">
        <v>1462000</v>
      </c>
      <c r="W195" s="5" t="n">
        <v>13.21</v>
      </c>
      <c r="X195" s="3" t="n">
        <v>54</v>
      </c>
      <c r="Y195" s="6" t="n">
        <v>46178</v>
      </c>
      <c r="Z195" s="6"/>
      <c r="AA195" s="6"/>
      <c r="AB195" s="4" t="n">
        <f aca="false">ROUND(PMT(W195/1200,X195,-V195),2)</f>
        <v>36058.24</v>
      </c>
      <c r="AC195" s="4" t="n">
        <v>0</v>
      </c>
      <c r="AD195" s="3" t="n">
        <v>0</v>
      </c>
      <c r="AE195" s="4" t="n">
        <v>274900</v>
      </c>
      <c r="AF195" s="4" t="n">
        <v>53700</v>
      </c>
      <c r="AG195" s="3" t="n">
        <v>12</v>
      </c>
      <c r="AH195" s="4" t="n">
        <v>84800</v>
      </c>
      <c r="AI195" s="3" t="n">
        <v>821</v>
      </c>
      <c r="AJ195" s="7" t="n">
        <f aca="false">ROUND(AB195/I195,4)</f>
        <v>0.1903</v>
      </c>
      <c r="AK195" s="2" t="str">
        <f aca="false">IF(AND(AI195&gt;=750,AJ195&lt;=0.35),"Low",IF(AND(AI195&gt;=600,AJ195&lt;=0.5),"Medium","High"))</f>
        <v>Low</v>
      </c>
      <c r="AL195" s="3" t="n">
        <v>0</v>
      </c>
      <c r="AM195" s="2" t="s">
        <v>58</v>
      </c>
      <c r="AN195" s="2"/>
      <c r="AO195" s="2" t="s">
        <v>127</v>
      </c>
      <c r="AP195" s="7" t="n">
        <v>0.158</v>
      </c>
    </row>
    <row r="196" customFormat="false" ht="15" hidden="false" customHeight="false" outlineLevel="0" collapsed="false">
      <c r="A196" s="2" t="s">
        <v>924</v>
      </c>
      <c r="B196" s="2" t="s">
        <v>925</v>
      </c>
      <c r="C196" s="2" t="s">
        <v>926</v>
      </c>
      <c r="D196" s="2" t="s">
        <v>109</v>
      </c>
      <c r="E196" s="3" t="n">
        <v>28</v>
      </c>
      <c r="F196" s="2" t="s">
        <v>64</v>
      </c>
      <c r="G196" s="2" t="s">
        <v>207</v>
      </c>
      <c r="H196" s="2" t="s">
        <v>48</v>
      </c>
      <c r="I196" s="4" t="n">
        <v>28500</v>
      </c>
      <c r="J196" s="2" t="s">
        <v>49</v>
      </c>
      <c r="K196" s="3" t="n">
        <v>6</v>
      </c>
      <c r="L196" s="2" t="s">
        <v>95</v>
      </c>
      <c r="M196" s="2" t="s">
        <v>92</v>
      </c>
      <c r="N196" s="2" t="s">
        <v>52</v>
      </c>
      <c r="O196" s="3" t="n">
        <v>1</v>
      </c>
      <c r="P196" s="2" t="s">
        <v>93</v>
      </c>
      <c r="Q196" s="2" t="s">
        <v>94</v>
      </c>
      <c r="R196" s="2" t="s">
        <v>95</v>
      </c>
      <c r="S196" s="2" t="s">
        <v>92</v>
      </c>
      <c r="T196" s="2" t="s">
        <v>927</v>
      </c>
      <c r="U196" s="2" t="s">
        <v>118</v>
      </c>
      <c r="V196" s="4" t="n">
        <v>100000</v>
      </c>
      <c r="W196" s="5" t="n">
        <v>8.84</v>
      </c>
      <c r="X196" s="3" t="n">
        <v>24</v>
      </c>
      <c r="Y196" s="6" t="n">
        <v>46177</v>
      </c>
      <c r="Z196" s="6"/>
      <c r="AA196" s="6"/>
      <c r="AB196" s="4" t="n">
        <f aca="false">ROUND(PMT(W196/1200,X196,-V196),2)</f>
        <v>4561.14</v>
      </c>
      <c r="AC196" s="4" t="n">
        <v>0</v>
      </c>
      <c r="AD196" s="3" t="n">
        <v>1</v>
      </c>
      <c r="AE196" s="4" t="n">
        <v>104300</v>
      </c>
      <c r="AF196" s="4" t="n">
        <v>28400</v>
      </c>
      <c r="AG196" s="3" t="n">
        <v>13</v>
      </c>
      <c r="AH196" s="4" t="n">
        <v>25300</v>
      </c>
      <c r="AI196" s="3" t="n">
        <v>686</v>
      </c>
      <c r="AJ196" s="7" t="n">
        <f aca="false">ROUND(AB196/I196,4)</f>
        <v>0.16</v>
      </c>
      <c r="AK196" s="2" t="str">
        <f aca="false">IF(AND(AI196&gt;=750,AJ196&lt;=0.35),"Low",IF(AND(AI196&gt;=600,AJ196&lt;=0.5),"Medium","High"))</f>
        <v>Medium</v>
      </c>
      <c r="AL196" s="3" t="n">
        <v>1</v>
      </c>
      <c r="AM196" s="2" t="s">
        <v>58</v>
      </c>
      <c r="AN196" s="2"/>
      <c r="AO196" s="2" t="s">
        <v>127</v>
      </c>
      <c r="AP196" s="7" t="n">
        <v>0.255</v>
      </c>
    </row>
    <row r="197" customFormat="false" ht="15" hidden="false" customHeight="false" outlineLevel="0" collapsed="false">
      <c r="A197" s="2" t="s">
        <v>928</v>
      </c>
      <c r="B197" s="2" t="s">
        <v>929</v>
      </c>
      <c r="C197" s="2" t="s">
        <v>622</v>
      </c>
      <c r="D197" s="2" t="s">
        <v>109</v>
      </c>
      <c r="E197" s="3" t="n">
        <v>43</v>
      </c>
      <c r="F197" s="2" t="s">
        <v>64</v>
      </c>
      <c r="G197" s="2" t="s">
        <v>246</v>
      </c>
      <c r="H197" s="2" t="s">
        <v>77</v>
      </c>
      <c r="I197" s="4" t="n">
        <v>23000</v>
      </c>
      <c r="J197" s="2" t="s">
        <v>145</v>
      </c>
      <c r="K197" s="3" t="n">
        <v>22</v>
      </c>
      <c r="L197" s="2" t="s">
        <v>297</v>
      </c>
      <c r="M197" s="2" t="s">
        <v>92</v>
      </c>
      <c r="N197" s="2" t="s">
        <v>140</v>
      </c>
      <c r="O197" s="3" t="n">
        <v>4</v>
      </c>
      <c r="P197" s="2" t="s">
        <v>103</v>
      </c>
      <c r="Q197" s="2" t="s">
        <v>104</v>
      </c>
      <c r="R197" s="2" t="s">
        <v>67</v>
      </c>
      <c r="S197" s="2" t="s">
        <v>67</v>
      </c>
      <c r="T197" s="2" t="s">
        <v>930</v>
      </c>
      <c r="U197" s="2" t="s">
        <v>118</v>
      </c>
      <c r="V197" s="4" t="n">
        <v>505000</v>
      </c>
      <c r="W197" s="5" t="n">
        <v>7.81</v>
      </c>
      <c r="X197" s="3" t="n">
        <v>84</v>
      </c>
      <c r="Y197" s="6" t="n">
        <v>46193</v>
      </c>
      <c r="Z197" s="6" t="n">
        <v>46199</v>
      </c>
      <c r="AA197" s="6" t="n">
        <v>46204</v>
      </c>
      <c r="AB197" s="4" t="n">
        <f aca="false">ROUND(PMT(W197/1200,X197,-V197),2)</f>
        <v>7823.32</v>
      </c>
      <c r="AC197" s="4" t="n">
        <v>0</v>
      </c>
      <c r="AD197" s="3" t="n">
        <v>0</v>
      </c>
      <c r="AE197" s="4" t="n">
        <v>14100</v>
      </c>
      <c r="AF197" s="4" t="n">
        <v>6100</v>
      </c>
      <c r="AG197" s="3" t="n">
        <v>36</v>
      </c>
      <c r="AH197" s="4" t="n">
        <v>16700</v>
      </c>
      <c r="AI197" s="3" t="n">
        <v>719</v>
      </c>
      <c r="AJ197" s="7" t="n">
        <f aca="false">ROUND(AB197/I197,4)</f>
        <v>0.3401</v>
      </c>
      <c r="AK197" s="2" t="str">
        <f aca="false">IF(AND(AI197&gt;=750,AJ197&lt;=0.35),"Low",IF(AND(AI197&gt;=600,AJ197&lt;=0.5),"Medium","High"))</f>
        <v>Medium</v>
      </c>
      <c r="AL197" s="3" t="n">
        <v>1</v>
      </c>
      <c r="AM197" s="2" t="s">
        <v>58</v>
      </c>
      <c r="AN197" s="2" t="s">
        <v>119</v>
      </c>
      <c r="AO197" s="2" t="s">
        <v>60</v>
      </c>
      <c r="AP197" s="7" t="n">
        <v>0.281</v>
      </c>
    </row>
    <row r="198" customFormat="false" ht="15" hidden="false" customHeight="false" outlineLevel="0" collapsed="false">
      <c r="A198" s="2" t="s">
        <v>931</v>
      </c>
      <c r="B198" s="2" t="s">
        <v>932</v>
      </c>
      <c r="C198" s="2" t="s">
        <v>933</v>
      </c>
      <c r="D198" s="2" t="s">
        <v>45</v>
      </c>
      <c r="E198" s="3" t="n">
        <v>21</v>
      </c>
      <c r="F198" s="2" t="s">
        <v>64</v>
      </c>
      <c r="G198" s="2"/>
      <c r="H198" s="2" t="s">
        <v>101</v>
      </c>
      <c r="I198" s="4" t="n">
        <v>50000</v>
      </c>
      <c r="J198" s="2" t="s">
        <v>145</v>
      </c>
      <c r="K198" s="3" t="n">
        <v>0</v>
      </c>
      <c r="L198" s="2" t="s">
        <v>481</v>
      </c>
      <c r="M198" s="2" t="s">
        <v>159</v>
      </c>
      <c r="N198" s="2" t="s">
        <v>140</v>
      </c>
      <c r="O198" s="3" t="n">
        <v>3</v>
      </c>
      <c r="P198" s="2" t="s">
        <v>197</v>
      </c>
      <c r="Q198" s="2" t="s">
        <v>198</v>
      </c>
      <c r="R198" s="2" t="s">
        <v>139</v>
      </c>
      <c r="S198" s="2" t="s">
        <v>139</v>
      </c>
      <c r="T198" s="2" t="s">
        <v>934</v>
      </c>
      <c r="U198" s="2" t="s">
        <v>85</v>
      </c>
      <c r="V198" s="4" t="n">
        <v>269000</v>
      </c>
      <c r="W198" s="5" t="n">
        <v>9.66</v>
      </c>
      <c r="X198" s="3" t="n">
        <v>18</v>
      </c>
      <c r="Y198" s="6" t="n">
        <v>46180</v>
      </c>
      <c r="Z198" s="6" t="n">
        <v>46185</v>
      </c>
      <c r="AA198" s="6" t="n">
        <v>46191</v>
      </c>
      <c r="AB198" s="4" t="n">
        <f aca="false">ROUND(PMT(W198/1200,X198,-V198),2)</f>
        <v>16113.27</v>
      </c>
      <c r="AC198" s="4" t="n">
        <v>0</v>
      </c>
      <c r="AD198" s="3" t="n">
        <v>1</v>
      </c>
      <c r="AE198" s="4" t="n">
        <v>69300</v>
      </c>
      <c r="AF198" s="4" t="n">
        <v>26900</v>
      </c>
      <c r="AG198" s="3" t="n">
        <v>9</v>
      </c>
      <c r="AH198" s="4" t="n">
        <v>29400</v>
      </c>
      <c r="AI198" s="3" t="n">
        <v>667</v>
      </c>
      <c r="AJ198" s="7" t="n">
        <f aca="false">ROUND(AB198/I198,4)</f>
        <v>0.3223</v>
      </c>
      <c r="AK198" s="2" t="str">
        <f aca="false">IF(AND(AI198&gt;=750,AJ198&lt;=0.35),"Low",IF(AND(AI198&gt;=600,AJ198&lt;=0.5),"Medium","High"))</f>
        <v>Medium</v>
      </c>
      <c r="AL198" s="3" t="n">
        <v>0</v>
      </c>
      <c r="AM198" s="2" t="s">
        <v>58</v>
      </c>
      <c r="AN198" s="2" t="s">
        <v>59</v>
      </c>
      <c r="AO198" s="2" t="s">
        <v>60</v>
      </c>
      <c r="AP198" s="7" t="n">
        <v>0.276</v>
      </c>
    </row>
    <row r="199" customFormat="false" ht="15" hidden="false" customHeight="false" outlineLevel="0" collapsed="false">
      <c r="A199" s="2" t="s">
        <v>935</v>
      </c>
      <c r="B199" s="2" t="s">
        <v>936</v>
      </c>
      <c r="C199" s="2" t="s">
        <v>937</v>
      </c>
      <c r="D199" s="2" t="s">
        <v>109</v>
      </c>
      <c r="E199" s="3" t="n">
        <v>42</v>
      </c>
      <c r="F199" s="2" t="s">
        <v>64</v>
      </c>
      <c r="G199" s="2" t="s">
        <v>90</v>
      </c>
      <c r="H199" s="2"/>
      <c r="I199" s="4" t="n">
        <v>42500</v>
      </c>
      <c r="J199" s="2" t="s">
        <v>90</v>
      </c>
      <c r="K199" s="3" t="n">
        <v>14</v>
      </c>
      <c r="L199" s="2" t="s">
        <v>231</v>
      </c>
      <c r="M199" s="2" t="s">
        <v>92</v>
      </c>
      <c r="N199" s="2" t="s">
        <v>81</v>
      </c>
      <c r="O199" s="3" t="n">
        <v>1</v>
      </c>
      <c r="P199" s="2" t="s">
        <v>229</v>
      </c>
      <c r="Q199" s="2" t="s">
        <v>230</v>
      </c>
      <c r="R199" s="2" t="s">
        <v>231</v>
      </c>
      <c r="S199" s="2" t="s">
        <v>92</v>
      </c>
      <c r="T199" s="2" t="s">
        <v>938</v>
      </c>
      <c r="U199" s="2" t="s">
        <v>180</v>
      </c>
      <c r="V199" s="4" t="n">
        <v>660000</v>
      </c>
      <c r="W199" s="5" t="n">
        <v>11.41</v>
      </c>
      <c r="X199" s="3" t="n">
        <v>42</v>
      </c>
      <c r="Y199" s="6" t="n">
        <v>46177</v>
      </c>
      <c r="Z199" s="6" t="n">
        <v>46180</v>
      </c>
      <c r="AA199" s="6" t="n">
        <v>46181</v>
      </c>
      <c r="AB199" s="4" t="n">
        <f aca="false">ROUND(PMT(W199/1200,X199,-V199),2)</f>
        <v>19133.94</v>
      </c>
      <c r="AC199" s="4" t="n">
        <v>937000</v>
      </c>
      <c r="AD199" s="3" t="n">
        <v>0</v>
      </c>
      <c r="AE199" s="4" t="n">
        <v>141500</v>
      </c>
      <c r="AF199" s="4" t="n">
        <v>72400</v>
      </c>
      <c r="AG199" s="3" t="n">
        <v>9</v>
      </c>
      <c r="AH199" s="4" t="n">
        <v>25800</v>
      </c>
      <c r="AI199" s="3" t="n">
        <v>684</v>
      </c>
      <c r="AJ199" s="7" t="n">
        <f aca="false">ROUND(AB199/I199,4)</f>
        <v>0.4502</v>
      </c>
      <c r="AK199" s="2" t="str">
        <f aca="false">IF(AND(AI199&gt;=750,AJ199&lt;=0.35),"Low",IF(AND(AI199&gt;=600,AJ199&lt;=0.5),"Medium","High"))</f>
        <v>Medium</v>
      </c>
      <c r="AL199" s="3" t="n">
        <v>1</v>
      </c>
      <c r="AM199" s="2" t="s">
        <v>233</v>
      </c>
      <c r="AN199" s="2" t="s">
        <v>59</v>
      </c>
      <c r="AO199" s="2" t="s">
        <v>60</v>
      </c>
      <c r="AP199" s="7" t="n">
        <v>0.33</v>
      </c>
    </row>
    <row r="200" customFormat="false" ht="15" hidden="false" customHeight="false" outlineLevel="0" collapsed="false">
      <c r="A200" s="2" t="s">
        <v>939</v>
      </c>
      <c r="B200" s="2" t="s">
        <v>940</v>
      </c>
      <c r="C200" s="2" t="s">
        <v>941</v>
      </c>
      <c r="D200" s="2" t="s">
        <v>45</v>
      </c>
      <c r="E200" s="3" t="n">
        <v>21</v>
      </c>
      <c r="F200" s="2" t="s">
        <v>46</v>
      </c>
      <c r="G200" s="2" t="s">
        <v>207</v>
      </c>
      <c r="H200" s="2" t="s">
        <v>101</v>
      </c>
      <c r="I200" s="4" t="n">
        <v>50500</v>
      </c>
      <c r="J200" s="2" t="s">
        <v>49</v>
      </c>
      <c r="K200" s="3" t="n">
        <v>1</v>
      </c>
      <c r="L200" s="2" t="s">
        <v>80</v>
      </c>
      <c r="M200" s="2" t="s">
        <v>80</v>
      </c>
      <c r="N200" s="2" t="s">
        <v>81</v>
      </c>
      <c r="O200" s="3" t="n">
        <v>1</v>
      </c>
      <c r="P200" s="2" t="s">
        <v>82</v>
      </c>
      <c r="Q200" s="2" t="s">
        <v>83</v>
      </c>
      <c r="R200" s="2" t="s">
        <v>80</v>
      </c>
      <c r="S200" s="2" t="s">
        <v>80</v>
      </c>
      <c r="T200" s="2" t="s">
        <v>942</v>
      </c>
      <c r="U200" s="2" t="s">
        <v>97</v>
      </c>
      <c r="V200" s="4" t="n">
        <v>594000</v>
      </c>
      <c r="W200" s="5" t="n">
        <v>14.81</v>
      </c>
      <c r="X200" s="3" t="n">
        <v>60</v>
      </c>
      <c r="Y200" s="6" t="n">
        <v>46197</v>
      </c>
      <c r="Z200" s="6" t="n">
        <v>46201</v>
      </c>
      <c r="AA200" s="6" t="n">
        <v>46207</v>
      </c>
      <c r="AB200" s="4" t="n">
        <f aca="false">ROUND(PMT(W200/1200,X200,-V200),2)</f>
        <v>14072.05</v>
      </c>
      <c r="AC200" s="4" t="n">
        <v>0</v>
      </c>
      <c r="AD200" s="3" t="n">
        <v>2</v>
      </c>
      <c r="AE200" s="4" t="n">
        <v>37300</v>
      </c>
      <c r="AF200" s="4" t="n">
        <v>11500</v>
      </c>
      <c r="AG200" s="3" t="n">
        <v>34</v>
      </c>
      <c r="AH200" s="4" t="n">
        <v>19900</v>
      </c>
      <c r="AI200" s="3" t="n">
        <v>689</v>
      </c>
      <c r="AJ200" s="7" t="n">
        <f aca="false">ROUND(AB200/I200,4)</f>
        <v>0.2787</v>
      </c>
      <c r="AK200" s="2" t="str">
        <f aca="false">IF(AND(AI200&gt;=750,AJ200&lt;=0.35),"Low",IF(AND(AI200&gt;=600,AJ200&lt;=0.5),"Medium","High"))</f>
        <v>Medium</v>
      </c>
      <c r="AL200" s="3" t="n">
        <v>1</v>
      </c>
      <c r="AM200" s="2" t="s">
        <v>58</v>
      </c>
      <c r="AN200" s="2" t="s">
        <v>59</v>
      </c>
      <c r="AO200" s="2" t="s">
        <v>60</v>
      </c>
      <c r="AP200" s="7" t="n">
        <v>0.317</v>
      </c>
    </row>
    <row r="201" customFormat="false" ht="15" hidden="false" customHeight="false" outlineLevel="0" collapsed="false">
      <c r="A201" s="2" t="s">
        <v>943</v>
      </c>
      <c r="B201" s="2" t="s">
        <v>944</v>
      </c>
      <c r="C201" s="2" t="s">
        <v>945</v>
      </c>
      <c r="D201" s="2" t="s">
        <v>45</v>
      </c>
      <c r="E201" s="3" t="n">
        <v>44</v>
      </c>
      <c r="F201" s="2" t="s">
        <v>46</v>
      </c>
      <c r="G201" s="2" t="s">
        <v>166</v>
      </c>
      <c r="H201" s="2" t="s">
        <v>167</v>
      </c>
      <c r="I201" s="4" t="n">
        <v>249000</v>
      </c>
      <c r="J201" s="2" t="s">
        <v>145</v>
      </c>
      <c r="K201" s="3" t="n">
        <v>26</v>
      </c>
      <c r="L201" s="2" t="s">
        <v>726</v>
      </c>
      <c r="M201" s="2" t="s">
        <v>147</v>
      </c>
      <c r="N201" s="2" t="s">
        <v>140</v>
      </c>
      <c r="O201" s="3" t="n">
        <v>0</v>
      </c>
      <c r="P201" s="2" t="s">
        <v>209</v>
      </c>
      <c r="Q201" s="2" t="s">
        <v>210</v>
      </c>
      <c r="R201" s="2" t="s">
        <v>211</v>
      </c>
      <c r="S201" s="2" t="s">
        <v>147</v>
      </c>
      <c r="T201" s="2" t="s">
        <v>946</v>
      </c>
      <c r="U201" s="2" t="s">
        <v>57</v>
      </c>
      <c r="V201" s="4" t="n">
        <v>2146000</v>
      </c>
      <c r="W201" s="5" t="n">
        <v>10.67</v>
      </c>
      <c r="X201" s="3" t="n">
        <v>252</v>
      </c>
      <c r="Y201" s="6" t="n">
        <v>46201</v>
      </c>
      <c r="Z201" s="6"/>
      <c r="AA201" s="6"/>
      <c r="AB201" s="4" t="n">
        <f aca="false">ROUND(PMT(W201/1200,X201,-V201),2)</f>
        <v>21378.48</v>
      </c>
      <c r="AC201" s="4" t="n">
        <v>2802000</v>
      </c>
      <c r="AD201" s="3" t="n">
        <v>0</v>
      </c>
      <c r="AE201" s="4" t="n">
        <v>216800</v>
      </c>
      <c r="AF201" s="4" t="n">
        <v>60200</v>
      </c>
      <c r="AG201" s="3" t="n">
        <v>18</v>
      </c>
      <c r="AH201" s="4" t="n">
        <v>157000</v>
      </c>
      <c r="AI201" s="3" t="n">
        <v>832</v>
      </c>
      <c r="AJ201" s="7" t="n">
        <f aca="false">ROUND(AB201/I201,4)</f>
        <v>0.0859</v>
      </c>
      <c r="AK201" s="2" t="str">
        <f aca="false">IF(AND(AI201&gt;=750,AJ201&lt;=0.35),"Low",IF(AND(AI201&gt;=600,AJ201&lt;=0.5),"Medium","High"))</f>
        <v>Low</v>
      </c>
      <c r="AL201" s="3" t="n">
        <v>0</v>
      </c>
      <c r="AM201" s="2" t="s">
        <v>58</v>
      </c>
      <c r="AN201" s="2"/>
      <c r="AO201" s="2" t="s">
        <v>134</v>
      </c>
      <c r="AP201" s="7" t="n">
        <v>0.047</v>
      </c>
    </row>
    <row r="202" customFormat="false" ht="15" hidden="false" customHeight="false" outlineLevel="0" collapsed="false">
      <c r="A202" s="2" t="s">
        <v>947</v>
      </c>
      <c r="B202" s="2" t="s">
        <v>948</v>
      </c>
      <c r="C202" s="2" t="s">
        <v>949</v>
      </c>
      <c r="D202" s="2" t="s">
        <v>109</v>
      </c>
      <c r="E202" s="3" t="n">
        <v>50</v>
      </c>
      <c r="F202" s="2" t="s">
        <v>434</v>
      </c>
      <c r="G202" s="2" t="s">
        <v>176</v>
      </c>
      <c r="H202" s="2" t="s">
        <v>48</v>
      </c>
      <c r="I202" s="4" t="n">
        <v>147000</v>
      </c>
      <c r="J202" s="2" t="s">
        <v>177</v>
      </c>
      <c r="K202" s="3" t="n">
        <v>30</v>
      </c>
      <c r="L202" s="2" t="s">
        <v>348</v>
      </c>
      <c r="M202" s="2" t="s">
        <v>67</v>
      </c>
      <c r="N202" s="2" t="s">
        <v>102</v>
      </c>
      <c r="O202" s="3" t="n">
        <v>0</v>
      </c>
      <c r="P202" s="2" t="s">
        <v>68</v>
      </c>
      <c r="Q202" s="2" t="s">
        <v>69</v>
      </c>
      <c r="R202" s="2" t="s">
        <v>70</v>
      </c>
      <c r="S202" s="2" t="s">
        <v>67</v>
      </c>
      <c r="T202" s="2" t="s">
        <v>950</v>
      </c>
      <c r="U202" s="2" t="s">
        <v>72</v>
      </c>
      <c r="V202" s="4" t="n">
        <v>895000</v>
      </c>
      <c r="W202" s="5" t="n">
        <v>13.54</v>
      </c>
      <c r="X202" s="3" t="n">
        <v>24</v>
      </c>
      <c r="Y202" s="6" t="n">
        <v>46175</v>
      </c>
      <c r="Z202" s="6" t="n">
        <v>46184</v>
      </c>
      <c r="AA202" s="6" t="n">
        <v>46187</v>
      </c>
      <c r="AB202" s="4" t="n">
        <f aca="false">ROUND(PMT(W202/1200,X202,-V202),2)</f>
        <v>42777.29</v>
      </c>
      <c r="AC202" s="4" t="n">
        <v>1289000</v>
      </c>
      <c r="AD202" s="3" t="n">
        <v>0</v>
      </c>
      <c r="AE202" s="4" t="n">
        <v>332000</v>
      </c>
      <c r="AF202" s="4"/>
      <c r="AG202" s="3" t="n">
        <v>32</v>
      </c>
      <c r="AH202" s="4" t="n">
        <v>156800</v>
      </c>
      <c r="AI202" s="3" t="n">
        <v>724</v>
      </c>
      <c r="AJ202" s="7" t="n">
        <f aca="false">ROUND(AB202/I202,4)</f>
        <v>0.291</v>
      </c>
      <c r="AK202" s="2" t="str">
        <f aca="false">IF(AND(AI202&gt;=750,AJ202&lt;=0.35),"Low",IF(AND(AI202&gt;=600,AJ202&lt;=0.5),"Medium","High"))</f>
        <v>Medium</v>
      </c>
      <c r="AL202" s="3"/>
      <c r="AM202" s="2" t="s">
        <v>233</v>
      </c>
      <c r="AN202" s="2" t="s">
        <v>59</v>
      </c>
      <c r="AO202" s="2" t="s">
        <v>60</v>
      </c>
      <c r="AP202" s="7" t="n">
        <v>0.255</v>
      </c>
    </row>
    <row r="203" customFormat="false" ht="15" hidden="false" customHeight="false" outlineLevel="0" collapsed="false">
      <c r="A203" s="2" t="s">
        <v>951</v>
      </c>
      <c r="B203" s="2" t="s">
        <v>952</v>
      </c>
      <c r="C203" s="2" t="s">
        <v>153</v>
      </c>
      <c r="D203" s="2" t="s">
        <v>45</v>
      </c>
      <c r="E203" s="3" t="n">
        <v>41</v>
      </c>
      <c r="F203" s="2" t="s">
        <v>64</v>
      </c>
      <c r="G203" s="2" t="s">
        <v>76</v>
      </c>
      <c r="H203" s="2" t="s">
        <v>101</v>
      </c>
      <c r="I203" s="4" t="n">
        <v>56500</v>
      </c>
      <c r="J203" s="2" t="s">
        <v>78</v>
      </c>
      <c r="K203" s="3" t="n">
        <v>16</v>
      </c>
      <c r="L203" s="2" t="s">
        <v>159</v>
      </c>
      <c r="M203" s="2" t="s">
        <v>159</v>
      </c>
      <c r="N203" s="2" t="s">
        <v>81</v>
      </c>
      <c r="O203" s="3" t="n">
        <v>4</v>
      </c>
      <c r="P203" s="2" t="s">
        <v>160</v>
      </c>
      <c r="Q203" s="2" t="s">
        <v>161</v>
      </c>
      <c r="R203" s="2" t="s">
        <v>159</v>
      </c>
      <c r="S203" s="2" t="s">
        <v>159</v>
      </c>
      <c r="T203" s="2" t="s">
        <v>953</v>
      </c>
      <c r="U203" s="2" t="s">
        <v>180</v>
      </c>
      <c r="V203" s="4" t="n">
        <v>907000</v>
      </c>
      <c r="W203" s="5" t="n">
        <v>12.99</v>
      </c>
      <c r="X203" s="3" t="n">
        <v>36</v>
      </c>
      <c r="Y203" s="6" t="n">
        <v>46196</v>
      </c>
      <c r="Z203" s="6" t="n">
        <v>46200</v>
      </c>
      <c r="AA203" s="6" t="n">
        <v>46202</v>
      </c>
      <c r="AB203" s="4" t="n">
        <f aca="false">ROUND(PMT(W203/1200,X203,-V203),2)</f>
        <v>30556.05</v>
      </c>
      <c r="AC203" s="4" t="n">
        <v>1079000</v>
      </c>
      <c r="AD203" s="3" t="n">
        <v>1</v>
      </c>
      <c r="AE203" s="4" t="n">
        <v>195200</v>
      </c>
      <c r="AF203" s="4" t="n">
        <v>66800</v>
      </c>
      <c r="AG203" s="3" t="n">
        <v>32</v>
      </c>
      <c r="AH203" s="4" t="n">
        <v>40200</v>
      </c>
      <c r="AI203" s="3" t="n">
        <v>656</v>
      </c>
      <c r="AJ203" s="7" t="n">
        <f aca="false">ROUND(AB203/I203,4)</f>
        <v>0.5408</v>
      </c>
      <c r="AK203" s="2" t="str">
        <f aca="false">IF(AND(AI203&gt;=750,AJ203&lt;=0.35),"Low",IF(AND(AI203&gt;=600,AJ203&lt;=0.5),"Medium","High"))</f>
        <v>High</v>
      </c>
      <c r="AL203" s="3" t="n">
        <v>4</v>
      </c>
      <c r="AM203" s="2" t="s">
        <v>233</v>
      </c>
      <c r="AN203" s="2" t="s">
        <v>119</v>
      </c>
      <c r="AO203" s="2" t="s">
        <v>60</v>
      </c>
      <c r="AP203" s="7" t="n">
        <v>0.413</v>
      </c>
    </row>
    <row r="204" customFormat="false" ht="15" hidden="false" customHeight="false" outlineLevel="0" collapsed="false">
      <c r="A204" s="2" t="s">
        <v>954</v>
      </c>
      <c r="B204" s="2" t="s">
        <v>955</v>
      </c>
      <c r="C204" s="2" t="s">
        <v>956</v>
      </c>
      <c r="D204" s="2" t="s">
        <v>45</v>
      </c>
      <c r="E204" s="3" t="n">
        <v>45</v>
      </c>
      <c r="F204" s="2" t="s">
        <v>64</v>
      </c>
      <c r="G204" s="2" t="s">
        <v>145</v>
      </c>
      <c r="H204" s="2" t="s">
        <v>77</v>
      </c>
      <c r="I204" s="4" t="n">
        <v>24500</v>
      </c>
      <c r="J204" s="2" t="s">
        <v>145</v>
      </c>
      <c r="K204" s="3" t="n">
        <v>22</v>
      </c>
      <c r="L204" s="2" t="s">
        <v>231</v>
      </c>
      <c r="M204" s="2" t="s">
        <v>92</v>
      </c>
      <c r="N204" s="2" t="s">
        <v>102</v>
      </c>
      <c r="O204" s="3" t="n">
        <v>1</v>
      </c>
      <c r="P204" s="2" t="s">
        <v>229</v>
      </c>
      <c r="Q204" s="2" t="s">
        <v>230</v>
      </c>
      <c r="R204" s="2" t="s">
        <v>231</v>
      </c>
      <c r="S204" s="2" t="s">
        <v>92</v>
      </c>
      <c r="T204" s="2" t="s">
        <v>957</v>
      </c>
      <c r="U204" s="2" t="s">
        <v>192</v>
      </c>
      <c r="V204" s="4" t="n">
        <v>460000</v>
      </c>
      <c r="W204" s="5" t="n">
        <v>13.17</v>
      </c>
      <c r="X204" s="3" t="n">
        <v>72</v>
      </c>
      <c r="Y204" s="6" t="n">
        <v>46191</v>
      </c>
      <c r="Z204" s="6"/>
      <c r="AA204" s="6"/>
      <c r="AB204" s="4" t="n">
        <f aca="false">ROUND(PMT(W204/1200,X204,-V204),2)</f>
        <v>9275.41</v>
      </c>
      <c r="AC204" s="4" t="n">
        <v>678000</v>
      </c>
      <c r="AD204" s="3" t="n">
        <v>0</v>
      </c>
      <c r="AE204" s="4" t="n">
        <v>35100</v>
      </c>
      <c r="AF204" s="4" t="n">
        <v>20900</v>
      </c>
      <c r="AG204" s="3" t="n">
        <v>21</v>
      </c>
      <c r="AH204" s="4" t="n">
        <v>7900</v>
      </c>
      <c r="AI204" s="3" t="n">
        <v>707</v>
      </c>
      <c r="AJ204" s="7" t="n">
        <f aca="false">ROUND(AB204/I204,4)</f>
        <v>0.3786</v>
      </c>
      <c r="AK204" s="2" t="str">
        <f aca="false">IF(AND(AI204&gt;=750,AJ204&lt;=0.35),"Low",IF(AND(AI204&gt;=600,AJ204&lt;=0.5),"Medium","High"))</f>
        <v>Medium</v>
      </c>
      <c r="AL204" s="3" t="n">
        <v>1</v>
      </c>
      <c r="AM204" s="2" t="s">
        <v>58</v>
      </c>
      <c r="AN204" s="2"/>
      <c r="AO204" s="2" t="s">
        <v>127</v>
      </c>
      <c r="AP204" s="7" t="n">
        <v>0.285</v>
      </c>
    </row>
    <row r="205" customFormat="false" ht="15" hidden="false" customHeight="false" outlineLevel="0" collapsed="false">
      <c r="A205" s="2" t="s">
        <v>958</v>
      </c>
      <c r="B205" s="2" t="s">
        <v>959</v>
      </c>
      <c r="C205" s="2" t="s">
        <v>960</v>
      </c>
      <c r="D205" s="2" t="s">
        <v>109</v>
      </c>
      <c r="E205" s="3" t="n">
        <v>56</v>
      </c>
      <c r="F205" s="2" t="s">
        <v>46</v>
      </c>
      <c r="G205" s="2" t="s">
        <v>154</v>
      </c>
      <c r="H205" s="2" t="s">
        <v>77</v>
      </c>
      <c r="I205" s="4" t="n">
        <v>54000</v>
      </c>
      <c r="J205" s="2" t="s">
        <v>145</v>
      </c>
      <c r="K205" s="3" t="n">
        <v>30</v>
      </c>
      <c r="L205" s="2" t="s">
        <v>481</v>
      </c>
      <c r="M205" s="2" t="s">
        <v>159</v>
      </c>
      <c r="N205" s="2" t="s">
        <v>140</v>
      </c>
      <c r="O205" s="3" t="n">
        <v>1</v>
      </c>
      <c r="P205" s="2" t="s">
        <v>160</v>
      </c>
      <c r="Q205" s="2" t="s">
        <v>161</v>
      </c>
      <c r="R205" s="2" t="s">
        <v>159</v>
      </c>
      <c r="S205" s="2" t="s">
        <v>159</v>
      </c>
      <c r="T205" s="2" t="s">
        <v>961</v>
      </c>
      <c r="U205" s="2" t="s">
        <v>180</v>
      </c>
      <c r="V205" s="4" t="n">
        <v>479000</v>
      </c>
      <c r="W205" s="5" t="n">
        <v>10.36</v>
      </c>
      <c r="X205" s="3" t="n">
        <v>24</v>
      </c>
      <c r="Y205" s="6" t="n">
        <v>46200</v>
      </c>
      <c r="Z205" s="6"/>
      <c r="AA205" s="6"/>
      <c r="AB205" s="4" t="n">
        <f aca="false">ROUND(PMT(W205/1200,X205,-V205),2)</f>
        <v>22183.09</v>
      </c>
      <c r="AC205" s="4" t="n">
        <v>579000</v>
      </c>
      <c r="AD205" s="3" t="n">
        <v>1</v>
      </c>
      <c r="AE205" s="4" t="n">
        <v>42900</v>
      </c>
      <c r="AF205" s="4" t="n">
        <v>12700</v>
      </c>
      <c r="AG205" s="3"/>
      <c r="AH205" s="4" t="n">
        <v>20500</v>
      </c>
      <c r="AI205" s="3" t="n">
        <v>613</v>
      </c>
      <c r="AJ205" s="7" t="n">
        <f aca="false">ROUND(AB205/I205,4)</f>
        <v>0.4108</v>
      </c>
      <c r="AK205" s="2" t="str">
        <f aca="false">IF(AND(AI205&gt;=750,AJ205&lt;=0.35),"Low",IF(AND(AI205&gt;=600,AJ205&lt;=0.5),"Medium","High"))</f>
        <v>Medium</v>
      </c>
      <c r="AL205" s="3" t="n">
        <v>2</v>
      </c>
      <c r="AM205" s="2" t="s">
        <v>58</v>
      </c>
      <c r="AN205" s="2"/>
      <c r="AO205" s="2" t="s">
        <v>127</v>
      </c>
      <c r="AP205" s="7" t="n">
        <v>0.347</v>
      </c>
    </row>
    <row r="206" customFormat="false" ht="15" hidden="false" customHeight="false" outlineLevel="0" collapsed="false">
      <c r="A206" s="2" t="s">
        <v>962</v>
      </c>
      <c r="B206" s="2" t="s">
        <v>339</v>
      </c>
      <c r="C206" s="2" t="s">
        <v>963</v>
      </c>
      <c r="D206" s="2" t="s">
        <v>45</v>
      </c>
      <c r="E206" s="3" t="n">
        <v>25</v>
      </c>
      <c r="F206" s="2" t="s">
        <v>175</v>
      </c>
      <c r="G206" s="2" t="s">
        <v>207</v>
      </c>
      <c r="H206" s="2" t="s">
        <v>101</v>
      </c>
      <c r="I206" s="4" t="n">
        <v>62000</v>
      </c>
      <c r="J206" s="2" t="s">
        <v>49</v>
      </c>
      <c r="K206" s="3"/>
      <c r="L206" s="2" t="s">
        <v>168</v>
      </c>
      <c r="M206" s="2" t="s">
        <v>92</v>
      </c>
      <c r="N206" s="2" t="s">
        <v>140</v>
      </c>
      <c r="O206" s="3"/>
      <c r="P206" s="2" t="s">
        <v>169</v>
      </c>
      <c r="Q206" s="2" t="s">
        <v>170</v>
      </c>
      <c r="R206" s="2" t="s">
        <v>92</v>
      </c>
      <c r="S206" s="2" t="s">
        <v>92</v>
      </c>
      <c r="T206" s="2" t="s">
        <v>964</v>
      </c>
      <c r="U206" s="2" t="s">
        <v>57</v>
      </c>
      <c r="V206" s="4" t="n">
        <v>1833000</v>
      </c>
      <c r="W206" s="5" t="n">
        <v>8.67</v>
      </c>
      <c r="X206" s="3" t="n">
        <v>198</v>
      </c>
      <c r="Y206" s="6" t="n">
        <v>46180</v>
      </c>
      <c r="Z206" s="6"/>
      <c r="AA206" s="6"/>
      <c r="AB206" s="4" t="n">
        <f aca="false">ROUND(PMT(W206/1200,X206,-V206),2)</f>
        <v>17434.98</v>
      </c>
      <c r="AC206" s="4" t="n">
        <v>2193000</v>
      </c>
      <c r="AD206" s="3" t="n">
        <v>0</v>
      </c>
      <c r="AE206" s="4" t="n">
        <v>33500</v>
      </c>
      <c r="AF206" s="4" t="n">
        <v>16500</v>
      </c>
      <c r="AG206" s="3"/>
      <c r="AH206" s="4" t="n">
        <v>33800</v>
      </c>
      <c r="AI206" s="3" t="n">
        <v>678</v>
      </c>
      <c r="AJ206" s="7" t="n">
        <f aca="false">ROUND(AB206/I206,4)</f>
        <v>0.2812</v>
      </c>
      <c r="AK206" s="2" t="str">
        <f aca="false">IF(AND(AI206&gt;=750,AJ206&lt;=0.35),"Low",IF(AND(AI206&gt;=600,AJ206&lt;=0.5),"Medium","High"))</f>
        <v>Medium</v>
      </c>
      <c r="AL206" s="3" t="n">
        <v>3</v>
      </c>
      <c r="AM206" s="2" t="s">
        <v>58</v>
      </c>
      <c r="AN206" s="2"/>
      <c r="AO206" s="2" t="s">
        <v>134</v>
      </c>
      <c r="AP206" s="7" t="n">
        <v>0.289</v>
      </c>
    </row>
    <row r="207" customFormat="false" ht="15" hidden="false" customHeight="false" outlineLevel="0" collapsed="false">
      <c r="A207" s="2" t="s">
        <v>965</v>
      </c>
      <c r="B207" s="2" t="s">
        <v>966</v>
      </c>
      <c r="C207" s="2" t="s">
        <v>967</v>
      </c>
      <c r="D207" s="2" t="s">
        <v>109</v>
      </c>
      <c r="E207" s="3" t="n">
        <v>39</v>
      </c>
      <c r="F207" s="2" t="s">
        <v>175</v>
      </c>
      <c r="G207" s="2" t="s">
        <v>207</v>
      </c>
      <c r="H207" s="2" t="s">
        <v>48</v>
      </c>
      <c r="I207" s="4" t="n">
        <v>49000</v>
      </c>
      <c r="J207" s="2" t="s">
        <v>49</v>
      </c>
      <c r="K207" s="3" t="n">
        <v>16</v>
      </c>
      <c r="L207" s="2" t="s">
        <v>327</v>
      </c>
      <c r="M207" s="2" t="s">
        <v>92</v>
      </c>
      <c r="N207" s="2" t="s">
        <v>52</v>
      </c>
      <c r="O207" s="3" t="n">
        <v>0</v>
      </c>
      <c r="P207" s="2" t="s">
        <v>124</v>
      </c>
      <c r="Q207" s="2" t="s">
        <v>125</v>
      </c>
      <c r="R207" s="2" t="s">
        <v>91</v>
      </c>
      <c r="S207" s="2" t="s">
        <v>92</v>
      </c>
      <c r="T207" s="2" t="s">
        <v>968</v>
      </c>
      <c r="U207" s="2" t="s">
        <v>97</v>
      </c>
      <c r="V207" s="4" t="n">
        <v>811000</v>
      </c>
      <c r="W207" s="5" t="n">
        <v>13.85</v>
      </c>
      <c r="X207" s="3" t="n">
        <v>48</v>
      </c>
      <c r="Y207" s="6" t="n">
        <v>46191</v>
      </c>
      <c r="Z207" s="6" t="n">
        <v>46195</v>
      </c>
      <c r="AA207" s="6" t="n">
        <v>46198</v>
      </c>
      <c r="AB207" s="4" t="n">
        <f aca="false">ROUND(PMT(W207/1200,X207,-V207),2)</f>
        <v>22100.8</v>
      </c>
      <c r="AC207" s="4" t="n">
        <v>0</v>
      </c>
      <c r="AD207" s="3" t="n">
        <v>2</v>
      </c>
      <c r="AE207" s="4"/>
      <c r="AF207" s="4" t="n">
        <v>32200</v>
      </c>
      <c r="AG207" s="3" t="n">
        <v>37</v>
      </c>
      <c r="AH207" s="4" t="n">
        <v>51200</v>
      </c>
      <c r="AI207" s="3" t="n">
        <v>611</v>
      </c>
      <c r="AJ207" s="7" t="n">
        <f aca="false">ROUND(AB207/I207,4)</f>
        <v>0.451</v>
      </c>
      <c r="AK207" s="2" t="str">
        <f aca="false">IF(AND(AI207&gt;=750,AJ207&lt;=0.35),"Low",IF(AND(AI207&gt;=600,AJ207&lt;=0.5),"Medium","High"))</f>
        <v>Medium</v>
      </c>
      <c r="AL207" s="3" t="n">
        <v>3</v>
      </c>
      <c r="AM207" s="2" t="s">
        <v>58</v>
      </c>
      <c r="AN207" s="2" t="s">
        <v>59</v>
      </c>
      <c r="AO207" s="2" t="s">
        <v>60</v>
      </c>
      <c r="AP207" s="7" t="n">
        <v>0.324</v>
      </c>
    </row>
    <row r="208" customFormat="false" ht="15" hidden="false" customHeight="false" outlineLevel="0" collapsed="false">
      <c r="A208" s="2" t="s">
        <v>969</v>
      </c>
      <c r="B208" s="2" t="s">
        <v>970</v>
      </c>
      <c r="C208" s="2" t="s">
        <v>672</v>
      </c>
      <c r="D208" s="2" t="s">
        <v>45</v>
      </c>
      <c r="E208" s="3" t="n">
        <v>36</v>
      </c>
      <c r="F208" s="2" t="s">
        <v>46</v>
      </c>
      <c r="G208" s="2" t="s">
        <v>76</v>
      </c>
      <c r="H208" s="2" t="s">
        <v>101</v>
      </c>
      <c r="I208" s="4" t="n">
        <v>47500</v>
      </c>
      <c r="J208" s="2" t="s">
        <v>78</v>
      </c>
      <c r="K208" s="3" t="n">
        <v>18</v>
      </c>
      <c r="L208" s="2" t="s">
        <v>92</v>
      </c>
      <c r="M208" s="2" t="s">
        <v>92</v>
      </c>
      <c r="N208" s="2" t="s">
        <v>52</v>
      </c>
      <c r="O208" s="3" t="n">
        <v>0</v>
      </c>
      <c r="P208" s="2" t="s">
        <v>169</v>
      </c>
      <c r="Q208" s="2" t="s">
        <v>170</v>
      </c>
      <c r="R208" s="2" t="s">
        <v>92</v>
      </c>
      <c r="S208" s="2" t="s">
        <v>92</v>
      </c>
      <c r="T208" s="2" t="s">
        <v>971</v>
      </c>
      <c r="U208" s="2" t="s">
        <v>180</v>
      </c>
      <c r="V208" s="4" t="n">
        <v>338000</v>
      </c>
      <c r="W208" s="5" t="n">
        <v>11.26</v>
      </c>
      <c r="X208" s="3" t="n">
        <v>36</v>
      </c>
      <c r="Y208" s="6" t="n">
        <v>46195</v>
      </c>
      <c r="Z208" s="6" t="n">
        <v>46197</v>
      </c>
      <c r="AA208" s="6" t="n">
        <v>46200</v>
      </c>
      <c r="AB208" s="4" t="n">
        <f aca="false">ROUND(PMT(W208/1200,X208,-V208),2)</f>
        <v>11107.35</v>
      </c>
      <c r="AC208" s="4" t="n">
        <v>395000</v>
      </c>
      <c r="AD208" s="3" t="n">
        <v>1</v>
      </c>
      <c r="AE208" s="4" t="n">
        <v>50600</v>
      </c>
      <c r="AF208" s="4" t="n">
        <v>19500</v>
      </c>
      <c r="AG208" s="3" t="n">
        <v>2</v>
      </c>
      <c r="AH208" s="4" t="n">
        <v>44900</v>
      </c>
      <c r="AI208" s="3" t="n">
        <v>786</v>
      </c>
      <c r="AJ208" s="7" t="n">
        <f aca="false">ROUND(AB208/I208,4)</f>
        <v>0.2338</v>
      </c>
      <c r="AK208" s="2" t="str">
        <f aca="false">IF(AND(AI208&gt;=750,AJ208&lt;=0.35),"Low",IF(AND(AI208&gt;=600,AJ208&lt;=0.5),"Medium","High"))</f>
        <v>Low</v>
      </c>
      <c r="AL208" s="3" t="n">
        <v>0</v>
      </c>
      <c r="AM208" s="2" t="s">
        <v>58</v>
      </c>
      <c r="AN208" s="2" t="s">
        <v>59</v>
      </c>
      <c r="AO208" s="2" t="s">
        <v>60</v>
      </c>
      <c r="AP208" s="7" t="n">
        <v>0.171</v>
      </c>
    </row>
    <row r="209" customFormat="false" ht="15" hidden="false" customHeight="false" outlineLevel="0" collapsed="false">
      <c r="A209" s="2" t="s">
        <v>972</v>
      </c>
      <c r="B209" s="2" t="s">
        <v>973</v>
      </c>
      <c r="C209" s="2" t="s">
        <v>187</v>
      </c>
      <c r="D209" s="2" t="s">
        <v>109</v>
      </c>
      <c r="E209" s="3" t="n">
        <v>31</v>
      </c>
      <c r="F209" s="2" t="s">
        <v>46</v>
      </c>
      <c r="G209" s="2" t="s">
        <v>176</v>
      </c>
      <c r="H209" s="2" t="s">
        <v>48</v>
      </c>
      <c r="I209" s="4" t="n">
        <v>90000</v>
      </c>
      <c r="J209" s="2" t="s">
        <v>177</v>
      </c>
      <c r="K209" s="3" t="n">
        <v>9</v>
      </c>
      <c r="L209" s="2" t="s">
        <v>159</v>
      </c>
      <c r="M209" s="2" t="s">
        <v>159</v>
      </c>
      <c r="N209" s="2" t="s">
        <v>140</v>
      </c>
      <c r="O209" s="3" t="n">
        <v>0</v>
      </c>
      <c r="P209" s="2" t="s">
        <v>160</v>
      </c>
      <c r="Q209" s="2" t="s">
        <v>161</v>
      </c>
      <c r="R209" s="2" t="s">
        <v>159</v>
      </c>
      <c r="S209" s="2" t="s">
        <v>159</v>
      </c>
      <c r="T209" s="2" t="s">
        <v>974</v>
      </c>
      <c r="U209" s="2" t="s">
        <v>72</v>
      </c>
      <c r="V209" s="4" t="n">
        <v>478000</v>
      </c>
      <c r="W209" s="5" t="n">
        <v>11.89</v>
      </c>
      <c r="X209" s="3" t="n">
        <v>42</v>
      </c>
      <c r="Y209" s="6" t="n">
        <v>46197</v>
      </c>
      <c r="Z209" s="6" t="n">
        <v>46198</v>
      </c>
      <c r="AA209" s="6" t="n">
        <v>46203</v>
      </c>
      <c r="AB209" s="4" t="n">
        <f aca="false">ROUND(PMT(W209/1200,X209,-V209),2)</f>
        <v>13968.31</v>
      </c>
      <c r="AC209" s="4" t="n">
        <v>645000</v>
      </c>
      <c r="AD209" s="3" t="n">
        <v>0</v>
      </c>
      <c r="AE209" s="4" t="n">
        <v>126800</v>
      </c>
      <c r="AF209" s="4" t="n">
        <v>68900</v>
      </c>
      <c r="AG209" s="3" t="n">
        <v>12</v>
      </c>
      <c r="AH209" s="4" t="n">
        <v>91500</v>
      </c>
      <c r="AI209" s="3" t="n">
        <v>613</v>
      </c>
      <c r="AJ209" s="7" t="n">
        <f aca="false">ROUND(AB209/I209,4)</f>
        <v>0.1552</v>
      </c>
      <c r="AK209" s="2" t="str">
        <f aca="false">IF(AND(AI209&gt;=750,AJ209&lt;=0.35),"Low",IF(AND(AI209&gt;=600,AJ209&lt;=0.5),"Medium","High"))</f>
        <v>Medium</v>
      </c>
      <c r="AL209" s="3" t="n">
        <v>1</v>
      </c>
      <c r="AM209" s="2" t="s">
        <v>58</v>
      </c>
      <c r="AN209" s="2" t="s">
        <v>119</v>
      </c>
      <c r="AO209" s="2" t="s">
        <v>86</v>
      </c>
      <c r="AP209" s="7" t="n">
        <v>0.338</v>
      </c>
    </row>
    <row r="210" customFormat="false" ht="15" hidden="false" customHeight="false" outlineLevel="0" collapsed="false">
      <c r="A210" s="2" t="s">
        <v>975</v>
      </c>
      <c r="B210" s="2" t="s">
        <v>976</v>
      </c>
      <c r="C210" s="2" t="s">
        <v>977</v>
      </c>
      <c r="D210" s="2" t="s">
        <v>45</v>
      </c>
      <c r="E210" s="3" t="n">
        <v>26</v>
      </c>
      <c r="F210" s="2" t="s">
        <v>46</v>
      </c>
      <c r="G210" s="2" t="s">
        <v>90</v>
      </c>
      <c r="H210" s="2" t="s">
        <v>48</v>
      </c>
      <c r="I210" s="4" t="n">
        <v>21000</v>
      </c>
      <c r="J210" s="2" t="s">
        <v>90</v>
      </c>
      <c r="K210" s="3" t="n">
        <v>2</v>
      </c>
      <c r="L210" s="2" t="s">
        <v>231</v>
      </c>
      <c r="M210" s="2" t="s">
        <v>92</v>
      </c>
      <c r="N210" s="2" t="s">
        <v>81</v>
      </c>
      <c r="O210" s="3" t="n">
        <v>0</v>
      </c>
      <c r="P210" s="2" t="s">
        <v>93</v>
      </c>
      <c r="Q210" s="2" t="s">
        <v>94</v>
      </c>
      <c r="R210" s="2" t="s">
        <v>95</v>
      </c>
      <c r="S210" s="2" t="s">
        <v>92</v>
      </c>
      <c r="T210" s="2" t="s">
        <v>978</v>
      </c>
      <c r="U210" s="2" t="s">
        <v>72</v>
      </c>
      <c r="V210" s="4" t="n">
        <v>378000</v>
      </c>
      <c r="W210" s="5" t="n">
        <v>12.05</v>
      </c>
      <c r="X210" s="3" t="n">
        <v>66</v>
      </c>
      <c r="Y210" s="6" t="n">
        <v>46179</v>
      </c>
      <c r="Z210" s="6" t="n">
        <v>46184</v>
      </c>
      <c r="AA210" s="6" t="n">
        <v>46186</v>
      </c>
      <c r="AB210" s="4" t="n">
        <f aca="false">ROUND(PMT(W210/1200,X210,-V210),2)</f>
        <v>7860.95</v>
      </c>
      <c r="AC210" s="4" t="n">
        <v>446000</v>
      </c>
      <c r="AD210" s="3" t="n">
        <v>0</v>
      </c>
      <c r="AE210" s="4" t="n">
        <v>16500</v>
      </c>
      <c r="AF210" s="4" t="n">
        <v>9800</v>
      </c>
      <c r="AG210" s="3" t="n">
        <v>40</v>
      </c>
      <c r="AH210" s="4" t="n">
        <v>8900</v>
      </c>
      <c r="AI210" s="3" t="n">
        <v>793</v>
      </c>
      <c r="AJ210" s="7" t="n">
        <f aca="false">ROUND(AB210/I210,4)</f>
        <v>0.3743</v>
      </c>
      <c r="AK210" s="2" t="str">
        <f aca="false">IF(AND(AI210&gt;=750,AJ210&lt;=0.35),"Low",IF(AND(AI210&gt;=600,AJ210&lt;=0.5),"Medium","High"))</f>
        <v>Medium</v>
      </c>
      <c r="AL210" s="3" t="n">
        <v>2</v>
      </c>
      <c r="AM210" s="2" t="s">
        <v>58</v>
      </c>
      <c r="AN210" s="2" t="s">
        <v>59</v>
      </c>
      <c r="AO210" s="2" t="s">
        <v>60</v>
      </c>
      <c r="AP210" s="7" t="n">
        <v>0.119</v>
      </c>
    </row>
    <row r="211" customFormat="false" ht="15" hidden="false" customHeight="false" outlineLevel="0" collapsed="false">
      <c r="A211" s="2" t="s">
        <v>979</v>
      </c>
      <c r="B211" s="2" t="s">
        <v>980</v>
      </c>
      <c r="C211" s="2" t="s">
        <v>981</v>
      </c>
      <c r="D211" s="2" t="s">
        <v>45</v>
      </c>
      <c r="E211" s="3" t="n">
        <v>44</v>
      </c>
      <c r="F211" s="2" t="s">
        <v>64</v>
      </c>
      <c r="G211" s="2" t="s">
        <v>145</v>
      </c>
      <c r="H211" s="2" t="s">
        <v>111</v>
      </c>
      <c r="I211" s="4" t="n">
        <v>39000</v>
      </c>
      <c r="J211" s="2" t="s">
        <v>145</v>
      </c>
      <c r="K211" s="3" t="n">
        <v>22</v>
      </c>
      <c r="L211" s="2" t="s">
        <v>297</v>
      </c>
      <c r="M211" s="2" t="s">
        <v>92</v>
      </c>
      <c r="N211" s="2" t="s">
        <v>52</v>
      </c>
      <c r="O211" s="3" t="n">
        <v>2</v>
      </c>
      <c r="P211" s="2" t="s">
        <v>124</v>
      </c>
      <c r="Q211" s="2" t="s">
        <v>125</v>
      </c>
      <c r="R211" s="2" t="s">
        <v>91</v>
      </c>
      <c r="S211" s="2" t="s">
        <v>92</v>
      </c>
      <c r="T211" s="2" t="s">
        <v>982</v>
      </c>
      <c r="U211" s="2" t="s">
        <v>72</v>
      </c>
      <c r="V211" s="4" t="n">
        <v>1015000</v>
      </c>
      <c r="W211" s="5" t="n">
        <v>14.57</v>
      </c>
      <c r="X211" s="3" t="n">
        <v>72</v>
      </c>
      <c r="Y211" s="6" t="n">
        <v>46185</v>
      </c>
      <c r="Z211" s="6" t="n">
        <v>46189</v>
      </c>
      <c r="AA211" s="6" t="n">
        <v>46190</v>
      </c>
      <c r="AB211" s="4" t="n">
        <f aca="false">ROUND(PMT(W211/1200,X211,-V211),2)</f>
        <v>21225.88</v>
      </c>
      <c r="AC211" s="4" t="n">
        <v>1117000</v>
      </c>
      <c r="AD211" s="3" t="n">
        <v>0</v>
      </c>
      <c r="AE211" s="4" t="n">
        <v>131900</v>
      </c>
      <c r="AF211" s="4" t="n">
        <v>49900</v>
      </c>
      <c r="AG211" s="3"/>
      <c r="AH211" s="4" t="n">
        <v>36000</v>
      </c>
      <c r="AI211" s="3" t="n">
        <v>602</v>
      </c>
      <c r="AJ211" s="7" t="n">
        <f aca="false">ROUND(AB211/I211,4)</f>
        <v>0.5443</v>
      </c>
      <c r="AK211" s="2" t="str">
        <f aca="false">IF(AND(AI211&gt;=750,AJ211&lt;=0.35),"Low",IF(AND(AI211&gt;=600,AJ211&lt;=0.5),"Medium","High"))</f>
        <v>High</v>
      </c>
      <c r="AL211" s="3"/>
      <c r="AM211" s="2" t="s">
        <v>58</v>
      </c>
      <c r="AN211" s="2" t="s">
        <v>59</v>
      </c>
      <c r="AO211" s="2" t="s">
        <v>60</v>
      </c>
      <c r="AP211" s="7" t="n">
        <v>0.335</v>
      </c>
    </row>
    <row r="212" customFormat="false" ht="15" hidden="false" customHeight="false" outlineLevel="0" collapsed="false">
      <c r="A212" s="2" t="s">
        <v>983</v>
      </c>
      <c r="B212" s="2" t="s">
        <v>808</v>
      </c>
      <c r="C212" s="2" t="s">
        <v>984</v>
      </c>
      <c r="D212" s="2" t="s">
        <v>45</v>
      </c>
      <c r="E212" s="3" t="n">
        <v>45</v>
      </c>
      <c r="F212" s="2" t="s">
        <v>64</v>
      </c>
      <c r="G212" s="2" t="s">
        <v>145</v>
      </c>
      <c r="H212" s="2" t="s">
        <v>48</v>
      </c>
      <c r="I212" s="4" t="n">
        <v>44500</v>
      </c>
      <c r="J212" s="2" t="s">
        <v>145</v>
      </c>
      <c r="K212" s="3" t="n">
        <v>25</v>
      </c>
      <c r="L212" s="2" t="s">
        <v>481</v>
      </c>
      <c r="M212" s="2" t="s">
        <v>159</v>
      </c>
      <c r="N212" s="2" t="s">
        <v>52</v>
      </c>
      <c r="O212" s="3" t="n">
        <v>2</v>
      </c>
      <c r="P212" s="2" t="s">
        <v>160</v>
      </c>
      <c r="Q212" s="2" t="s">
        <v>161</v>
      </c>
      <c r="R212" s="2" t="s">
        <v>159</v>
      </c>
      <c r="S212" s="2" t="s">
        <v>159</v>
      </c>
      <c r="T212" s="2" t="s">
        <v>985</v>
      </c>
      <c r="U212" s="2" t="s">
        <v>85</v>
      </c>
      <c r="V212" s="4" t="n">
        <v>323000</v>
      </c>
      <c r="W212" s="5" t="n">
        <v>9.26</v>
      </c>
      <c r="X212" s="3" t="n">
        <v>18</v>
      </c>
      <c r="Y212" s="6" t="n">
        <v>46194</v>
      </c>
      <c r="Z212" s="6" t="n">
        <v>46200</v>
      </c>
      <c r="AA212" s="6" t="n">
        <v>46202</v>
      </c>
      <c r="AB212" s="4" t="n">
        <f aca="false">ROUND(PMT(W212/1200,X212,-V212),2)</f>
        <v>19288.56</v>
      </c>
      <c r="AC212" s="4" t="n">
        <v>0</v>
      </c>
      <c r="AD212" s="3" t="n">
        <v>0</v>
      </c>
      <c r="AE212" s="4" t="n">
        <v>57500</v>
      </c>
      <c r="AF212" s="4" t="n">
        <v>25700</v>
      </c>
      <c r="AG212" s="3" t="n">
        <v>17</v>
      </c>
      <c r="AH212" s="4" t="n">
        <v>21700</v>
      </c>
      <c r="AI212" s="3" t="n">
        <v>687</v>
      </c>
      <c r="AJ212" s="7" t="n">
        <f aca="false">ROUND(AB212/I212,4)</f>
        <v>0.4335</v>
      </c>
      <c r="AK212" s="2" t="str">
        <f aca="false">IF(AND(AI212&gt;=750,AJ212&lt;=0.35),"Low",IF(AND(AI212&gt;=600,AJ212&lt;=0.5),"Medium","High"))</f>
        <v>Medium</v>
      </c>
      <c r="AL212" s="3" t="n">
        <v>3</v>
      </c>
      <c r="AM212" s="2" t="s">
        <v>58</v>
      </c>
      <c r="AN212" s="2" t="s">
        <v>59</v>
      </c>
      <c r="AO212" s="2" t="s">
        <v>60</v>
      </c>
      <c r="AP212" s="7" t="n">
        <v>0.315</v>
      </c>
    </row>
    <row r="213" customFormat="false" ht="15" hidden="false" customHeight="false" outlineLevel="0" collapsed="false">
      <c r="A213" s="2" t="s">
        <v>986</v>
      </c>
      <c r="B213" s="2" t="s">
        <v>987</v>
      </c>
      <c r="C213" s="2" t="s">
        <v>988</v>
      </c>
      <c r="D213" s="2" t="s">
        <v>45</v>
      </c>
      <c r="E213" s="3" t="n">
        <v>53</v>
      </c>
      <c r="F213" s="2" t="s">
        <v>64</v>
      </c>
      <c r="G213" s="2" t="s">
        <v>154</v>
      </c>
      <c r="H213" s="2" t="s">
        <v>77</v>
      </c>
      <c r="I213" s="4" t="n">
        <v>46000</v>
      </c>
      <c r="J213" s="2" t="s">
        <v>145</v>
      </c>
      <c r="K213" s="3" t="n">
        <v>26</v>
      </c>
      <c r="L213" s="2" t="s">
        <v>139</v>
      </c>
      <c r="M213" s="2" t="s">
        <v>139</v>
      </c>
      <c r="N213" s="2" t="s">
        <v>52</v>
      </c>
      <c r="O213" s="3" t="n">
        <v>1</v>
      </c>
      <c r="P213" s="2" t="s">
        <v>197</v>
      </c>
      <c r="Q213" s="2" t="s">
        <v>198</v>
      </c>
      <c r="R213" s="2" t="s">
        <v>139</v>
      </c>
      <c r="S213" s="2" t="s">
        <v>139</v>
      </c>
      <c r="T213" s="2" t="s">
        <v>989</v>
      </c>
      <c r="U213" s="2" t="s">
        <v>85</v>
      </c>
      <c r="V213" s="4" t="n">
        <v>266000</v>
      </c>
      <c r="W213" s="5" t="n">
        <v>9.35</v>
      </c>
      <c r="X213" s="3" t="n">
        <v>18</v>
      </c>
      <c r="Y213" s="6" t="n">
        <v>46176</v>
      </c>
      <c r="Z213" s="6"/>
      <c r="AA213" s="6"/>
      <c r="AB213" s="4" t="n">
        <f aca="false">ROUND(PMT(W213/1200,X213,-V213),2)</f>
        <v>15895.69</v>
      </c>
      <c r="AC213" s="4" t="n">
        <v>0</v>
      </c>
      <c r="AD213" s="3" t="n">
        <v>0</v>
      </c>
      <c r="AE213" s="4" t="n">
        <v>76400</v>
      </c>
      <c r="AF213" s="4" t="n">
        <v>25400</v>
      </c>
      <c r="AG213" s="3" t="n">
        <v>27</v>
      </c>
      <c r="AH213" s="4" t="n">
        <v>14300</v>
      </c>
      <c r="AI213" s="3" t="n">
        <v>839</v>
      </c>
      <c r="AJ213" s="7" t="n">
        <f aca="false">ROUND(AB213/I213,4)</f>
        <v>0.3456</v>
      </c>
      <c r="AK213" s="2" t="str">
        <f aca="false">IF(AND(AI213&gt;=750,AJ213&lt;=0.35),"Low",IF(AND(AI213&gt;=600,AJ213&lt;=0.5),"Medium","High"))</f>
        <v>Low</v>
      </c>
      <c r="AL213" s="3" t="n">
        <v>0</v>
      </c>
      <c r="AM213" s="2" t="s">
        <v>58</v>
      </c>
      <c r="AN213" s="2"/>
      <c r="AO213" s="2" t="s">
        <v>134</v>
      </c>
      <c r="AP213" s="7" t="n">
        <v>0.127</v>
      </c>
    </row>
    <row r="214" customFormat="false" ht="15" hidden="false" customHeight="false" outlineLevel="0" collapsed="false">
      <c r="A214" s="2" t="s">
        <v>990</v>
      </c>
      <c r="B214" s="2" t="s">
        <v>991</v>
      </c>
      <c r="C214" s="2" t="s">
        <v>992</v>
      </c>
      <c r="D214" s="2" t="s">
        <v>45</v>
      </c>
      <c r="E214" s="3" t="n">
        <v>35</v>
      </c>
      <c r="F214" s="2" t="s">
        <v>64</v>
      </c>
      <c r="G214" s="2" t="s">
        <v>176</v>
      </c>
      <c r="H214" s="2" t="s">
        <v>48</v>
      </c>
      <c r="I214" s="4" t="n">
        <v>71000</v>
      </c>
      <c r="J214" s="2" t="s">
        <v>177</v>
      </c>
      <c r="K214" s="3" t="n">
        <v>9</v>
      </c>
      <c r="L214" s="2" t="s">
        <v>178</v>
      </c>
      <c r="M214" s="2" t="s">
        <v>92</v>
      </c>
      <c r="N214" s="2" t="s">
        <v>52</v>
      </c>
      <c r="O214" s="3" t="n">
        <v>0</v>
      </c>
      <c r="P214" s="2" t="s">
        <v>124</v>
      </c>
      <c r="Q214" s="2" t="s">
        <v>125</v>
      </c>
      <c r="R214" s="2" t="s">
        <v>91</v>
      </c>
      <c r="S214" s="2" t="s">
        <v>92</v>
      </c>
      <c r="T214" s="2" t="s">
        <v>993</v>
      </c>
      <c r="U214" s="2" t="s">
        <v>118</v>
      </c>
      <c r="V214" s="4" t="n">
        <v>1138000</v>
      </c>
      <c r="W214" s="5" t="n">
        <v>10.46</v>
      </c>
      <c r="X214" s="3" t="n">
        <v>54</v>
      </c>
      <c r="Y214" s="6" t="n">
        <v>46197</v>
      </c>
      <c r="Z214" s="6"/>
      <c r="AA214" s="6"/>
      <c r="AB214" s="4" t="n">
        <f aca="false">ROUND(PMT(W214/1200,X214,-V214),2)</f>
        <v>26511.57</v>
      </c>
      <c r="AC214" s="4" t="n">
        <v>0</v>
      </c>
      <c r="AD214" s="3" t="n">
        <v>1</v>
      </c>
      <c r="AE214" s="4" t="n">
        <v>52700</v>
      </c>
      <c r="AF214" s="4" t="n">
        <v>7600</v>
      </c>
      <c r="AG214" s="3" t="n">
        <v>68</v>
      </c>
      <c r="AH214" s="4" t="n">
        <v>55400</v>
      </c>
      <c r="AI214" s="3" t="n">
        <v>585</v>
      </c>
      <c r="AJ214" s="7" t="n">
        <f aca="false">ROUND(AB214/I214,4)</f>
        <v>0.3734</v>
      </c>
      <c r="AK214" s="2" t="str">
        <f aca="false">IF(AND(AI214&gt;=750,AJ214&lt;=0.35),"Low",IF(AND(AI214&gt;=600,AJ214&lt;=0.5),"Medium","High"))</f>
        <v>High</v>
      </c>
      <c r="AL214" s="3" t="n">
        <v>3</v>
      </c>
      <c r="AM214" s="2" t="s">
        <v>58</v>
      </c>
      <c r="AN214" s="2"/>
      <c r="AO214" s="2" t="s">
        <v>134</v>
      </c>
      <c r="AP214" s="7" t="n">
        <v>0.372</v>
      </c>
    </row>
    <row r="215" customFormat="false" ht="15" hidden="false" customHeight="false" outlineLevel="0" collapsed="false">
      <c r="A215" s="2" t="s">
        <v>994</v>
      </c>
      <c r="B215" s="2" t="s">
        <v>995</v>
      </c>
      <c r="C215" s="2" t="s">
        <v>996</v>
      </c>
      <c r="D215" s="2" t="s">
        <v>109</v>
      </c>
      <c r="E215" s="3" t="n">
        <v>44</v>
      </c>
      <c r="F215" s="2" t="s">
        <v>46</v>
      </c>
      <c r="G215" s="2" t="s">
        <v>207</v>
      </c>
      <c r="H215" s="2" t="s">
        <v>101</v>
      </c>
      <c r="I215" s="4" t="n">
        <v>1228810</v>
      </c>
      <c r="J215" s="2" t="s">
        <v>49</v>
      </c>
      <c r="K215" s="3" t="n">
        <v>21</v>
      </c>
      <c r="L215" s="2" t="s">
        <v>50</v>
      </c>
      <c r="M215" s="2" t="s">
        <v>51</v>
      </c>
      <c r="N215" s="2" t="s">
        <v>52</v>
      </c>
      <c r="O215" s="3" t="n">
        <v>0</v>
      </c>
      <c r="P215" s="2" t="s">
        <v>131</v>
      </c>
      <c r="Q215" s="2" t="s">
        <v>132</v>
      </c>
      <c r="R215" s="2" t="s">
        <v>51</v>
      </c>
      <c r="S215" s="2" t="s">
        <v>51</v>
      </c>
      <c r="T215" s="2" t="s">
        <v>997</v>
      </c>
      <c r="U215" s="2" t="s">
        <v>180</v>
      </c>
      <c r="V215" s="4" t="n">
        <v>1492000</v>
      </c>
      <c r="W215" s="5" t="n">
        <v>12.35</v>
      </c>
      <c r="X215" s="3" t="n">
        <v>66</v>
      </c>
      <c r="Y215" s="6" t="n">
        <v>46201</v>
      </c>
      <c r="Z215" s="6"/>
      <c r="AA215" s="6"/>
      <c r="AB215" s="4" t="n">
        <f aca="false">ROUND(PMT(W215/1200,X215,-V215),2)</f>
        <v>31257.99</v>
      </c>
      <c r="AC215" s="4" t="n">
        <v>1713000</v>
      </c>
      <c r="AD215" s="3" t="n">
        <v>0</v>
      </c>
      <c r="AE215" s="4" t="n">
        <v>186200</v>
      </c>
      <c r="AF215" s="4" t="n">
        <v>73900</v>
      </c>
      <c r="AG215" s="3" t="n">
        <v>12</v>
      </c>
      <c r="AH215" s="4" t="n">
        <v>21400</v>
      </c>
      <c r="AI215" s="3" t="n">
        <v>647</v>
      </c>
      <c r="AJ215" s="7" t="n">
        <f aca="false">ROUND(AB215/I215,4)</f>
        <v>0.0254</v>
      </c>
      <c r="AK215" s="2" t="str">
        <f aca="false">IF(AND(AI215&gt;=750,AJ215&lt;=0.35),"Low",IF(AND(AI215&gt;=600,AJ215&lt;=0.5),"Medium","High"))</f>
        <v>Medium</v>
      </c>
      <c r="AL215" s="3" t="n">
        <v>4</v>
      </c>
      <c r="AM215" s="2" t="s">
        <v>58</v>
      </c>
      <c r="AN215" s="2"/>
      <c r="AO215" s="2" t="s">
        <v>134</v>
      </c>
      <c r="AP215" s="7" t="n">
        <v>0.355</v>
      </c>
    </row>
    <row r="216" customFormat="false" ht="15" hidden="false" customHeight="false" outlineLevel="0" collapsed="false">
      <c r="A216" s="2" t="s">
        <v>998</v>
      </c>
      <c r="B216" s="2" t="s">
        <v>999</v>
      </c>
      <c r="C216" s="2" t="s">
        <v>1000</v>
      </c>
      <c r="D216" s="2" t="s">
        <v>45</v>
      </c>
      <c r="E216" s="3" t="n">
        <v>28</v>
      </c>
      <c r="F216" s="2" t="s">
        <v>64</v>
      </c>
      <c r="G216" s="2" t="s">
        <v>47</v>
      </c>
      <c r="H216" s="2" t="s">
        <v>101</v>
      </c>
      <c r="I216" s="4" t="n">
        <v>141500</v>
      </c>
      <c r="J216" s="2" t="s">
        <v>49</v>
      </c>
      <c r="K216" s="3" t="n">
        <v>1</v>
      </c>
      <c r="L216" s="2" t="s">
        <v>147</v>
      </c>
      <c r="M216" s="2" t="s">
        <v>147</v>
      </c>
      <c r="N216" s="2" t="s">
        <v>81</v>
      </c>
      <c r="O216" s="3" t="n">
        <v>2</v>
      </c>
      <c r="P216" s="2" t="s">
        <v>148</v>
      </c>
      <c r="Q216" s="2" t="s">
        <v>149</v>
      </c>
      <c r="R216" s="2" t="s">
        <v>147</v>
      </c>
      <c r="S216" s="2" t="s">
        <v>147</v>
      </c>
      <c r="T216" s="2" t="s">
        <v>1001</v>
      </c>
      <c r="U216" s="2" t="s">
        <v>72</v>
      </c>
      <c r="V216" s="4" t="n">
        <v>2510000</v>
      </c>
      <c r="W216" s="5" t="n">
        <v>15.02</v>
      </c>
      <c r="X216" s="3" t="n">
        <v>66</v>
      </c>
      <c r="Y216" s="6" t="n">
        <v>46194</v>
      </c>
      <c r="Z216" s="6" t="n">
        <v>46203</v>
      </c>
      <c r="AA216" s="6" t="n">
        <v>46209</v>
      </c>
      <c r="AB216" s="4" t="n">
        <f aca="false">ROUND(PMT(W216/1200,X216,-V216),2)</f>
        <v>56101.83</v>
      </c>
      <c r="AC216" s="4" t="n">
        <v>2658000</v>
      </c>
      <c r="AD216" s="3" t="n">
        <v>0</v>
      </c>
      <c r="AE216" s="4" t="n">
        <v>77100</v>
      </c>
      <c r="AF216" s="4" t="n">
        <v>28500</v>
      </c>
      <c r="AG216" s="3" t="n">
        <v>17</v>
      </c>
      <c r="AH216" s="4" t="n">
        <v>138800</v>
      </c>
      <c r="AI216" s="3" t="n">
        <v>748</v>
      </c>
      <c r="AJ216" s="7" t="n">
        <f aca="false">ROUND(AB216/I216,4)</f>
        <v>0.3965</v>
      </c>
      <c r="AK216" s="2" t="str">
        <f aca="false">IF(AND(AI216&gt;=750,AJ216&lt;=0.35),"Low",IF(AND(AI216&gt;=600,AJ216&lt;=0.5),"Medium","High"))</f>
        <v>Medium</v>
      </c>
      <c r="AL216" s="3" t="n">
        <v>1</v>
      </c>
      <c r="AM216" s="2" t="s">
        <v>233</v>
      </c>
      <c r="AN216" s="2" t="s">
        <v>119</v>
      </c>
      <c r="AO216" s="2" t="s">
        <v>60</v>
      </c>
      <c r="AP216" s="7" t="n">
        <v>0.242</v>
      </c>
    </row>
    <row r="217" customFormat="false" ht="15" hidden="false" customHeight="false" outlineLevel="0" collapsed="false">
      <c r="A217" s="2" t="s">
        <v>1002</v>
      </c>
      <c r="B217" s="2" t="s">
        <v>1003</v>
      </c>
      <c r="C217" s="2" t="s">
        <v>1004</v>
      </c>
      <c r="D217" s="2" t="s">
        <v>45</v>
      </c>
      <c r="E217" s="3" t="n">
        <v>38</v>
      </c>
      <c r="F217" s="2" t="s">
        <v>46</v>
      </c>
      <c r="G217" s="2" t="s">
        <v>76</v>
      </c>
      <c r="H217" s="2" t="s">
        <v>48</v>
      </c>
      <c r="I217" s="4" t="n">
        <v>57000</v>
      </c>
      <c r="J217" s="2" t="s">
        <v>78</v>
      </c>
      <c r="K217" s="3" t="n">
        <v>13</v>
      </c>
      <c r="L217" s="2" t="s">
        <v>168</v>
      </c>
      <c r="M217" s="2" t="s">
        <v>92</v>
      </c>
      <c r="N217" s="2" t="s">
        <v>140</v>
      </c>
      <c r="O217" s="3" t="n">
        <v>0</v>
      </c>
      <c r="P217" s="2" t="s">
        <v>93</v>
      </c>
      <c r="Q217" s="2" t="s">
        <v>94</v>
      </c>
      <c r="R217" s="2" t="s">
        <v>95</v>
      </c>
      <c r="S217" s="2" t="s">
        <v>92</v>
      </c>
      <c r="T217" s="2" t="s">
        <v>1005</v>
      </c>
      <c r="U217" s="2" t="s">
        <v>57</v>
      </c>
      <c r="V217" s="4" t="n">
        <v>2164000</v>
      </c>
      <c r="W217" s="5" t="n">
        <v>9.22</v>
      </c>
      <c r="X217" s="3" t="n">
        <v>132</v>
      </c>
      <c r="Y217" s="6" t="n">
        <v>46189</v>
      </c>
      <c r="Z217" s="6"/>
      <c r="AA217" s="6"/>
      <c r="AB217" s="4" t="n">
        <f aca="false">ROUND(PMT(W217/1200,X217,-V217),2)</f>
        <v>26146.82</v>
      </c>
      <c r="AC217" s="4" t="n">
        <v>2269000</v>
      </c>
      <c r="AD217" s="3" t="n">
        <v>0</v>
      </c>
      <c r="AE217" s="4" t="n">
        <v>202800</v>
      </c>
      <c r="AF217" s="4" t="n">
        <v>121200</v>
      </c>
      <c r="AG217" s="3" t="n">
        <v>2</v>
      </c>
      <c r="AH217" s="4" t="n">
        <v>43700</v>
      </c>
      <c r="AI217" s="3" t="n">
        <v>526</v>
      </c>
      <c r="AJ217" s="7" t="n">
        <f aca="false">ROUND(AB217/I217,4)</f>
        <v>0.4587</v>
      </c>
      <c r="AK217" s="2" t="str">
        <f aca="false">IF(AND(AI217&gt;=750,AJ217&lt;=0.35),"Low",IF(AND(AI217&gt;=600,AJ217&lt;=0.5),"Medium","High"))</f>
        <v>High</v>
      </c>
      <c r="AL217" s="3" t="n">
        <v>2</v>
      </c>
      <c r="AM217" s="2" t="s">
        <v>58</v>
      </c>
      <c r="AN217" s="2"/>
      <c r="AO217" s="2" t="s">
        <v>127</v>
      </c>
      <c r="AP217" s="7" t="n">
        <v>0.468</v>
      </c>
    </row>
    <row r="218" customFormat="false" ht="15" hidden="false" customHeight="false" outlineLevel="0" collapsed="false">
      <c r="A218" s="2" t="s">
        <v>1006</v>
      </c>
      <c r="B218" s="2" t="s">
        <v>1007</v>
      </c>
      <c r="C218" s="2" t="s">
        <v>1008</v>
      </c>
      <c r="D218" s="2" t="s">
        <v>109</v>
      </c>
      <c r="E218" s="3" t="n">
        <v>31</v>
      </c>
      <c r="F218" s="2" t="s">
        <v>64</v>
      </c>
      <c r="G218" s="2"/>
      <c r="H218" s="2" t="s">
        <v>77</v>
      </c>
      <c r="I218" s="4" t="n">
        <v>21500</v>
      </c>
      <c r="J218" s="2" t="s">
        <v>112</v>
      </c>
      <c r="K218" s="3" t="n">
        <v>11</v>
      </c>
      <c r="L218" s="2" t="s">
        <v>159</v>
      </c>
      <c r="M218" s="2" t="s">
        <v>159</v>
      </c>
      <c r="N218" s="2" t="s">
        <v>52</v>
      </c>
      <c r="O218" s="3" t="n">
        <v>1</v>
      </c>
      <c r="P218" s="2" t="s">
        <v>160</v>
      </c>
      <c r="Q218" s="2" t="s">
        <v>161</v>
      </c>
      <c r="R218" s="2" t="s">
        <v>159</v>
      </c>
      <c r="S218" s="2" t="s">
        <v>159</v>
      </c>
      <c r="T218" s="2" t="s">
        <v>1009</v>
      </c>
      <c r="U218" s="2" t="s">
        <v>180</v>
      </c>
      <c r="V218" s="4" t="n">
        <v>300000</v>
      </c>
      <c r="W218" s="5" t="n">
        <v>12.42</v>
      </c>
      <c r="X218" s="3" t="n">
        <v>54</v>
      </c>
      <c r="Y218" s="6" t="n">
        <v>46195</v>
      </c>
      <c r="Z218" s="6" t="n">
        <v>46199</v>
      </c>
      <c r="AA218" s="6" t="n">
        <v>46204</v>
      </c>
      <c r="AB218" s="4" t="n">
        <f aca="false">ROUND(PMT(W218/1200,X218,-V218),2)</f>
        <v>7279.89</v>
      </c>
      <c r="AC218" s="4" t="n">
        <v>413000</v>
      </c>
      <c r="AD218" s="3" t="n">
        <v>1</v>
      </c>
      <c r="AE218" s="4" t="n">
        <v>65700</v>
      </c>
      <c r="AF218" s="4" t="n">
        <v>26900</v>
      </c>
      <c r="AG218" s="3" t="n">
        <v>43</v>
      </c>
      <c r="AH218" s="4" t="n">
        <v>9700</v>
      </c>
      <c r="AI218" s="3" t="n">
        <v>640</v>
      </c>
      <c r="AJ218" s="7" t="n">
        <f aca="false">ROUND(AB218/I218,4)</f>
        <v>0.3386</v>
      </c>
      <c r="AK218" s="2" t="str">
        <f aca="false">IF(AND(AI218&gt;=750,AJ218&lt;=0.35),"Low",IF(AND(AI218&gt;=600,AJ218&lt;=0.5),"Medium","High"))</f>
        <v>Medium</v>
      </c>
      <c r="AL218" s="3" t="n">
        <v>2</v>
      </c>
      <c r="AM218" s="2" t="s">
        <v>233</v>
      </c>
      <c r="AN218" s="2" t="s">
        <v>59</v>
      </c>
      <c r="AO218" s="2" t="s">
        <v>60</v>
      </c>
      <c r="AP218" s="7" t="n">
        <v>0.407</v>
      </c>
    </row>
    <row r="219" customFormat="false" ht="15" hidden="false" customHeight="false" outlineLevel="0" collapsed="false">
      <c r="A219" s="2" t="s">
        <v>1010</v>
      </c>
      <c r="B219" s="2" t="s">
        <v>1011</v>
      </c>
      <c r="C219" s="2" t="s">
        <v>1012</v>
      </c>
      <c r="D219" s="2" t="s">
        <v>109</v>
      </c>
      <c r="E219" s="3" t="n">
        <v>60</v>
      </c>
      <c r="F219" s="2" t="s">
        <v>64</v>
      </c>
      <c r="G219" s="2"/>
      <c r="H219" s="2" t="s">
        <v>48</v>
      </c>
      <c r="I219" s="4" t="n">
        <v>43000</v>
      </c>
      <c r="J219" s="2" t="s">
        <v>78</v>
      </c>
      <c r="K219" s="3" t="n">
        <v>37</v>
      </c>
      <c r="L219" s="2" t="s">
        <v>95</v>
      </c>
      <c r="M219" s="2" t="s">
        <v>92</v>
      </c>
      <c r="N219" s="2" t="s">
        <v>140</v>
      </c>
      <c r="O219" s="3" t="n">
        <v>1</v>
      </c>
      <c r="P219" s="2" t="s">
        <v>169</v>
      </c>
      <c r="Q219" s="2" t="s">
        <v>170</v>
      </c>
      <c r="R219" s="2" t="s">
        <v>92</v>
      </c>
      <c r="S219" s="2" t="s">
        <v>92</v>
      </c>
      <c r="T219" s="2" t="s">
        <v>1013</v>
      </c>
      <c r="U219" s="2" t="s">
        <v>180</v>
      </c>
      <c r="V219" s="4" t="n">
        <v>300000</v>
      </c>
      <c r="W219" s="5" t="n">
        <v>9.23</v>
      </c>
      <c r="X219" s="3" t="n">
        <v>18</v>
      </c>
      <c r="Y219" s="6" t="n">
        <v>46197</v>
      </c>
      <c r="Z219" s="6"/>
      <c r="AA219" s="6"/>
      <c r="AB219" s="4" t="n">
        <f aca="false">ROUND(PMT(W219/1200,X219,-V219),2)</f>
        <v>17910.94</v>
      </c>
      <c r="AC219" s="4" t="n">
        <v>388000</v>
      </c>
      <c r="AD219" s="3" t="n">
        <v>0</v>
      </c>
      <c r="AE219" s="4" t="n">
        <v>117500</v>
      </c>
      <c r="AF219" s="4" t="n">
        <v>59900</v>
      </c>
      <c r="AG219" s="3" t="n">
        <v>31</v>
      </c>
      <c r="AH219" s="4" t="n">
        <v>14300</v>
      </c>
      <c r="AI219" s="3" t="n">
        <v>900</v>
      </c>
      <c r="AJ219" s="7" t="n">
        <f aca="false">ROUND(AB219/I219,4)</f>
        <v>0.4165</v>
      </c>
      <c r="AK219" s="2" t="str">
        <f aca="false">IF(AND(AI219&gt;=750,AJ219&lt;=0.35),"Low",IF(AND(AI219&gt;=600,AJ219&lt;=0.5),"Medium","High"))</f>
        <v>Medium</v>
      </c>
      <c r="AL219" s="3" t="n">
        <v>1</v>
      </c>
      <c r="AM219" s="2" t="s">
        <v>233</v>
      </c>
      <c r="AN219" s="2"/>
      <c r="AO219" s="2" t="s">
        <v>127</v>
      </c>
      <c r="AP219" s="7" t="n">
        <v>0.092</v>
      </c>
    </row>
    <row r="220" customFormat="false" ht="15" hidden="false" customHeight="false" outlineLevel="0" collapsed="false">
      <c r="A220" s="2" t="s">
        <v>1014</v>
      </c>
      <c r="B220" s="2" t="s">
        <v>1015</v>
      </c>
      <c r="C220" s="2" t="s">
        <v>1016</v>
      </c>
      <c r="D220" s="2" t="s">
        <v>45</v>
      </c>
      <c r="E220" s="3" t="n">
        <v>59</v>
      </c>
      <c r="F220" s="2" t="s">
        <v>46</v>
      </c>
      <c r="G220" s="2" t="s">
        <v>246</v>
      </c>
      <c r="H220" s="2" t="s">
        <v>77</v>
      </c>
      <c r="I220" s="4" t="n">
        <v>23500</v>
      </c>
      <c r="J220" s="2" t="s">
        <v>145</v>
      </c>
      <c r="K220" s="3" t="n">
        <v>37</v>
      </c>
      <c r="L220" s="2" t="s">
        <v>429</v>
      </c>
      <c r="M220" s="2" t="s">
        <v>159</v>
      </c>
      <c r="N220" s="2" t="s">
        <v>52</v>
      </c>
      <c r="O220" s="3" t="n">
        <v>0</v>
      </c>
      <c r="P220" s="2" t="s">
        <v>160</v>
      </c>
      <c r="Q220" s="2" t="s">
        <v>161</v>
      </c>
      <c r="R220" s="2" t="s">
        <v>159</v>
      </c>
      <c r="S220" s="2" t="s">
        <v>159</v>
      </c>
      <c r="T220" s="2" t="s">
        <v>1017</v>
      </c>
      <c r="U220" s="2" t="s">
        <v>85</v>
      </c>
      <c r="V220" s="4" t="n">
        <v>134000</v>
      </c>
      <c r="W220" s="5" t="n">
        <v>9.41</v>
      </c>
      <c r="X220" s="3" t="n">
        <v>18</v>
      </c>
      <c r="Y220" s="6" t="n">
        <v>46193</v>
      </c>
      <c r="Z220" s="6" t="n">
        <v>46197</v>
      </c>
      <c r="AA220" s="6" t="n">
        <v>46201</v>
      </c>
      <c r="AB220" s="4" t="n">
        <f aca="false">ROUND(PMT(W220/1200,X220,-V220),2)</f>
        <v>8011.29</v>
      </c>
      <c r="AC220" s="4" t="n">
        <v>0</v>
      </c>
      <c r="AD220" s="3" t="n">
        <v>0</v>
      </c>
      <c r="AE220" s="4" t="n">
        <v>27400</v>
      </c>
      <c r="AF220" s="4" t="n">
        <v>12400</v>
      </c>
      <c r="AG220" s="3" t="n">
        <v>58</v>
      </c>
      <c r="AH220" s="4" t="n">
        <v>17500</v>
      </c>
      <c r="AI220" s="3" t="n">
        <v>811</v>
      </c>
      <c r="AJ220" s="7" t="n">
        <f aca="false">ROUND(AB220/I220,4)</f>
        <v>0.3409</v>
      </c>
      <c r="AK220" s="2" t="str">
        <f aca="false">IF(AND(AI220&gt;=750,AJ220&lt;=0.35),"Low",IF(AND(AI220&gt;=600,AJ220&lt;=0.5),"Medium","High"))</f>
        <v>Low</v>
      </c>
      <c r="AL220" s="3" t="n">
        <v>1</v>
      </c>
      <c r="AM220" s="2" t="s">
        <v>58</v>
      </c>
      <c r="AN220" s="2" t="s">
        <v>59</v>
      </c>
      <c r="AO220" s="2" t="s">
        <v>60</v>
      </c>
      <c r="AP220" s="7" t="n">
        <v>0.115</v>
      </c>
    </row>
    <row r="221" customFormat="false" ht="15" hidden="false" customHeight="false" outlineLevel="0" collapsed="false">
      <c r="A221" s="2" t="s">
        <v>1018</v>
      </c>
      <c r="B221" s="2" t="s">
        <v>1019</v>
      </c>
      <c r="C221" s="2" t="s">
        <v>1020</v>
      </c>
      <c r="D221" s="2" t="s">
        <v>45</v>
      </c>
      <c r="E221" s="3" t="n">
        <v>45</v>
      </c>
      <c r="F221" s="2" t="s">
        <v>64</v>
      </c>
      <c r="G221" s="2" t="s">
        <v>154</v>
      </c>
      <c r="H221" s="2" t="s">
        <v>101</v>
      </c>
      <c r="I221" s="4" t="n">
        <v>55000</v>
      </c>
      <c r="J221" s="2" t="s">
        <v>145</v>
      </c>
      <c r="K221" s="3" t="n">
        <v>27</v>
      </c>
      <c r="L221" s="2" t="s">
        <v>590</v>
      </c>
      <c r="M221" s="2" t="s">
        <v>114</v>
      </c>
      <c r="N221" s="2" t="s">
        <v>52</v>
      </c>
      <c r="O221" s="3" t="n">
        <v>0</v>
      </c>
      <c r="P221" s="2" t="s">
        <v>124</v>
      </c>
      <c r="Q221" s="2" t="s">
        <v>125</v>
      </c>
      <c r="R221" s="2" t="s">
        <v>91</v>
      </c>
      <c r="S221" s="2" t="s">
        <v>92</v>
      </c>
      <c r="T221" s="2" t="s">
        <v>1021</v>
      </c>
      <c r="U221" s="2" t="s">
        <v>72</v>
      </c>
      <c r="V221" s="4" t="n">
        <v>1352000</v>
      </c>
      <c r="W221" s="5" t="n">
        <v>13.69</v>
      </c>
      <c r="X221" s="3" t="n">
        <v>78</v>
      </c>
      <c r="Y221" s="6" t="n">
        <v>46191</v>
      </c>
      <c r="Z221" s="6"/>
      <c r="AA221" s="6"/>
      <c r="AB221" s="4" t="n">
        <f aca="false">ROUND(PMT(W221/1200,X221,-V221),2)</f>
        <v>26266.77</v>
      </c>
      <c r="AC221" s="4" t="n">
        <v>1522000</v>
      </c>
      <c r="AD221" s="3" t="n">
        <v>0</v>
      </c>
      <c r="AE221" s="4" t="n">
        <v>214100</v>
      </c>
      <c r="AF221" s="4" t="n">
        <v>61900</v>
      </c>
      <c r="AG221" s="3" t="n">
        <v>14</v>
      </c>
      <c r="AH221" s="4" t="n">
        <v>19200</v>
      </c>
      <c r="AI221" s="3" t="n">
        <v>647</v>
      </c>
      <c r="AJ221" s="7" t="n">
        <f aca="false">ROUND(AB221/I221,4)</f>
        <v>0.4776</v>
      </c>
      <c r="AK221" s="2" t="str">
        <f aca="false">IF(AND(AI221&gt;=750,AJ221&lt;=0.35),"Low",IF(AND(AI221&gt;=600,AJ221&lt;=0.5),"Medium","High"))</f>
        <v>Medium</v>
      </c>
      <c r="AL221" s="3" t="n">
        <v>3</v>
      </c>
      <c r="AM221" s="2" t="s">
        <v>58</v>
      </c>
      <c r="AN221" s="2"/>
      <c r="AO221" s="2" t="s">
        <v>127</v>
      </c>
      <c r="AP221" s="7" t="n">
        <v>0.323</v>
      </c>
    </row>
    <row r="222" customFormat="false" ht="15" hidden="false" customHeight="false" outlineLevel="0" collapsed="false">
      <c r="A222" s="2" t="s">
        <v>1022</v>
      </c>
      <c r="B222" s="2" t="s">
        <v>1023</v>
      </c>
      <c r="C222" s="2" t="s">
        <v>1024</v>
      </c>
      <c r="D222" s="2" t="s">
        <v>109</v>
      </c>
      <c r="E222" s="3" t="n">
        <v>38</v>
      </c>
      <c r="F222" s="2" t="s">
        <v>64</v>
      </c>
      <c r="G222" s="2" t="s">
        <v>145</v>
      </c>
      <c r="H222" s="2" t="s">
        <v>111</v>
      </c>
      <c r="I222" s="4" t="n">
        <v>13500</v>
      </c>
      <c r="J222" s="2" t="s">
        <v>145</v>
      </c>
      <c r="K222" s="3" t="n">
        <v>13</v>
      </c>
      <c r="L222" s="2" t="s">
        <v>208</v>
      </c>
      <c r="M222" s="2" t="s">
        <v>114</v>
      </c>
      <c r="N222" s="2" t="s">
        <v>52</v>
      </c>
      <c r="O222" s="3" t="n">
        <v>0</v>
      </c>
      <c r="P222" s="2" t="s">
        <v>197</v>
      </c>
      <c r="Q222" s="2" t="s">
        <v>198</v>
      </c>
      <c r="R222" s="2" t="s">
        <v>139</v>
      </c>
      <c r="S222" s="2" t="s">
        <v>139</v>
      </c>
      <c r="T222" s="2" t="s">
        <v>1025</v>
      </c>
      <c r="U222" s="2" t="s">
        <v>85</v>
      </c>
      <c r="V222" s="4" t="n">
        <v>50000</v>
      </c>
      <c r="W222" s="5" t="n">
        <v>10.46</v>
      </c>
      <c r="X222" s="3" t="n">
        <v>18</v>
      </c>
      <c r="Y222" s="6" t="n">
        <v>46176</v>
      </c>
      <c r="Z222" s="6" t="n">
        <v>46185</v>
      </c>
      <c r="AA222" s="6" t="n">
        <v>46189</v>
      </c>
      <c r="AB222" s="4" t="n">
        <f aca="false">ROUND(PMT(W222/1200,X222,-V222),2)</f>
        <v>3013.45</v>
      </c>
      <c r="AC222" s="4" t="n">
        <v>0</v>
      </c>
      <c r="AD222" s="3" t="n">
        <v>2</v>
      </c>
      <c r="AE222" s="4" t="n">
        <v>27600</v>
      </c>
      <c r="AF222" s="4" t="n">
        <v>11700</v>
      </c>
      <c r="AG222" s="3" t="n">
        <v>12</v>
      </c>
      <c r="AH222" s="4" t="n">
        <v>4700</v>
      </c>
      <c r="AI222" s="3" t="n">
        <v>575</v>
      </c>
      <c r="AJ222" s="7" t="n">
        <f aca="false">ROUND(AB222/I222,4)</f>
        <v>0.2232</v>
      </c>
      <c r="AK222" s="2" t="str">
        <f aca="false">IF(AND(AI222&gt;=750,AJ222&lt;=0.35),"Low",IF(AND(AI222&gt;=600,AJ222&lt;=0.5),"Medium","High"))</f>
        <v>High</v>
      </c>
      <c r="AL222" s="3" t="n">
        <v>0</v>
      </c>
      <c r="AM222" s="2" t="s">
        <v>58</v>
      </c>
      <c r="AN222" s="2" t="s">
        <v>59</v>
      </c>
      <c r="AO222" s="2" t="s">
        <v>60</v>
      </c>
      <c r="AP222" s="7" t="n">
        <v>0.401</v>
      </c>
    </row>
    <row r="223" customFormat="false" ht="15" hidden="false" customHeight="false" outlineLevel="0" collapsed="false">
      <c r="A223" s="2" t="s">
        <v>1026</v>
      </c>
      <c r="B223" s="2" t="s">
        <v>1027</v>
      </c>
      <c r="C223" s="2" t="s">
        <v>1028</v>
      </c>
      <c r="D223" s="2" t="s">
        <v>45</v>
      </c>
      <c r="E223" s="3" t="n">
        <v>42</v>
      </c>
      <c r="F223" s="2" t="s">
        <v>46</v>
      </c>
      <c r="G223" s="2" t="s">
        <v>145</v>
      </c>
      <c r="H223" s="2" t="s">
        <v>111</v>
      </c>
      <c r="I223" s="4" t="n">
        <v>28000</v>
      </c>
      <c r="J223" s="2" t="s">
        <v>145</v>
      </c>
      <c r="K223" s="3" t="n">
        <v>19</v>
      </c>
      <c r="L223" s="2" t="s">
        <v>51</v>
      </c>
      <c r="M223" s="2" t="s">
        <v>51</v>
      </c>
      <c r="N223" s="2" t="s">
        <v>140</v>
      </c>
      <c r="O223" s="3" t="n">
        <v>0</v>
      </c>
      <c r="P223" s="2" t="s">
        <v>131</v>
      </c>
      <c r="Q223" s="2" t="s">
        <v>132</v>
      </c>
      <c r="R223" s="2" t="s">
        <v>51</v>
      </c>
      <c r="S223" s="2" t="s">
        <v>51</v>
      </c>
      <c r="T223" s="2" t="s">
        <v>1029</v>
      </c>
      <c r="U223" s="2" t="s">
        <v>180</v>
      </c>
      <c r="V223" s="4" t="n">
        <v>300000</v>
      </c>
      <c r="W223" s="5" t="n">
        <v>10.46</v>
      </c>
      <c r="X223" s="3" t="n">
        <v>18</v>
      </c>
      <c r="Y223" s="6" t="n">
        <v>46187</v>
      </c>
      <c r="Z223" s="6" t="n">
        <v>46197</v>
      </c>
      <c r="AA223" s="6" t="n">
        <v>46200</v>
      </c>
      <c r="AB223" s="4" t="n">
        <f aca="false">ROUND(PMT(W223/1200,X223,-V223),2)</f>
        <v>18080.73</v>
      </c>
      <c r="AC223" s="4"/>
      <c r="AD223" s="3" t="n">
        <v>0</v>
      </c>
      <c r="AE223" s="4" t="n">
        <v>34500</v>
      </c>
      <c r="AF223" s="4" t="n">
        <v>4500</v>
      </c>
      <c r="AG223" s="3" t="n">
        <v>17</v>
      </c>
      <c r="AH223" s="4" t="n">
        <v>20800</v>
      </c>
      <c r="AI223" s="3" t="n">
        <v>855</v>
      </c>
      <c r="AJ223" s="7" t="n">
        <f aca="false">ROUND(AB223/I223,4)</f>
        <v>0.6457</v>
      </c>
      <c r="AK223" s="2" t="str">
        <f aca="false">IF(AND(AI223&gt;=750,AJ223&lt;=0.35),"Low",IF(AND(AI223&gt;=600,AJ223&lt;=0.5),"Medium","High"))</f>
        <v>High</v>
      </c>
      <c r="AL223" s="3" t="n">
        <v>0</v>
      </c>
      <c r="AM223" s="2" t="s">
        <v>58</v>
      </c>
      <c r="AN223" s="2" t="s">
        <v>258</v>
      </c>
      <c r="AO223" s="2" t="s">
        <v>86</v>
      </c>
      <c r="AP223" s="7" t="n">
        <v>0.101</v>
      </c>
    </row>
    <row r="224" customFormat="false" ht="15" hidden="false" customHeight="false" outlineLevel="0" collapsed="false">
      <c r="A224" s="2" t="s">
        <v>1030</v>
      </c>
      <c r="B224" s="2" t="s">
        <v>1031</v>
      </c>
      <c r="C224" s="2" t="s">
        <v>1032</v>
      </c>
      <c r="D224" s="2" t="s">
        <v>45</v>
      </c>
      <c r="E224" s="3" t="n">
        <v>48</v>
      </c>
      <c r="F224" s="2" t="s">
        <v>64</v>
      </c>
      <c r="G224" s="2" t="s">
        <v>90</v>
      </c>
      <c r="H224" s="2" t="s">
        <v>48</v>
      </c>
      <c r="I224" s="4" t="n">
        <v>36500</v>
      </c>
      <c r="J224" s="2" t="s">
        <v>90</v>
      </c>
      <c r="K224" s="3" t="n">
        <v>23</v>
      </c>
      <c r="L224" s="2" t="s">
        <v>70</v>
      </c>
      <c r="M224" s="2" t="s">
        <v>67</v>
      </c>
      <c r="N224" s="2" t="s">
        <v>81</v>
      </c>
      <c r="O224" s="3" t="n">
        <v>1</v>
      </c>
      <c r="P224" s="2" t="s">
        <v>68</v>
      </c>
      <c r="Q224" s="2" t="s">
        <v>69</v>
      </c>
      <c r="R224" s="2" t="s">
        <v>70</v>
      </c>
      <c r="S224" s="2" t="s">
        <v>67</v>
      </c>
      <c r="T224" s="2" t="s">
        <v>1033</v>
      </c>
      <c r="U224" s="2" t="s">
        <v>192</v>
      </c>
      <c r="V224" s="4" t="n">
        <v>200000</v>
      </c>
      <c r="W224" s="5" t="n">
        <v>10.96</v>
      </c>
      <c r="X224" s="3" t="n">
        <v>24</v>
      </c>
      <c r="Y224" s="6" t="n">
        <v>46188</v>
      </c>
      <c r="Z224" s="6"/>
      <c r="AA224" s="6"/>
      <c r="AB224" s="4" t="n">
        <f aca="false">ROUND(PMT(W224/1200,X224,-V224),2)</f>
        <v>9317.85</v>
      </c>
      <c r="AC224" s="4" t="n">
        <v>243000</v>
      </c>
      <c r="AD224" s="3" t="n">
        <v>1</v>
      </c>
      <c r="AE224" s="4" t="n">
        <v>138300</v>
      </c>
      <c r="AF224" s="4" t="n">
        <v>66000</v>
      </c>
      <c r="AG224" s="3" t="n">
        <v>30</v>
      </c>
      <c r="AH224" s="4" t="n">
        <v>28100</v>
      </c>
      <c r="AI224" s="3" t="n">
        <v>744</v>
      </c>
      <c r="AJ224" s="7" t="n">
        <f aca="false">ROUND(AB224/I224,4)</f>
        <v>0.2553</v>
      </c>
      <c r="AK224" s="2" t="str">
        <f aca="false">IF(AND(AI224&gt;=750,AJ224&lt;=0.35),"Low",IF(AND(AI224&gt;=600,AJ224&lt;=0.5),"Medium","High"))</f>
        <v>Medium</v>
      </c>
      <c r="AL224" s="3"/>
      <c r="AM224" s="2" t="s">
        <v>58</v>
      </c>
      <c r="AN224" s="2"/>
      <c r="AO224" s="2" t="s">
        <v>127</v>
      </c>
      <c r="AP224" s="7" t="n">
        <v>0.181</v>
      </c>
    </row>
    <row r="225" customFormat="false" ht="15" hidden="false" customHeight="false" outlineLevel="0" collapsed="false">
      <c r="A225" s="2" t="s">
        <v>1034</v>
      </c>
      <c r="B225" s="2" t="s">
        <v>1035</v>
      </c>
      <c r="C225" s="2" t="s">
        <v>1036</v>
      </c>
      <c r="D225" s="2" t="s">
        <v>45</v>
      </c>
      <c r="E225" s="3" t="n">
        <v>62</v>
      </c>
      <c r="F225" s="2" t="s">
        <v>434</v>
      </c>
      <c r="G225" s="2" t="s">
        <v>76</v>
      </c>
      <c r="H225" s="2" t="s">
        <v>77</v>
      </c>
      <c r="I225" s="4" t="n">
        <v>40500</v>
      </c>
      <c r="J225" s="2" t="s">
        <v>78</v>
      </c>
      <c r="K225" s="3" t="n">
        <v>39</v>
      </c>
      <c r="L225" s="2" t="s">
        <v>114</v>
      </c>
      <c r="M225" s="2" t="s">
        <v>114</v>
      </c>
      <c r="N225" s="2" t="s">
        <v>81</v>
      </c>
      <c r="O225" s="3" t="n">
        <v>1</v>
      </c>
      <c r="P225" s="2" t="s">
        <v>115</v>
      </c>
      <c r="Q225" s="2" t="s">
        <v>116</v>
      </c>
      <c r="R225" s="2" t="s">
        <v>114</v>
      </c>
      <c r="S225" s="2" t="s">
        <v>114</v>
      </c>
      <c r="T225" s="2" t="s">
        <v>1037</v>
      </c>
      <c r="U225" s="2" t="s">
        <v>180</v>
      </c>
      <c r="V225" s="4" t="n">
        <v>324000</v>
      </c>
      <c r="W225" s="5" t="n">
        <v>10.92</v>
      </c>
      <c r="X225" s="3" t="n">
        <v>42</v>
      </c>
      <c r="Y225" s="6" t="n">
        <v>46181</v>
      </c>
      <c r="Z225" s="6" t="n">
        <v>46191</v>
      </c>
      <c r="AA225" s="6" t="n">
        <v>46192</v>
      </c>
      <c r="AB225" s="4" t="n">
        <f aca="false">ROUND(PMT(W225/1200,X225,-V225),2)</f>
        <v>9316.79</v>
      </c>
      <c r="AC225" s="4" t="n">
        <v>418000</v>
      </c>
      <c r="AD225" s="3" t="n">
        <v>0</v>
      </c>
      <c r="AE225" s="4" t="n">
        <v>88500</v>
      </c>
      <c r="AF225" s="4" t="n">
        <v>44700</v>
      </c>
      <c r="AG225" s="3" t="n">
        <v>34</v>
      </c>
      <c r="AH225" s="4" t="n">
        <v>42900</v>
      </c>
      <c r="AI225" s="3" t="n">
        <v>781</v>
      </c>
      <c r="AJ225" s="7" t="n">
        <f aca="false">ROUND(AB225/I225,4)</f>
        <v>0.23</v>
      </c>
      <c r="AK225" s="2" t="str">
        <f aca="false">IF(AND(AI225&gt;=750,AJ225&lt;=0.35),"Low",IF(AND(AI225&gt;=600,AJ225&lt;=0.5),"Medium","High"))</f>
        <v>Low</v>
      </c>
      <c r="AL225" s="3" t="n">
        <v>0</v>
      </c>
      <c r="AM225" s="2" t="s">
        <v>233</v>
      </c>
      <c r="AN225" s="2" t="s">
        <v>59</v>
      </c>
      <c r="AO225" s="2" t="s">
        <v>60</v>
      </c>
      <c r="AP225" s="7" t="n">
        <v>0.257</v>
      </c>
    </row>
    <row r="226" customFormat="false" ht="15" hidden="false" customHeight="false" outlineLevel="0" collapsed="false">
      <c r="A226" s="2" t="s">
        <v>1038</v>
      </c>
      <c r="B226" s="2" t="s">
        <v>1039</v>
      </c>
      <c r="C226" s="2" t="s">
        <v>1040</v>
      </c>
      <c r="D226" s="2" t="s">
        <v>109</v>
      </c>
      <c r="E226" s="3" t="n">
        <v>30</v>
      </c>
      <c r="F226" s="2" t="s">
        <v>64</v>
      </c>
      <c r="G226" s="2" t="s">
        <v>110</v>
      </c>
      <c r="H226" s="2" t="s">
        <v>77</v>
      </c>
      <c r="I226" s="4" t="n">
        <v>13500</v>
      </c>
      <c r="J226" s="2" t="s">
        <v>112</v>
      </c>
      <c r="K226" s="3" t="n">
        <v>9</v>
      </c>
      <c r="L226" s="2" t="s">
        <v>247</v>
      </c>
      <c r="M226" s="2" t="s">
        <v>80</v>
      </c>
      <c r="N226" s="2" t="s">
        <v>81</v>
      </c>
      <c r="O226" s="3" t="n">
        <v>2</v>
      </c>
      <c r="P226" s="2" t="s">
        <v>82</v>
      </c>
      <c r="Q226" s="2" t="s">
        <v>83</v>
      </c>
      <c r="R226" s="2" t="s">
        <v>80</v>
      </c>
      <c r="S226" s="2" t="s">
        <v>80</v>
      </c>
      <c r="T226" s="2" t="s">
        <v>1041</v>
      </c>
      <c r="U226" s="2" t="s">
        <v>192</v>
      </c>
      <c r="V226" s="4" t="n">
        <v>200000</v>
      </c>
      <c r="W226" s="5" t="n">
        <v>11.15</v>
      </c>
      <c r="X226" s="3" t="n">
        <v>42</v>
      </c>
      <c r="Y226" s="6" t="n">
        <v>46193</v>
      </c>
      <c r="Z226" s="6" t="n">
        <v>46194</v>
      </c>
      <c r="AA226" s="6" t="n">
        <v>46197</v>
      </c>
      <c r="AB226" s="4" t="n">
        <f aca="false">ROUND(PMT(W226/1200,X226,-V226),2)</f>
        <v>5773.17</v>
      </c>
      <c r="AC226" s="4" t="n">
        <v>205000</v>
      </c>
      <c r="AD226" s="3" t="n">
        <v>0</v>
      </c>
      <c r="AE226" s="4" t="n">
        <v>34500</v>
      </c>
      <c r="AF226" s="4" t="n">
        <v>9500</v>
      </c>
      <c r="AG226" s="3" t="n">
        <v>33</v>
      </c>
      <c r="AH226" s="4" t="n">
        <v>12700</v>
      </c>
      <c r="AI226" s="3" t="n">
        <v>788</v>
      </c>
      <c r="AJ226" s="7" t="n">
        <f aca="false">ROUND(AB226/I226,4)</f>
        <v>0.4276</v>
      </c>
      <c r="AK226" s="2" t="str">
        <f aca="false">IF(AND(AI226&gt;=750,AJ226&lt;=0.35),"Low",IF(AND(AI226&gt;=600,AJ226&lt;=0.5),"Medium","High"))</f>
        <v>Medium</v>
      </c>
      <c r="AL226" s="3"/>
      <c r="AM226" s="2" t="s">
        <v>58</v>
      </c>
      <c r="AN226" s="2" t="s">
        <v>59</v>
      </c>
      <c r="AO226" s="2" t="s">
        <v>60</v>
      </c>
      <c r="AP226" s="7" t="n">
        <v>0.16</v>
      </c>
    </row>
    <row r="227" customFormat="false" ht="15" hidden="false" customHeight="false" outlineLevel="0" collapsed="false">
      <c r="A227" s="2" t="s">
        <v>1042</v>
      </c>
      <c r="B227" s="2" t="s">
        <v>1043</v>
      </c>
      <c r="C227" s="2" t="s">
        <v>1044</v>
      </c>
      <c r="D227" s="2" t="s">
        <v>45</v>
      </c>
      <c r="E227" s="3" t="n">
        <v>51</v>
      </c>
      <c r="F227" s="2" t="s">
        <v>64</v>
      </c>
      <c r="G227" s="2" t="s">
        <v>47</v>
      </c>
      <c r="H227" s="2" t="s">
        <v>48</v>
      </c>
      <c r="I227" s="4" t="n">
        <v>124500</v>
      </c>
      <c r="J227" s="2" t="s">
        <v>49</v>
      </c>
      <c r="K227" s="3" t="n">
        <v>30</v>
      </c>
      <c r="L227" s="2" t="s">
        <v>569</v>
      </c>
      <c r="M227" s="2" t="s">
        <v>67</v>
      </c>
      <c r="N227" s="2" t="s">
        <v>140</v>
      </c>
      <c r="O227" s="3" t="n">
        <v>3</v>
      </c>
      <c r="P227" s="2" t="s">
        <v>68</v>
      </c>
      <c r="Q227" s="2" t="s">
        <v>69</v>
      </c>
      <c r="R227" s="2" t="s">
        <v>70</v>
      </c>
      <c r="S227" s="2" t="s">
        <v>67</v>
      </c>
      <c r="T227" s="2" t="s">
        <v>1045</v>
      </c>
      <c r="U227" s="2" t="s">
        <v>192</v>
      </c>
      <c r="V227" s="4" t="n">
        <v>957000</v>
      </c>
      <c r="W227" s="5" t="n">
        <v>10.54</v>
      </c>
      <c r="X227" s="3" t="n">
        <v>54</v>
      </c>
      <c r="Y227" s="6" t="n">
        <v>46185</v>
      </c>
      <c r="Z227" s="6"/>
      <c r="AA227" s="6"/>
      <c r="AB227" s="4" t="n">
        <f aca="false">ROUND(PMT(W227/1200,X227,-V227),2)</f>
        <v>22332.32</v>
      </c>
      <c r="AC227" s="4" t="n">
        <v>1322000</v>
      </c>
      <c r="AD227" s="3" t="n">
        <v>2</v>
      </c>
      <c r="AE227" s="4" t="n">
        <v>352700</v>
      </c>
      <c r="AF227" s="4" t="n">
        <v>49400</v>
      </c>
      <c r="AG227" s="3" t="n">
        <v>29</v>
      </c>
      <c r="AH227" s="4" t="n">
        <v>81400</v>
      </c>
      <c r="AI227" s="3" t="n">
        <v>781</v>
      </c>
      <c r="AJ227" s="7" t="n">
        <f aca="false">ROUND(AB227/I227,4)</f>
        <v>0.1794</v>
      </c>
      <c r="AK227" s="2" t="str">
        <f aca="false">IF(AND(AI227&gt;=750,AJ227&lt;=0.35),"Low",IF(AND(AI227&gt;=600,AJ227&lt;=0.5),"Medium","High"))</f>
        <v>Low</v>
      </c>
      <c r="AL227" s="3" t="n">
        <v>1</v>
      </c>
      <c r="AM227" s="2" t="s">
        <v>58</v>
      </c>
      <c r="AN227" s="2"/>
      <c r="AO227" s="2" t="s">
        <v>134</v>
      </c>
      <c r="AP227" s="7" t="n">
        <v>0.102</v>
      </c>
    </row>
    <row r="228" customFormat="false" ht="15" hidden="false" customHeight="false" outlineLevel="0" collapsed="false">
      <c r="A228" s="2" t="s">
        <v>1046</v>
      </c>
      <c r="B228" s="2" t="s">
        <v>1047</v>
      </c>
      <c r="C228" s="2" t="s">
        <v>1048</v>
      </c>
      <c r="D228" s="2" t="s">
        <v>45</v>
      </c>
      <c r="E228" s="3" t="n">
        <v>33</v>
      </c>
      <c r="F228" s="2" t="s">
        <v>64</v>
      </c>
      <c r="G228" s="2" t="s">
        <v>246</v>
      </c>
      <c r="H228" s="2" t="s">
        <v>77</v>
      </c>
      <c r="I228" s="4" t="n">
        <v>16000</v>
      </c>
      <c r="J228" s="2" t="s">
        <v>145</v>
      </c>
      <c r="K228" s="3"/>
      <c r="L228" s="2" t="s">
        <v>380</v>
      </c>
      <c r="M228" s="2" t="s">
        <v>92</v>
      </c>
      <c r="N228" s="2" t="s">
        <v>102</v>
      </c>
      <c r="O228" s="3" t="n">
        <v>1</v>
      </c>
      <c r="P228" s="2" t="s">
        <v>160</v>
      </c>
      <c r="Q228" s="2" t="s">
        <v>161</v>
      </c>
      <c r="R228" s="2" t="s">
        <v>159</v>
      </c>
      <c r="S228" s="2" t="s">
        <v>159</v>
      </c>
      <c r="T228" s="2" t="s">
        <v>1049</v>
      </c>
      <c r="U228" s="2" t="s">
        <v>85</v>
      </c>
      <c r="V228" s="4" t="n">
        <v>50000</v>
      </c>
      <c r="W228" s="5" t="n">
        <v>9.93</v>
      </c>
      <c r="X228" s="3" t="n">
        <v>12</v>
      </c>
      <c r="Y228" s="6" t="n">
        <v>46202</v>
      </c>
      <c r="Z228" s="6" t="n">
        <v>46212</v>
      </c>
      <c r="AA228" s="6" t="n">
        <v>46215</v>
      </c>
      <c r="AB228" s="4" t="n">
        <f aca="false">ROUND(PMT(W228/1200,X228,-V228),2)</f>
        <v>4394.17</v>
      </c>
      <c r="AC228" s="4" t="n">
        <v>0</v>
      </c>
      <c r="AD228" s="3" t="n">
        <v>0</v>
      </c>
      <c r="AE228" s="4" t="n">
        <v>12000</v>
      </c>
      <c r="AF228" s="4" t="n">
        <v>4600</v>
      </c>
      <c r="AG228" s="3" t="n">
        <v>28</v>
      </c>
      <c r="AH228" s="4" t="n">
        <v>12000</v>
      </c>
      <c r="AI228" s="3" t="n">
        <v>735</v>
      </c>
      <c r="AJ228" s="7" t="n">
        <f aca="false">ROUND(AB228/I228,4)</f>
        <v>0.2746</v>
      </c>
      <c r="AK228" s="2" t="str">
        <f aca="false">IF(AND(AI228&gt;=750,AJ228&lt;=0.35),"Low",IF(AND(AI228&gt;=600,AJ228&lt;=0.5),"Medium","High"))</f>
        <v>Medium</v>
      </c>
      <c r="AL228" s="3" t="n">
        <v>1</v>
      </c>
      <c r="AM228" s="2" t="s">
        <v>58</v>
      </c>
      <c r="AN228" s="2" t="s">
        <v>119</v>
      </c>
      <c r="AO228" s="2" t="s">
        <v>60</v>
      </c>
      <c r="AP228" s="7" t="n">
        <v>0.176</v>
      </c>
    </row>
    <row r="229" customFormat="false" ht="15" hidden="false" customHeight="false" outlineLevel="0" collapsed="false">
      <c r="A229" s="2" t="s">
        <v>1050</v>
      </c>
      <c r="B229" s="2" t="s">
        <v>1051</v>
      </c>
      <c r="C229" s="2" t="s">
        <v>1052</v>
      </c>
      <c r="D229" s="2" t="s">
        <v>109</v>
      </c>
      <c r="E229" s="3" t="n">
        <v>39</v>
      </c>
      <c r="F229" s="2" t="s">
        <v>46</v>
      </c>
      <c r="G229" s="2" t="s">
        <v>176</v>
      </c>
      <c r="H229" s="2" t="s">
        <v>77</v>
      </c>
      <c r="I229" s="4" t="n">
        <v>92000</v>
      </c>
      <c r="J229" s="2" t="s">
        <v>177</v>
      </c>
      <c r="K229" s="3" t="n">
        <v>17</v>
      </c>
      <c r="L229" s="2" t="s">
        <v>302</v>
      </c>
      <c r="M229" s="2" t="s">
        <v>67</v>
      </c>
      <c r="N229" s="2" t="s">
        <v>81</v>
      </c>
      <c r="O229" s="3" t="n">
        <v>1</v>
      </c>
      <c r="P229" s="2" t="s">
        <v>68</v>
      </c>
      <c r="Q229" s="2" t="s">
        <v>69</v>
      </c>
      <c r="R229" s="2" t="s">
        <v>70</v>
      </c>
      <c r="S229" s="2" t="s">
        <v>67</v>
      </c>
      <c r="T229" s="2" t="s">
        <v>1053</v>
      </c>
      <c r="U229" s="2" t="s">
        <v>192</v>
      </c>
      <c r="V229" s="4" t="n">
        <v>1642000</v>
      </c>
      <c r="W229" s="5" t="n">
        <v>13.78</v>
      </c>
      <c r="X229" s="3" t="n">
        <v>72</v>
      </c>
      <c r="Y229" s="6" t="n">
        <v>46191</v>
      </c>
      <c r="Z229" s="6" t="n">
        <v>46196</v>
      </c>
      <c r="AA229" s="6" t="n">
        <v>46198</v>
      </c>
      <c r="AB229" s="4" t="n">
        <f aca="false">ROUND(PMT(W229/1200,X229,-V229),2)</f>
        <v>33641.5</v>
      </c>
      <c r="AC229" s="4" t="n">
        <v>1886000</v>
      </c>
      <c r="AD229" s="3" t="n">
        <v>0</v>
      </c>
      <c r="AE229" s="4" t="n">
        <v>161300</v>
      </c>
      <c r="AF229" s="4" t="n">
        <v>95900</v>
      </c>
      <c r="AG229" s="3" t="n">
        <v>29</v>
      </c>
      <c r="AH229" s="4" t="n">
        <v>78000</v>
      </c>
      <c r="AI229" s="3" t="n">
        <v>900</v>
      </c>
      <c r="AJ229" s="7" t="n">
        <f aca="false">ROUND(AB229/I229,4)</f>
        <v>0.3657</v>
      </c>
      <c r="AK229" s="2" t="str">
        <f aca="false">IF(AND(AI229&gt;=750,AJ229&lt;=0.35),"Low",IF(AND(AI229&gt;=600,AJ229&lt;=0.5),"Medium","High"))</f>
        <v>Medium</v>
      </c>
      <c r="AL229" s="3" t="n">
        <v>0</v>
      </c>
      <c r="AM229" s="2" t="s">
        <v>58</v>
      </c>
      <c r="AN229" s="2" t="s">
        <v>59</v>
      </c>
      <c r="AO229" s="2" t="s">
        <v>60</v>
      </c>
      <c r="AP229" s="7" t="n">
        <v>0.01</v>
      </c>
    </row>
    <row r="230" customFormat="false" ht="15" hidden="false" customHeight="false" outlineLevel="0" collapsed="false">
      <c r="A230" s="2" t="s">
        <v>1054</v>
      </c>
      <c r="B230" s="2" t="s">
        <v>1055</v>
      </c>
      <c r="C230" s="2" t="s">
        <v>1056</v>
      </c>
      <c r="D230" s="2" t="s">
        <v>45</v>
      </c>
      <c r="E230" s="3" t="n">
        <v>48</v>
      </c>
      <c r="F230" s="2" t="s">
        <v>64</v>
      </c>
      <c r="G230" s="2" t="s">
        <v>207</v>
      </c>
      <c r="H230" s="2" t="s">
        <v>101</v>
      </c>
      <c r="I230" s="4" t="n">
        <v>40500</v>
      </c>
      <c r="J230" s="2" t="s">
        <v>49</v>
      </c>
      <c r="K230" s="3" t="n">
        <v>24</v>
      </c>
      <c r="L230" s="2" t="s">
        <v>188</v>
      </c>
      <c r="M230" s="2" t="s">
        <v>51</v>
      </c>
      <c r="N230" s="2" t="s">
        <v>140</v>
      </c>
      <c r="O230" s="3" t="n">
        <v>0</v>
      </c>
      <c r="P230" s="2" t="s">
        <v>189</v>
      </c>
      <c r="Q230" s="2" t="s">
        <v>190</v>
      </c>
      <c r="R230" s="2" t="s">
        <v>188</v>
      </c>
      <c r="S230" s="2" t="s">
        <v>51</v>
      </c>
      <c r="T230" s="2" t="s">
        <v>1057</v>
      </c>
      <c r="U230" s="2" t="s">
        <v>57</v>
      </c>
      <c r="V230" s="4" t="n">
        <v>1667000</v>
      </c>
      <c r="W230" s="5" t="n">
        <v>9.64</v>
      </c>
      <c r="X230" s="3" t="n">
        <v>156</v>
      </c>
      <c r="Y230" s="6" t="n">
        <v>46182</v>
      </c>
      <c r="Z230" s="6" t="n">
        <v>46186</v>
      </c>
      <c r="AA230" s="6" t="n">
        <v>46188</v>
      </c>
      <c r="AB230" s="4" t="n">
        <f aca="false">ROUND(PMT(W230/1200,X230,-V230),2)</f>
        <v>18782.61</v>
      </c>
      <c r="AC230" s="4" t="n">
        <v>1687000</v>
      </c>
      <c r="AD230" s="3" t="n">
        <v>0</v>
      </c>
      <c r="AE230" s="4" t="n">
        <v>34200</v>
      </c>
      <c r="AF230" s="4" t="n">
        <v>19800</v>
      </c>
      <c r="AG230" s="3"/>
      <c r="AH230" s="4" t="n">
        <v>31600</v>
      </c>
      <c r="AI230" s="3" t="n">
        <v>833</v>
      </c>
      <c r="AJ230" s="7" t="n">
        <f aca="false">ROUND(AB230/I230,4)</f>
        <v>0.4638</v>
      </c>
      <c r="AK230" s="2" t="str">
        <f aca="false">IF(AND(AI230&gt;=750,AJ230&lt;=0.35),"Low",IF(AND(AI230&gt;=600,AJ230&lt;=0.5),"Medium","High"))</f>
        <v>Medium</v>
      </c>
      <c r="AL230" s="3" t="n">
        <v>0</v>
      </c>
      <c r="AM230" s="2" t="s">
        <v>58</v>
      </c>
      <c r="AN230" s="2" t="s">
        <v>119</v>
      </c>
      <c r="AO230" s="2" t="s">
        <v>60</v>
      </c>
      <c r="AP230" s="7" t="n">
        <v>0.061</v>
      </c>
    </row>
    <row r="231" customFormat="false" ht="15" hidden="false" customHeight="false" outlineLevel="0" collapsed="false">
      <c r="A231" s="2" t="s">
        <v>1058</v>
      </c>
      <c r="B231" s="2" t="s">
        <v>1059</v>
      </c>
      <c r="C231" s="2" t="s">
        <v>1060</v>
      </c>
      <c r="D231" s="2" t="s">
        <v>109</v>
      </c>
      <c r="E231" s="3" t="n">
        <v>27</v>
      </c>
      <c r="F231" s="2" t="s">
        <v>64</v>
      </c>
      <c r="G231" s="2" t="s">
        <v>110</v>
      </c>
      <c r="H231" s="2" t="s">
        <v>48</v>
      </c>
      <c r="I231" s="4" t="n">
        <v>25000</v>
      </c>
      <c r="J231" s="2" t="s">
        <v>112</v>
      </c>
      <c r="K231" s="3" t="n">
        <v>2</v>
      </c>
      <c r="L231" s="2" t="s">
        <v>159</v>
      </c>
      <c r="M231" s="2" t="s">
        <v>159</v>
      </c>
      <c r="N231" s="2" t="s">
        <v>140</v>
      </c>
      <c r="O231" s="3" t="n">
        <v>1</v>
      </c>
      <c r="P231" s="2" t="s">
        <v>131</v>
      </c>
      <c r="Q231" s="2" t="s">
        <v>132</v>
      </c>
      <c r="R231" s="2" t="s">
        <v>51</v>
      </c>
      <c r="S231" s="2" t="s">
        <v>51</v>
      </c>
      <c r="T231" s="2" t="s">
        <v>1061</v>
      </c>
      <c r="U231" s="2" t="s">
        <v>85</v>
      </c>
      <c r="V231" s="4" t="n">
        <v>208000</v>
      </c>
      <c r="W231" s="5" t="n">
        <v>8.76</v>
      </c>
      <c r="X231" s="3" t="n">
        <v>36</v>
      </c>
      <c r="Y231" s="6" t="n">
        <v>46201</v>
      </c>
      <c r="Z231" s="6" t="n">
        <v>46204</v>
      </c>
      <c r="AA231" s="6" t="n">
        <v>46209</v>
      </c>
      <c r="AB231" s="4" t="n">
        <f aca="false">ROUND(PMT(W231/1200,X231,-V231),2)</f>
        <v>6591.14</v>
      </c>
      <c r="AC231" s="4" t="n">
        <v>0</v>
      </c>
      <c r="AD231" s="3" t="n">
        <v>0</v>
      </c>
      <c r="AE231" s="4" t="n">
        <v>43100</v>
      </c>
      <c r="AF231" s="4" t="n">
        <v>21200</v>
      </c>
      <c r="AG231" s="3" t="n">
        <v>23</v>
      </c>
      <c r="AH231" s="4"/>
      <c r="AI231" s="3" t="n">
        <v>766</v>
      </c>
      <c r="AJ231" s="7" t="n">
        <f aca="false">ROUND(AB231/I231,4)</f>
        <v>0.2636</v>
      </c>
      <c r="AK231" s="2" t="str">
        <f aca="false">IF(AND(AI231&gt;=750,AJ231&lt;=0.35),"Low",IF(AND(AI231&gt;=600,AJ231&lt;=0.5),"Medium","High"))</f>
        <v>Low</v>
      </c>
      <c r="AL231" s="3" t="n">
        <v>1</v>
      </c>
      <c r="AM231" s="2" t="s">
        <v>58</v>
      </c>
      <c r="AN231" s="2" t="s">
        <v>59</v>
      </c>
      <c r="AO231" s="2" t="s">
        <v>60</v>
      </c>
      <c r="AP231" s="7" t="n">
        <v>0.17</v>
      </c>
    </row>
    <row r="232" customFormat="false" ht="15" hidden="false" customHeight="false" outlineLevel="0" collapsed="false">
      <c r="A232" s="2" t="s">
        <v>1062</v>
      </c>
      <c r="B232" s="2" t="s">
        <v>1063</v>
      </c>
      <c r="C232" s="2" t="s">
        <v>1064</v>
      </c>
      <c r="D232" s="2" t="s">
        <v>45</v>
      </c>
      <c r="E232" s="3" t="n">
        <v>43</v>
      </c>
      <c r="F232" s="2" t="s">
        <v>64</v>
      </c>
      <c r="G232" s="2" t="s">
        <v>154</v>
      </c>
      <c r="H232" s="2" t="s">
        <v>77</v>
      </c>
      <c r="I232" s="4" t="n">
        <v>31000</v>
      </c>
      <c r="J232" s="2" t="s">
        <v>145</v>
      </c>
      <c r="K232" s="3" t="n">
        <v>18</v>
      </c>
      <c r="L232" s="2" t="s">
        <v>297</v>
      </c>
      <c r="M232" s="2" t="s">
        <v>92</v>
      </c>
      <c r="N232" s="2" t="s">
        <v>140</v>
      </c>
      <c r="O232" s="3" t="n">
        <v>1</v>
      </c>
      <c r="P232" s="2" t="s">
        <v>229</v>
      </c>
      <c r="Q232" s="2" t="s">
        <v>230</v>
      </c>
      <c r="R232" s="2" t="s">
        <v>231</v>
      </c>
      <c r="S232" s="2" t="s">
        <v>92</v>
      </c>
      <c r="T232" s="2" t="s">
        <v>1065</v>
      </c>
      <c r="U232" s="2" t="s">
        <v>192</v>
      </c>
      <c r="V232" s="4" t="n">
        <v>290000</v>
      </c>
      <c r="W232" s="5" t="n">
        <v>13.56</v>
      </c>
      <c r="X232" s="3" t="n">
        <v>36</v>
      </c>
      <c r="Y232" s="6" t="n">
        <v>46174</v>
      </c>
      <c r="Z232" s="6" t="n">
        <v>46181</v>
      </c>
      <c r="AA232" s="6" t="n">
        <v>46186</v>
      </c>
      <c r="AB232" s="4" t="n">
        <f aca="false">ROUND(PMT(W232/1200,X232,-V232),2)</f>
        <v>9849.65</v>
      </c>
      <c r="AC232" s="4" t="n">
        <v>396000</v>
      </c>
      <c r="AD232" s="3" t="n">
        <v>0</v>
      </c>
      <c r="AE232" s="4" t="n">
        <v>105800</v>
      </c>
      <c r="AF232" s="4" t="n">
        <v>53100</v>
      </c>
      <c r="AG232" s="3" t="n">
        <v>3</v>
      </c>
      <c r="AH232" s="4"/>
      <c r="AI232" s="3" t="n">
        <v>753</v>
      </c>
      <c r="AJ232" s="7" t="n">
        <f aca="false">ROUND(AB232/I232,4)</f>
        <v>0.3177</v>
      </c>
      <c r="AK232" s="2" t="str">
        <f aca="false">IF(AND(AI232&gt;=750,AJ232&lt;=0.35),"Low",IF(AND(AI232&gt;=600,AJ232&lt;=0.5),"Medium","High"))</f>
        <v>Low</v>
      </c>
      <c r="AL232" s="3" t="n">
        <v>0</v>
      </c>
      <c r="AM232" s="2" t="s">
        <v>58</v>
      </c>
      <c r="AN232" s="2" t="s">
        <v>59</v>
      </c>
      <c r="AO232" s="2" t="s">
        <v>60</v>
      </c>
      <c r="AP232" s="7" t="n">
        <v>0.243</v>
      </c>
    </row>
    <row r="233" customFormat="false" ht="15" hidden="false" customHeight="false" outlineLevel="0" collapsed="false">
      <c r="A233" s="2" t="s">
        <v>1066</v>
      </c>
      <c r="B233" s="2" t="s">
        <v>1067</v>
      </c>
      <c r="C233" s="2" t="s">
        <v>1068</v>
      </c>
      <c r="D233" s="2" t="s">
        <v>45</v>
      </c>
      <c r="E233" s="3" t="n">
        <v>39</v>
      </c>
      <c r="F233" s="2" t="s">
        <v>64</v>
      </c>
      <c r="G233" s="2" t="s">
        <v>176</v>
      </c>
      <c r="H233" s="2" t="s">
        <v>48</v>
      </c>
      <c r="I233" s="4" t="n">
        <v>75000</v>
      </c>
      <c r="J233" s="2" t="s">
        <v>177</v>
      </c>
      <c r="K233" s="3" t="n">
        <v>14</v>
      </c>
      <c r="L233" s="2" t="s">
        <v>79</v>
      </c>
      <c r="M233" s="2" t="s">
        <v>80</v>
      </c>
      <c r="N233" s="2" t="s">
        <v>81</v>
      </c>
      <c r="O233" s="3" t="n">
        <v>0</v>
      </c>
      <c r="P233" s="2" t="s">
        <v>82</v>
      </c>
      <c r="Q233" s="2" t="s">
        <v>83</v>
      </c>
      <c r="R233" s="2" t="s">
        <v>80</v>
      </c>
      <c r="S233" s="2" t="s">
        <v>80</v>
      </c>
      <c r="T233" s="2" t="s">
        <v>1069</v>
      </c>
      <c r="U233" s="2" t="s">
        <v>192</v>
      </c>
      <c r="V233" s="4" t="n">
        <v>778000</v>
      </c>
      <c r="W233" s="5" t="n">
        <v>11.5</v>
      </c>
      <c r="X233" s="3" t="n">
        <v>24</v>
      </c>
      <c r="Y233" s="6" t="n">
        <v>46178</v>
      </c>
      <c r="Z233" s="6"/>
      <c r="AA233" s="6"/>
      <c r="AB233" s="4" t="n">
        <f aca="false">ROUND(PMT(W233/1200,X233,-V233),2)</f>
        <v>36441.77</v>
      </c>
      <c r="AC233" s="4"/>
      <c r="AD233" s="3" t="n">
        <v>0</v>
      </c>
      <c r="AE233" s="4" t="n">
        <v>164500</v>
      </c>
      <c r="AF233" s="4" t="n">
        <v>50900</v>
      </c>
      <c r="AG233" s="3" t="n">
        <v>11</v>
      </c>
      <c r="AH233" s="4" t="n">
        <v>44000</v>
      </c>
      <c r="AI233" s="3" t="n">
        <v>513</v>
      </c>
      <c r="AJ233" s="7" t="n">
        <f aca="false">ROUND(AB233/I233,4)</f>
        <v>0.4859</v>
      </c>
      <c r="AK233" s="2" t="str">
        <f aca="false">IF(AND(AI233&gt;=750,AJ233&lt;=0.35),"Low",IF(AND(AI233&gt;=600,AJ233&lt;=0.5),"Medium","High"))</f>
        <v>High</v>
      </c>
      <c r="AL233" s="3" t="n">
        <v>4</v>
      </c>
      <c r="AM233" s="2" t="s">
        <v>233</v>
      </c>
      <c r="AN233" s="2"/>
      <c r="AO233" s="2" t="s">
        <v>134</v>
      </c>
      <c r="AP233" s="7" t="n">
        <v>0.607</v>
      </c>
    </row>
    <row r="234" customFormat="false" ht="15" hidden="false" customHeight="false" outlineLevel="0" collapsed="false">
      <c r="A234" s="2" t="s">
        <v>1070</v>
      </c>
      <c r="B234" s="2" t="s">
        <v>1071</v>
      </c>
      <c r="C234" s="2" t="s">
        <v>1072</v>
      </c>
      <c r="D234" s="2" t="s">
        <v>45</v>
      </c>
      <c r="E234" s="3" t="n">
        <v>54</v>
      </c>
      <c r="F234" s="2" t="s">
        <v>64</v>
      </c>
      <c r="G234" s="2" t="s">
        <v>207</v>
      </c>
      <c r="H234" s="2" t="s">
        <v>101</v>
      </c>
      <c r="I234" s="4" t="n">
        <v>142000</v>
      </c>
      <c r="J234" s="2" t="s">
        <v>49</v>
      </c>
      <c r="K234" s="3" t="n">
        <v>31</v>
      </c>
      <c r="L234" s="2" t="s">
        <v>211</v>
      </c>
      <c r="M234" s="2" t="s">
        <v>147</v>
      </c>
      <c r="N234" s="2" t="s">
        <v>81</v>
      </c>
      <c r="O234" s="3" t="n">
        <v>0</v>
      </c>
      <c r="P234" s="2" t="s">
        <v>209</v>
      </c>
      <c r="Q234" s="2" t="s">
        <v>210</v>
      </c>
      <c r="R234" s="2" t="s">
        <v>211</v>
      </c>
      <c r="S234" s="2" t="s">
        <v>147</v>
      </c>
      <c r="T234" s="2" t="s">
        <v>1073</v>
      </c>
      <c r="U234" s="2" t="s">
        <v>97</v>
      </c>
      <c r="V234" s="4" t="n">
        <v>749000</v>
      </c>
      <c r="W234" s="5" t="n">
        <v>14.71</v>
      </c>
      <c r="X234" s="3" t="n">
        <v>12</v>
      </c>
      <c r="Y234" s="6" t="n">
        <v>46202</v>
      </c>
      <c r="Z234" s="6"/>
      <c r="AA234" s="6"/>
      <c r="AB234" s="4" t="n">
        <f aca="false">ROUND(PMT(W234/1200,X234,-V234),2)</f>
        <v>67501.02</v>
      </c>
      <c r="AC234" s="4" t="n">
        <v>0</v>
      </c>
      <c r="AD234" s="3" t="n">
        <v>0</v>
      </c>
      <c r="AE234" s="4" t="n">
        <v>351300</v>
      </c>
      <c r="AF234" s="4" t="n">
        <v>81000</v>
      </c>
      <c r="AG234" s="3" t="n">
        <v>19</v>
      </c>
      <c r="AH234" s="4" t="n">
        <v>121500</v>
      </c>
      <c r="AI234" s="3" t="n">
        <v>900</v>
      </c>
      <c r="AJ234" s="7" t="n">
        <f aca="false">ROUND(AB234/I234,4)</f>
        <v>0.4754</v>
      </c>
      <c r="AK234" s="2" t="str">
        <f aca="false">IF(AND(AI234&gt;=750,AJ234&lt;=0.35),"Low",IF(AND(AI234&gt;=600,AJ234&lt;=0.5),"Medium","High"))</f>
        <v>Medium</v>
      </c>
      <c r="AL234" s="3" t="n">
        <v>0</v>
      </c>
      <c r="AM234" s="2" t="s">
        <v>58</v>
      </c>
      <c r="AN234" s="2"/>
      <c r="AO234" s="2" t="s">
        <v>127</v>
      </c>
      <c r="AP234" s="7" t="n">
        <v>0.088</v>
      </c>
    </row>
    <row r="235" customFormat="false" ht="15" hidden="false" customHeight="false" outlineLevel="0" collapsed="false">
      <c r="A235" s="2" t="s">
        <v>1074</v>
      </c>
      <c r="B235" s="2" t="s">
        <v>1075</v>
      </c>
      <c r="C235" s="2" t="s">
        <v>1076</v>
      </c>
      <c r="D235" s="2" t="s">
        <v>109</v>
      </c>
      <c r="E235" s="3" t="n">
        <v>53</v>
      </c>
      <c r="F235" s="2" t="s">
        <v>64</v>
      </c>
      <c r="G235" s="2" t="s">
        <v>110</v>
      </c>
      <c r="H235" s="2" t="s">
        <v>123</v>
      </c>
      <c r="I235" s="4" t="n">
        <v>18000</v>
      </c>
      <c r="J235" s="2" t="s">
        <v>112</v>
      </c>
      <c r="K235" s="3" t="n">
        <v>34</v>
      </c>
      <c r="L235" s="2" t="s">
        <v>70</v>
      </c>
      <c r="M235" s="2" t="s">
        <v>67</v>
      </c>
      <c r="N235" s="2" t="s">
        <v>81</v>
      </c>
      <c r="O235" s="3" t="n">
        <v>3</v>
      </c>
      <c r="P235" s="2" t="s">
        <v>68</v>
      </c>
      <c r="Q235" s="2" t="s">
        <v>69</v>
      </c>
      <c r="R235" s="2" t="s">
        <v>70</v>
      </c>
      <c r="S235" s="2" t="s">
        <v>67</v>
      </c>
      <c r="T235" s="2" t="s">
        <v>1077</v>
      </c>
      <c r="U235" s="2" t="s">
        <v>118</v>
      </c>
      <c r="V235" s="4" t="n">
        <v>100000</v>
      </c>
      <c r="W235" s="5" t="n">
        <v>7.86</v>
      </c>
      <c r="X235" s="3" t="n">
        <v>12</v>
      </c>
      <c r="Y235" s="6" t="n">
        <v>46188</v>
      </c>
      <c r="Z235" s="6"/>
      <c r="AA235" s="6"/>
      <c r="AB235" s="4" t="n">
        <f aca="false">ROUND(PMT(W235/1200,X235,-V235),2)</f>
        <v>8692.37</v>
      </c>
      <c r="AC235" s="4" t="n">
        <v>0</v>
      </c>
      <c r="AD235" s="3" t="n">
        <v>0</v>
      </c>
      <c r="AE235" s="4" t="n">
        <v>55300</v>
      </c>
      <c r="AF235" s="4" t="n">
        <v>6200</v>
      </c>
      <c r="AG235" s="3" t="n">
        <v>27</v>
      </c>
      <c r="AH235" s="4" t="n">
        <v>13800</v>
      </c>
      <c r="AI235" s="3" t="n">
        <v>900</v>
      </c>
      <c r="AJ235" s="7" t="n">
        <f aca="false">ROUND(AB235/I235,4)</f>
        <v>0.4829</v>
      </c>
      <c r="AK235" s="2" t="str">
        <f aca="false">IF(AND(AI235&gt;=750,AJ235&lt;=0.35),"Low",IF(AND(AI235&gt;=600,AJ235&lt;=0.5),"Medium","High"))</f>
        <v>Medium</v>
      </c>
      <c r="AL235" s="3" t="n">
        <v>0</v>
      </c>
      <c r="AM235" s="2" t="s">
        <v>58</v>
      </c>
      <c r="AN235" s="2"/>
      <c r="AO235" s="2" t="s">
        <v>127</v>
      </c>
      <c r="AP235" s="7" t="n">
        <v>0.01</v>
      </c>
    </row>
    <row r="236" customFormat="false" ht="15" hidden="false" customHeight="false" outlineLevel="0" collapsed="false">
      <c r="A236" s="2" t="s">
        <v>1078</v>
      </c>
      <c r="B236" s="2" t="s">
        <v>1079</v>
      </c>
      <c r="C236" s="2" t="s">
        <v>1080</v>
      </c>
      <c r="D236" s="2" t="s">
        <v>45</v>
      </c>
      <c r="E236" s="3" t="n">
        <v>28</v>
      </c>
      <c r="F236" s="2" t="s">
        <v>64</v>
      </c>
      <c r="G236" s="2" t="s">
        <v>154</v>
      </c>
      <c r="H236" s="2" t="s">
        <v>101</v>
      </c>
      <c r="I236" s="4" t="n">
        <v>45000</v>
      </c>
      <c r="J236" s="2" t="s">
        <v>145</v>
      </c>
      <c r="K236" s="3" t="n">
        <v>6</v>
      </c>
      <c r="L236" s="2" t="s">
        <v>79</v>
      </c>
      <c r="M236" s="2" t="s">
        <v>80</v>
      </c>
      <c r="N236" s="2" t="s">
        <v>102</v>
      </c>
      <c r="O236" s="3" t="n">
        <v>2</v>
      </c>
      <c r="P236" s="2" t="s">
        <v>229</v>
      </c>
      <c r="Q236" s="2" t="s">
        <v>230</v>
      </c>
      <c r="R236" s="2" t="s">
        <v>231</v>
      </c>
      <c r="S236" s="2" t="s">
        <v>92</v>
      </c>
      <c r="T236" s="2" t="s">
        <v>1081</v>
      </c>
      <c r="U236" s="2" t="s">
        <v>118</v>
      </c>
      <c r="V236" s="4" t="n">
        <v>1159000</v>
      </c>
      <c r="W236" s="5" t="n">
        <v>9.67</v>
      </c>
      <c r="X236" s="3" t="n">
        <v>78</v>
      </c>
      <c r="Y236" s="6" t="n">
        <v>46190</v>
      </c>
      <c r="Z236" s="6" t="n">
        <v>46198</v>
      </c>
      <c r="AA236" s="6" t="n">
        <v>46199</v>
      </c>
      <c r="AB236" s="4" t="n">
        <f aca="false">ROUND(PMT(W236/1200,X236,-V236),2)</f>
        <v>20072.65</v>
      </c>
      <c r="AC236" s="4" t="n">
        <v>0</v>
      </c>
      <c r="AD236" s="3" t="n">
        <v>1</v>
      </c>
      <c r="AE236" s="4"/>
      <c r="AF236" s="4" t="n">
        <v>12900</v>
      </c>
      <c r="AG236" s="3" t="n">
        <v>32</v>
      </c>
      <c r="AH236" s="4" t="n">
        <v>22400</v>
      </c>
      <c r="AI236" s="3" t="n">
        <v>733</v>
      </c>
      <c r="AJ236" s="7" t="n">
        <f aca="false">ROUND(AB236/I236,4)</f>
        <v>0.4461</v>
      </c>
      <c r="AK236" s="2" t="str">
        <f aca="false">IF(AND(AI236&gt;=750,AJ236&lt;=0.35),"Low",IF(AND(AI236&gt;=600,AJ236&lt;=0.5),"Medium","High"))</f>
        <v>Medium</v>
      </c>
      <c r="AL236" s="3" t="n">
        <v>3</v>
      </c>
      <c r="AM236" s="2" t="s">
        <v>58</v>
      </c>
      <c r="AN236" s="2" t="s">
        <v>59</v>
      </c>
      <c r="AO236" s="2" t="s">
        <v>60</v>
      </c>
      <c r="AP236" s="7" t="n">
        <v>0.185</v>
      </c>
    </row>
    <row r="237" customFormat="false" ht="15" hidden="false" customHeight="false" outlineLevel="0" collapsed="false">
      <c r="A237" s="2" t="s">
        <v>1082</v>
      </c>
      <c r="B237" s="2" t="s">
        <v>1083</v>
      </c>
      <c r="C237" s="2" t="s">
        <v>1084</v>
      </c>
      <c r="D237" s="2" t="s">
        <v>45</v>
      </c>
      <c r="E237" s="3" t="n">
        <v>43</v>
      </c>
      <c r="F237" s="2" t="s">
        <v>64</v>
      </c>
      <c r="G237" s="2"/>
      <c r="H237" s="2" t="s">
        <v>111</v>
      </c>
      <c r="I237" s="4" t="n">
        <v>16500</v>
      </c>
      <c r="J237" s="2" t="s">
        <v>145</v>
      </c>
      <c r="K237" s="3" t="n">
        <v>23</v>
      </c>
      <c r="L237" s="2" t="s">
        <v>168</v>
      </c>
      <c r="M237" s="2" t="s">
        <v>92</v>
      </c>
      <c r="N237" s="2" t="s">
        <v>52</v>
      </c>
      <c r="O237" s="3" t="n">
        <v>2</v>
      </c>
      <c r="P237" s="2" t="s">
        <v>124</v>
      </c>
      <c r="Q237" s="2" t="s">
        <v>125</v>
      </c>
      <c r="R237" s="2" t="s">
        <v>91</v>
      </c>
      <c r="S237" s="2" t="s">
        <v>92</v>
      </c>
      <c r="T237" s="2" t="s">
        <v>1085</v>
      </c>
      <c r="U237" s="2" t="s">
        <v>180</v>
      </c>
      <c r="V237" s="4" t="n">
        <v>300000</v>
      </c>
      <c r="W237" s="5" t="n">
        <v>13.07</v>
      </c>
      <c r="X237" s="3" t="n">
        <v>12</v>
      </c>
      <c r="Y237" s="6" t="n">
        <v>46196</v>
      </c>
      <c r="Z237" s="6" t="n">
        <v>46203</v>
      </c>
      <c r="AA237" s="6" t="n">
        <v>46206</v>
      </c>
      <c r="AB237" s="4" t="n">
        <f aca="false">ROUND(PMT(W237/1200,X237,-V237),2)</f>
        <v>26805.04</v>
      </c>
      <c r="AC237" s="4" t="n">
        <v>397000</v>
      </c>
      <c r="AD237" s="3" t="n">
        <v>0</v>
      </c>
      <c r="AE237" s="4" t="n">
        <v>62100</v>
      </c>
      <c r="AF237" s="4" t="n">
        <v>6800</v>
      </c>
      <c r="AG237" s="3" t="n">
        <v>36</v>
      </c>
      <c r="AH237" s="4" t="n">
        <v>7000</v>
      </c>
      <c r="AI237" s="3" t="n">
        <v>569</v>
      </c>
      <c r="AJ237" s="7" t="n">
        <f aca="false">ROUND(AB237/I237,4)</f>
        <v>1.6245</v>
      </c>
      <c r="AK237" s="2" t="str">
        <f aca="false">IF(AND(AI237&gt;=750,AJ237&lt;=0.35),"Low",IF(AND(AI237&gt;=600,AJ237&lt;=0.5),"Medium","High"))</f>
        <v>High</v>
      </c>
      <c r="AL237" s="3" t="n">
        <v>1</v>
      </c>
      <c r="AM237" s="2" t="s">
        <v>58</v>
      </c>
      <c r="AN237" s="2" t="s">
        <v>258</v>
      </c>
      <c r="AO237" s="2" t="s">
        <v>60</v>
      </c>
      <c r="AP237" s="7" t="n">
        <v>0.4</v>
      </c>
    </row>
    <row r="238" customFormat="false" ht="15" hidden="false" customHeight="false" outlineLevel="0" collapsed="false">
      <c r="A238" s="2" t="s">
        <v>1086</v>
      </c>
      <c r="B238" s="2" t="s">
        <v>712</v>
      </c>
      <c r="C238" s="2" t="s">
        <v>1087</v>
      </c>
      <c r="D238" s="2" t="s">
        <v>45</v>
      </c>
      <c r="E238" s="3" t="n">
        <v>36</v>
      </c>
      <c r="F238" s="2"/>
      <c r="G238" s="2" t="s">
        <v>47</v>
      </c>
      <c r="H238" s="2" t="s">
        <v>48</v>
      </c>
      <c r="I238" s="4" t="n">
        <v>131500</v>
      </c>
      <c r="J238" s="2" t="s">
        <v>49</v>
      </c>
      <c r="K238" s="3" t="n">
        <v>14</v>
      </c>
      <c r="L238" s="2" t="s">
        <v>159</v>
      </c>
      <c r="M238" s="2" t="s">
        <v>159</v>
      </c>
      <c r="N238" s="2" t="s">
        <v>52</v>
      </c>
      <c r="O238" s="3" t="n">
        <v>0</v>
      </c>
      <c r="P238" s="2" t="s">
        <v>160</v>
      </c>
      <c r="Q238" s="2" t="s">
        <v>161</v>
      </c>
      <c r="R238" s="2" t="s">
        <v>159</v>
      </c>
      <c r="S238" s="2" t="s">
        <v>159</v>
      </c>
      <c r="T238" s="2" t="s">
        <v>1088</v>
      </c>
      <c r="U238" s="2" t="s">
        <v>97</v>
      </c>
      <c r="V238" s="4" t="n">
        <v>1500000</v>
      </c>
      <c r="W238" s="5" t="n">
        <v>12.81</v>
      </c>
      <c r="X238" s="3" t="n">
        <v>54</v>
      </c>
      <c r="Y238" s="6" t="n">
        <v>46189</v>
      </c>
      <c r="Z238" s="6" t="n">
        <v>46190</v>
      </c>
      <c r="AA238" s="6" t="n">
        <v>46194</v>
      </c>
      <c r="AB238" s="4" t="n">
        <f aca="false">ROUND(PMT(W238/1200,X238,-V238),2)</f>
        <v>36692.99</v>
      </c>
      <c r="AC238" s="4" t="n">
        <v>0</v>
      </c>
      <c r="AD238" s="3" t="n">
        <v>1</v>
      </c>
      <c r="AE238" s="4" t="n">
        <v>129300</v>
      </c>
      <c r="AF238" s="4" t="n">
        <v>68500</v>
      </c>
      <c r="AG238" s="3" t="n">
        <v>17</v>
      </c>
      <c r="AH238" s="4" t="n">
        <v>92100</v>
      </c>
      <c r="AI238" s="3" t="n">
        <v>638</v>
      </c>
      <c r="AJ238" s="7" t="n">
        <f aca="false">ROUND(AB238/I238,4)</f>
        <v>0.279</v>
      </c>
      <c r="AK238" s="2" t="str">
        <f aca="false">IF(AND(AI238&gt;=750,AJ238&lt;=0.35),"Low",IF(AND(AI238&gt;=600,AJ238&lt;=0.5),"Medium","High"))</f>
        <v>Medium</v>
      </c>
      <c r="AL238" s="3" t="n">
        <v>1</v>
      </c>
      <c r="AM238" s="2" t="s">
        <v>58</v>
      </c>
      <c r="AN238" s="2" t="s">
        <v>59</v>
      </c>
      <c r="AO238" s="2" t="s">
        <v>60</v>
      </c>
      <c r="AP238" s="7" t="n">
        <v>0.261</v>
      </c>
    </row>
    <row r="239" customFormat="false" ht="15" hidden="false" customHeight="false" outlineLevel="0" collapsed="false">
      <c r="A239" s="2" t="s">
        <v>1089</v>
      </c>
      <c r="B239" s="2" t="s">
        <v>1090</v>
      </c>
      <c r="C239" s="2" t="s">
        <v>1091</v>
      </c>
      <c r="D239" s="2" t="s">
        <v>45</v>
      </c>
      <c r="E239" s="3" t="n">
        <v>25</v>
      </c>
      <c r="F239" s="2" t="s">
        <v>46</v>
      </c>
      <c r="G239" s="2" t="s">
        <v>246</v>
      </c>
      <c r="H239" s="2" t="s">
        <v>111</v>
      </c>
      <c r="I239" s="4" t="n">
        <v>14500</v>
      </c>
      <c r="J239" s="2" t="s">
        <v>145</v>
      </c>
      <c r="K239" s="3" t="n">
        <v>4</v>
      </c>
      <c r="L239" s="2" t="s">
        <v>220</v>
      </c>
      <c r="M239" s="2" t="s">
        <v>51</v>
      </c>
      <c r="N239" s="2" t="s">
        <v>52</v>
      </c>
      <c r="O239" s="3" t="n">
        <v>1</v>
      </c>
      <c r="P239" s="2" t="s">
        <v>131</v>
      </c>
      <c r="Q239" s="2" t="s">
        <v>132</v>
      </c>
      <c r="R239" s="2" t="s">
        <v>51</v>
      </c>
      <c r="S239" s="2" t="s">
        <v>51</v>
      </c>
      <c r="T239" s="2" t="s">
        <v>1092</v>
      </c>
      <c r="U239" s="2" t="s">
        <v>85</v>
      </c>
      <c r="V239" s="4" t="n">
        <v>139000</v>
      </c>
      <c r="W239" s="5" t="n">
        <v>9.9</v>
      </c>
      <c r="X239" s="3" t="n">
        <v>36</v>
      </c>
      <c r="Y239" s="6" t="n">
        <v>46184</v>
      </c>
      <c r="Z239" s="6"/>
      <c r="AA239" s="6"/>
      <c r="AB239" s="4" t="n">
        <f aca="false">ROUND(PMT(W239/1200,X239,-V239),2)</f>
        <v>4478.62</v>
      </c>
      <c r="AC239" s="4" t="n">
        <v>0</v>
      </c>
      <c r="AD239" s="3" t="n">
        <v>0</v>
      </c>
      <c r="AE239" s="4" t="n">
        <v>41300</v>
      </c>
      <c r="AF239" s="4" t="n">
        <v>19200</v>
      </c>
      <c r="AG239" s="3" t="n">
        <v>24</v>
      </c>
      <c r="AH239" s="4" t="n">
        <v>11000</v>
      </c>
      <c r="AI239" s="3" t="n">
        <v>571</v>
      </c>
      <c r="AJ239" s="7" t="n">
        <f aca="false">ROUND(AB239/I239,4)</f>
        <v>0.3089</v>
      </c>
      <c r="AK239" s="2" t="str">
        <f aca="false">IF(AND(AI239&gt;=750,AJ239&lt;=0.35),"Low",IF(AND(AI239&gt;=600,AJ239&lt;=0.5),"Medium","High"))</f>
        <v>High</v>
      </c>
      <c r="AL239" s="3" t="n">
        <v>5</v>
      </c>
      <c r="AM239" s="2" t="s">
        <v>58</v>
      </c>
      <c r="AN239" s="2"/>
      <c r="AO239" s="2" t="s">
        <v>134</v>
      </c>
      <c r="AP239" s="7" t="n">
        <v>0.374</v>
      </c>
    </row>
    <row r="240" customFormat="false" ht="15" hidden="false" customHeight="false" outlineLevel="0" collapsed="false">
      <c r="A240" s="2" t="s">
        <v>1093</v>
      </c>
      <c r="B240" s="2" t="s">
        <v>1094</v>
      </c>
      <c r="C240" s="2" t="s">
        <v>1095</v>
      </c>
      <c r="D240" s="2" t="s">
        <v>45</v>
      </c>
      <c r="E240" s="3" t="n">
        <v>38</v>
      </c>
      <c r="F240" s="2" t="s">
        <v>64</v>
      </c>
      <c r="G240" s="2" t="s">
        <v>246</v>
      </c>
      <c r="H240" s="2" t="s">
        <v>77</v>
      </c>
      <c r="I240" s="4" t="n">
        <v>12500</v>
      </c>
      <c r="J240" s="2" t="s">
        <v>145</v>
      </c>
      <c r="K240" s="3"/>
      <c r="L240" s="2" t="s">
        <v>297</v>
      </c>
      <c r="M240" s="2" t="s">
        <v>92</v>
      </c>
      <c r="N240" s="2"/>
      <c r="O240" s="3" t="n">
        <v>1</v>
      </c>
      <c r="P240" s="2" t="s">
        <v>229</v>
      </c>
      <c r="Q240" s="2" t="s">
        <v>230</v>
      </c>
      <c r="R240" s="2" t="s">
        <v>231</v>
      </c>
      <c r="S240" s="2" t="s">
        <v>92</v>
      </c>
      <c r="T240" s="2" t="s">
        <v>1096</v>
      </c>
      <c r="U240" s="2" t="s">
        <v>85</v>
      </c>
      <c r="V240" s="4" t="n">
        <v>72000</v>
      </c>
      <c r="W240" s="5" t="n">
        <v>9.97</v>
      </c>
      <c r="X240" s="3" t="n">
        <v>36</v>
      </c>
      <c r="Y240" s="6" t="n">
        <v>46176</v>
      </c>
      <c r="Z240" s="6" t="n">
        <v>46182</v>
      </c>
      <c r="AA240" s="6" t="n">
        <v>46186</v>
      </c>
      <c r="AB240" s="4" t="n">
        <f aca="false">ROUND(PMT(W240/1200,X240,-V240),2)</f>
        <v>2322.22</v>
      </c>
      <c r="AC240" s="4" t="n">
        <v>0</v>
      </c>
      <c r="AD240" s="3" t="n">
        <v>1</v>
      </c>
      <c r="AE240" s="4" t="n">
        <v>45500</v>
      </c>
      <c r="AF240" s="4" t="n">
        <v>23800</v>
      </c>
      <c r="AG240" s="3" t="n">
        <v>18</v>
      </c>
      <c r="AH240" s="4" t="n">
        <v>5600</v>
      </c>
      <c r="AI240" s="3" t="n">
        <v>651</v>
      </c>
      <c r="AJ240" s="7" t="n">
        <f aca="false">ROUND(AB240/I240,4)</f>
        <v>0.1858</v>
      </c>
      <c r="AK240" s="2" t="str">
        <f aca="false">IF(AND(AI240&gt;=750,AJ240&lt;=0.35),"Low",IF(AND(AI240&gt;=600,AJ240&lt;=0.5),"Medium","High"))</f>
        <v>Medium</v>
      </c>
      <c r="AL240" s="3" t="n">
        <v>1</v>
      </c>
      <c r="AM240" s="2" t="s">
        <v>58</v>
      </c>
      <c r="AN240" s="2" t="s">
        <v>59</v>
      </c>
      <c r="AO240" s="2" t="s">
        <v>60</v>
      </c>
      <c r="AP240" s="7" t="n">
        <v>0.336</v>
      </c>
    </row>
    <row r="241" customFormat="false" ht="15" hidden="false" customHeight="false" outlineLevel="0" collapsed="false">
      <c r="A241" s="2" t="s">
        <v>1097</v>
      </c>
      <c r="B241" s="2" t="s">
        <v>1098</v>
      </c>
      <c r="C241" s="2" t="s">
        <v>1099</v>
      </c>
      <c r="D241" s="2" t="s">
        <v>45</v>
      </c>
      <c r="E241" s="3" t="n">
        <v>36</v>
      </c>
      <c r="F241" s="2" t="s">
        <v>64</v>
      </c>
      <c r="G241" s="2" t="s">
        <v>65</v>
      </c>
      <c r="H241" s="2" t="s">
        <v>101</v>
      </c>
      <c r="I241" s="4" t="n">
        <v>54500</v>
      </c>
      <c r="J241" s="2" t="s">
        <v>49</v>
      </c>
      <c r="K241" s="3" t="n">
        <v>9</v>
      </c>
      <c r="L241" s="2" t="s">
        <v>91</v>
      </c>
      <c r="M241" s="2" t="s">
        <v>92</v>
      </c>
      <c r="N241" s="2" t="s">
        <v>52</v>
      </c>
      <c r="O241" s="3" t="n">
        <v>1</v>
      </c>
      <c r="P241" s="2" t="s">
        <v>124</v>
      </c>
      <c r="Q241" s="2" t="s">
        <v>125</v>
      </c>
      <c r="R241" s="2" t="s">
        <v>91</v>
      </c>
      <c r="S241" s="2" t="s">
        <v>92</v>
      </c>
      <c r="T241" s="2" t="s">
        <v>1100</v>
      </c>
      <c r="U241" s="2" t="s">
        <v>180</v>
      </c>
      <c r="V241" s="4" t="n">
        <v>393000</v>
      </c>
      <c r="W241" s="5" t="n">
        <v>12.99</v>
      </c>
      <c r="X241" s="3" t="n">
        <v>30</v>
      </c>
      <c r="Y241" s="6" t="n">
        <v>46181</v>
      </c>
      <c r="Z241" s="6"/>
      <c r="AA241" s="6"/>
      <c r="AB241" s="4" t="n">
        <f aca="false">ROUND(PMT(W241/1200,X241,-V241),2)</f>
        <v>15412.2</v>
      </c>
      <c r="AC241" s="4" t="n">
        <v>562000</v>
      </c>
      <c r="AD241" s="3" t="n">
        <v>0</v>
      </c>
      <c r="AE241" s="4" t="n">
        <v>55200</v>
      </c>
      <c r="AF241" s="4" t="n">
        <v>24600</v>
      </c>
      <c r="AG241" s="3" t="n">
        <v>35</v>
      </c>
      <c r="AH241" s="4" t="n">
        <v>57600</v>
      </c>
      <c r="AI241" s="3" t="n">
        <v>703</v>
      </c>
      <c r="AJ241" s="7" t="n">
        <f aca="false">ROUND(AB241/I241,4)</f>
        <v>0.2828</v>
      </c>
      <c r="AK241" s="2" t="str">
        <f aca="false">IF(AND(AI241&gt;=750,AJ241&lt;=0.35),"Low",IF(AND(AI241&gt;=600,AJ241&lt;=0.5),"Medium","High"))</f>
        <v>Medium</v>
      </c>
      <c r="AL241" s="3" t="n">
        <v>1</v>
      </c>
      <c r="AM241" s="2" t="s">
        <v>58</v>
      </c>
      <c r="AN241" s="2"/>
      <c r="AO241" s="2" t="s">
        <v>127</v>
      </c>
      <c r="AP241" s="7" t="n">
        <v>0.251</v>
      </c>
    </row>
    <row r="242" customFormat="false" ht="15" hidden="false" customHeight="false" outlineLevel="0" collapsed="false">
      <c r="A242" s="2" t="s">
        <v>1101</v>
      </c>
      <c r="B242" s="2" t="s">
        <v>1102</v>
      </c>
      <c r="C242" s="2" t="s">
        <v>524</v>
      </c>
      <c r="D242" s="2" t="s">
        <v>45</v>
      </c>
      <c r="E242" s="3" t="n">
        <v>25</v>
      </c>
      <c r="F242" s="2"/>
      <c r="G242" s="2" t="s">
        <v>145</v>
      </c>
      <c r="H242" s="2" t="s">
        <v>48</v>
      </c>
      <c r="I242" s="4" t="n">
        <v>60000</v>
      </c>
      <c r="J242" s="2" t="s">
        <v>145</v>
      </c>
      <c r="K242" s="3" t="n">
        <v>2</v>
      </c>
      <c r="L242" s="2" t="s">
        <v>188</v>
      </c>
      <c r="M242" s="2" t="s">
        <v>51</v>
      </c>
      <c r="N242" s="2" t="s">
        <v>52</v>
      </c>
      <c r="O242" s="3" t="n">
        <v>0</v>
      </c>
      <c r="P242" s="2" t="s">
        <v>189</v>
      </c>
      <c r="Q242" s="2" t="s">
        <v>190</v>
      </c>
      <c r="R242" s="2" t="s">
        <v>188</v>
      </c>
      <c r="S242" s="2" t="s">
        <v>51</v>
      </c>
      <c r="T242" s="2" t="s">
        <v>1103</v>
      </c>
      <c r="U242" s="2" t="s">
        <v>192</v>
      </c>
      <c r="V242" s="4" t="n">
        <v>449000</v>
      </c>
      <c r="W242" s="5" t="n">
        <v>14.36</v>
      </c>
      <c r="X242" s="3" t="n">
        <v>36</v>
      </c>
      <c r="Y242" s="6" t="n">
        <v>46199</v>
      </c>
      <c r="Z242" s="6"/>
      <c r="AA242" s="6"/>
      <c r="AB242" s="4" t="n">
        <f aca="false">ROUND(PMT(W242/1200,X242,-V242),2)</f>
        <v>15424.38</v>
      </c>
      <c r="AC242" s="4" t="n">
        <v>598000</v>
      </c>
      <c r="AD242" s="3" t="n">
        <v>1</v>
      </c>
      <c r="AE242" s="4" t="n">
        <v>228600</v>
      </c>
      <c r="AF242" s="4" t="n">
        <v>58600</v>
      </c>
      <c r="AG242" s="3" t="n">
        <v>36</v>
      </c>
      <c r="AH242" s="4" t="n">
        <v>59200</v>
      </c>
      <c r="AI242" s="3" t="n">
        <v>678</v>
      </c>
      <c r="AJ242" s="7" t="n">
        <f aca="false">ROUND(AB242/I242,4)</f>
        <v>0.2571</v>
      </c>
      <c r="AK242" s="2" t="str">
        <f aca="false">IF(AND(AI242&gt;=750,AJ242&lt;=0.35),"Low",IF(AND(AI242&gt;=600,AJ242&lt;=0.5),"Medium","High"))</f>
        <v>Medium</v>
      </c>
      <c r="AL242" s="3"/>
      <c r="AM242" s="2" t="s">
        <v>58</v>
      </c>
      <c r="AN242" s="2"/>
      <c r="AO242" s="2" t="s">
        <v>134</v>
      </c>
      <c r="AP242" s="7" t="n">
        <v>0.301</v>
      </c>
    </row>
    <row r="243" customFormat="false" ht="15" hidden="false" customHeight="false" outlineLevel="0" collapsed="false">
      <c r="A243" s="2" t="s">
        <v>1104</v>
      </c>
      <c r="B243" s="2" t="s">
        <v>1105</v>
      </c>
      <c r="C243" s="2" t="s">
        <v>1106</v>
      </c>
      <c r="D243" s="2" t="s">
        <v>45</v>
      </c>
      <c r="E243" s="3" t="n">
        <v>42</v>
      </c>
      <c r="F243" s="2" t="s">
        <v>64</v>
      </c>
      <c r="G243" s="2" t="s">
        <v>207</v>
      </c>
      <c r="H243" s="2" t="s">
        <v>48</v>
      </c>
      <c r="I243" s="4" t="n">
        <v>45500</v>
      </c>
      <c r="J243" s="2" t="s">
        <v>49</v>
      </c>
      <c r="K243" s="3" t="n">
        <v>15</v>
      </c>
      <c r="L243" s="2" t="s">
        <v>70</v>
      </c>
      <c r="M243" s="2" t="s">
        <v>67</v>
      </c>
      <c r="N243" s="2" t="s">
        <v>140</v>
      </c>
      <c r="O243" s="3" t="n">
        <v>2</v>
      </c>
      <c r="P243" s="2" t="s">
        <v>68</v>
      </c>
      <c r="Q243" s="2" t="s">
        <v>69</v>
      </c>
      <c r="R243" s="2" t="s">
        <v>70</v>
      </c>
      <c r="S243" s="2" t="s">
        <v>67</v>
      </c>
      <c r="T243" s="2" t="s">
        <v>1107</v>
      </c>
      <c r="U243" s="2" t="s">
        <v>180</v>
      </c>
      <c r="V243" s="4" t="n">
        <v>669000</v>
      </c>
      <c r="W243" s="5" t="n">
        <v>10.12</v>
      </c>
      <c r="X243" s="3" t="n">
        <v>60</v>
      </c>
      <c r="Y243" s="6" t="n">
        <v>46178</v>
      </c>
      <c r="Z243" s="6" t="n">
        <v>46187</v>
      </c>
      <c r="AA243" s="6" t="n">
        <v>46188</v>
      </c>
      <c r="AB243" s="4" t="n">
        <f aca="false">ROUND(PMT(W243/1200,X243,-V243),2)</f>
        <v>14253.81</v>
      </c>
      <c r="AC243" s="4" t="n">
        <v>853000</v>
      </c>
      <c r="AD243" s="3" t="n">
        <v>1</v>
      </c>
      <c r="AE243" s="4" t="n">
        <v>104100</v>
      </c>
      <c r="AF243" s="4" t="n">
        <v>41900</v>
      </c>
      <c r="AG243" s="3" t="n">
        <v>16</v>
      </c>
      <c r="AH243" s="4" t="n">
        <v>30400</v>
      </c>
      <c r="AI243" s="3" t="n">
        <v>720</v>
      </c>
      <c r="AJ243" s="7" t="n">
        <f aca="false">ROUND(AB243/I243,4)</f>
        <v>0.3133</v>
      </c>
      <c r="AK243" s="2" t="str">
        <f aca="false">IF(AND(AI243&gt;=750,AJ243&lt;=0.35),"Low",IF(AND(AI243&gt;=600,AJ243&lt;=0.5),"Medium","High"))</f>
        <v>Medium</v>
      </c>
      <c r="AL243" s="3" t="n">
        <v>2</v>
      </c>
      <c r="AM243" s="2" t="s">
        <v>58</v>
      </c>
      <c r="AN243" s="2" t="s">
        <v>59</v>
      </c>
      <c r="AO243" s="2" t="s">
        <v>60</v>
      </c>
      <c r="AP243" s="7" t="n">
        <v>0.258</v>
      </c>
    </row>
    <row r="244" customFormat="false" ht="15" hidden="false" customHeight="false" outlineLevel="0" collapsed="false">
      <c r="A244" s="2" t="s">
        <v>1108</v>
      </c>
      <c r="B244" s="2" t="s">
        <v>1109</v>
      </c>
      <c r="C244" s="2" t="s">
        <v>1110</v>
      </c>
      <c r="D244" s="2" t="s">
        <v>45</v>
      </c>
      <c r="E244" s="3" t="n">
        <v>42</v>
      </c>
      <c r="F244" s="2" t="s">
        <v>64</v>
      </c>
      <c r="G244" s="2" t="s">
        <v>176</v>
      </c>
      <c r="H244" s="2" t="s">
        <v>77</v>
      </c>
      <c r="I244" s="4" t="n">
        <v>76000</v>
      </c>
      <c r="J244" s="2" t="s">
        <v>177</v>
      </c>
      <c r="K244" s="3" t="n">
        <v>17</v>
      </c>
      <c r="L244" s="2" t="s">
        <v>211</v>
      </c>
      <c r="M244" s="2" t="s">
        <v>147</v>
      </c>
      <c r="N244" s="2" t="s">
        <v>102</v>
      </c>
      <c r="O244" s="3" t="n">
        <v>1</v>
      </c>
      <c r="P244" s="2" t="s">
        <v>209</v>
      </c>
      <c r="Q244" s="2" t="s">
        <v>210</v>
      </c>
      <c r="R244" s="2" t="s">
        <v>211</v>
      </c>
      <c r="S244" s="2" t="s">
        <v>147</v>
      </c>
      <c r="T244" s="2" t="s">
        <v>1111</v>
      </c>
      <c r="U244" s="2" t="s">
        <v>192</v>
      </c>
      <c r="V244" s="4" t="n">
        <v>1104000</v>
      </c>
      <c r="W244" s="5" t="n">
        <v>11.9</v>
      </c>
      <c r="X244" s="3" t="n">
        <v>72</v>
      </c>
      <c r="Y244" s="6" t="n">
        <v>46184</v>
      </c>
      <c r="Z244" s="6" t="n">
        <v>46187</v>
      </c>
      <c r="AA244" s="6" t="n">
        <v>46188</v>
      </c>
      <c r="AB244" s="4" t="n">
        <f aca="false">ROUND(PMT(W244/1200,X244,-V244),2)</f>
        <v>21526.04</v>
      </c>
      <c r="AC244" s="4" t="n">
        <v>1130000</v>
      </c>
      <c r="AD244" s="3" t="n">
        <v>2</v>
      </c>
      <c r="AE244" s="4" t="n">
        <v>205900</v>
      </c>
      <c r="AF244" s="4" t="n">
        <v>48400</v>
      </c>
      <c r="AG244" s="3" t="n">
        <v>30</v>
      </c>
      <c r="AH244" s="4" t="n">
        <v>37900</v>
      </c>
      <c r="AI244" s="3" t="n">
        <v>793</v>
      </c>
      <c r="AJ244" s="7" t="n">
        <f aca="false">ROUND(AB244/I244,4)</f>
        <v>0.2832</v>
      </c>
      <c r="AK244" s="2" t="str">
        <f aca="false">IF(AND(AI244&gt;=750,AJ244&lt;=0.35),"Low",IF(AND(AI244&gt;=600,AJ244&lt;=0.5),"Medium","High"))</f>
        <v>Low</v>
      </c>
      <c r="AL244" s="3" t="n">
        <v>1</v>
      </c>
      <c r="AM244" s="2" t="s">
        <v>58</v>
      </c>
      <c r="AN244" s="2" t="s">
        <v>59</v>
      </c>
      <c r="AO244" s="2" t="s">
        <v>60</v>
      </c>
      <c r="AP244" s="7" t="n">
        <v>0.155</v>
      </c>
    </row>
    <row r="245" customFormat="false" ht="15" hidden="false" customHeight="false" outlineLevel="0" collapsed="false">
      <c r="A245" s="2" t="s">
        <v>1112</v>
      </c>
      <c r="B245" s="2" t="s">
        <v>1113</v>
      </c>
      <c r="C245" s="2" t="s">
        <v>1114</v>
      </c>
      <c r="D245" s="2" t="s">
        <v>109</v>
      </c>
      <c r="E245" s="3" t="n">
        <v>36</v>
      </c>
      <c r="F245" s="2" t="s">
        <v>64</v>
      </c>
      <c r="G245" s="2" t="s">
        <v>176</v>
      </c>
      <c r="H245" s="2" t="s">
        <v>77</v>
      </c>
      <c r="I245" s="4" t="n">
        <v>72500</v>
      </c>
      <c r="J245" s="2" t="s">
        <v>177</v>
      </c>
      <c r="K245" s="3" t="n">
        <v>15</v>
      </c>
      <c r="L245" s="2" t="s">
        <v>569</v>
      </c>
      <c r="M245" s="2" t="s">
        <v>67</v>
      </c>
      <c r="N245" s="2" t="s">
        <v>52</v>
      </c>
      <c r="O245" s="3" t="n">
        <v>2</v>
      </c>
      <c r="P245" s="2" t="s">
        <v>103</v>
      </c>
      <c r="Q245" s="2" t="s">
        <v>104</v>
      </c>
      <c r="R245" s="2" t="s">
        <v>67</v>
      </c>
      <c r="S245" s="2" t="s">
        <v>67</v>
      </c>
      <c r="T245" s="2" t="s">
        <v>1115</v>
      </c>
      <c r="U245" s="2" t="s">
        <v>72</v>
      </c>
      <c r="V245" s="4" t="n">
        <v>785000</v>
      </c>
      <c r="W245" s="5" t="n">
        <v>13.95</v>
      </c>
      <c r="X245" s="3" t="n">
        <v>42</v>
      </c>
      <c r="Y245" s="6" t="n">
        <v>46195</v>
      </c>
      <c r="Z245" s="6"/>
      <c r="AA245" s="6"/>
      <c r="AB245" s="4" t="n">
        <f aca="false">ROUND(PMT(W245/1200,X245,-V245),2)</f>
        <v>23729.43</v>
      </c>
      <c r="AC245" s="4" t="n">
        <v>1130000</v>
      </c>
      <c r="AD245" s="3" t="n">
        <v>0</v>
      </c>
      <c r="AE245" s="4" t="n">
        <v>71400</v>
      </c>
      <c r="AF245" s="4" t="n">
        <v>42200</v>
      </c>
      <c r="AG245" s="3" t="n">
        <v>60</v>
      </c>
      <c r="AH245" s="4" t="n">
        <v>36200</v>
      </c>
      <c r="AI245" s="3" t="n">
        <v>763</v>
      </c>
      <c r="AJ245" s="7" t="n">
        <f aca="false">ROUND(AB245/I245,4)</f>
        <v>0.3273</v>
      </c>
      <c r="AK245" s="2" t="str">
        <f aca="false">IF(AND(AI245&gt;=750,AJ245&lt;=0.35),"Low",IF(AND(AI245&gt;=600,AJ245&lt;=0.5),"Medium","High"))</f>
        <v>Low</v>
      </c>
      <c r="AL245" s="3" t="n">
        <v>2</v>
      </c>
      <c r="AM245" s="2" t="s">
        <v>233</v>
      </c>
      <c r="AN245" s="2"/>
      <c r="AO245" s="2" t="s">
        <v>134</v>
      </c>
      <c r="AP245" s="7" t="n">
        <v>0.424</v>
      </c>
    </row>
    <row r="246" customFormat="false" ht="15" hidden="false" customHeight="false" outlineLevel="0" collapsed="false">
      <c r="A246" s="2" t="s">
        <v>1116</v>
      </c>
      <c r="B246" s="2" t="s">
        <v>1117</v>
      </c>
      <c r="C246" s="2" t="s">
        <v>1118</v>
      </c>
      <c r="D246" s="2" t="s">
        <v>109</v>
      </c>
      <c r="E246" s="3" t="n">
        <v>40</v>
      </c>
      <c r="F246" s="2" t="s">
        <v>64</v>
      </c>
      <c r="G246" s="2" t="s">
        <v>110</v>
      </c>
      <c r="H246" s="2"/>
      <c r="I246" s="4" t="n">
        <v>18500</v>
      </c>
      <c r="J246" s="2" t="s">
        <v>112</v>
      </c>
      <c r="K246" s="3" t="n">
        <v>17</v>
      </c>
      <c r="L246" s="2" t="s">
        <v>51</v>
      </c>
      <c r="M246" s="2" t="s">
        <v>51</v>
      </c>
      <c r="N246" s="2" t="s">
        <v>52</v>
      </c>
      <c r="O246" s="3" t="n">
        <v>2</v>
      </c>
      <c r="P246" s="2" t="s">
        <v>189</v>
      </c>
      <c r="Q246" s="2" t="s">
        <v>190</v>
      </c>
      <c r="R246" s="2" t="s">
        <v>188</v>
      </c>
      <c r="S246" s="2" t="s">
        <v>51</v>
      </c>
      <c r="T246" s="2" t="s">
        <v>1119</v>
      </c>
      <c r="U246" s="2" t="s">
        <v>97</v>
      </c>
      <c r="V246" s="4" t="n">
        <v>306000</v>
      </c>
      <c r="W246" s="5" t="n">
        <v>12.62</v>
      </c>
      <c r="X246" s="3" t="n">
        <v>48</v>
      </c>
      <c r="Y246" s="6" t="n">
        <v>46177</v>
      </c>
      <c r="Z246" s="6" t="n">
        <v>46184</v>
      </c>
      <c r="AA246" s="6" t="n">
        <v>46187</v>
      </c>
      <c r="AB246" s="4" t="n">
        <f aca="false">ROUND(PMT(W246/1200,X246,-V246),2)</f>
        <v>8151.62</v>
      </c>
      <c r="AC246" s="4" t="n">
        <v>0</v>
      </c>
      <c r="AD246" s="3" t="n">
        <v>1</v>
      </c>
      <c r="AE246" s="4" t="n">
        <v>47800</v>
      </c>
      <c r="AF246" s="4" t="n">
        <v>28600</v>
      </c>
      <c r="AG246" s="3" t="n">
        <v>30</v>
      </c>
      <c r="AH246" s="4" t="n">
        <v>12000</v>
      </c>
      <c r="AI246" s="3" t="n">
        <v>765</v>
      </c>
      <c r="AJ246" s="7" t="n">
        <f aca="false">ROUND(AB246/I246,4)</f>
        <v>0.4406</v>
      </c>
      <c r="AK246" s="2" t="str">
        <f aca="false">IF(AND(AI246&gt;=750,AJ246&lt;=0.35),"Low",IF(AND(AI246&gt;=600,AJ246&lt;=0.5),"Medium","High"))</f>
        <v>Medium</v>
      </c>
      <c r="AL246" s="3" t="n">
        <v>1</v>
      </c>
      <c r="AM246" s="2" t="s">
        <v>58</v>
      </c>
      <c r="AN246" s="2" t="s">
        <v>59</v>
      </c>
      <c r="AO246" s="2" t="s">
        <v>60</v>
      </c>
      <c r="AP246" s="7" t="n">
        <v>0.097</v>
      </c>
    </row>
    <row r="247" customFormat="false" ht="15" hidden="false" customHeight="false" outlineLevel="0" collapsed="false">
      <c r="A247" s="2" t="s">
        <v>1120</v>
      </c>
      <c r="B247" s="2" t="s">
        <v>1121</v>
      </c>
      <c r="C247" s="2" t="s">
        <v>1122</v>
      </c>
      <c r="D247" s="2" t="s">
        <v>45</v>
      </c>
      <c r="E247" s="3" t="n">
        <v>35</v>
      </c>
      <c r="F247" s="2" t="s">
        <v>46</v>
      </c>
      <c r="G247" s="2" t="s">
        <v>166</v>
      </c>
      <c r="H247" s="2" t="s">
        <v>167</v>
      </c>
      <c r="I247" s="4" t="n">
        <v>246000</v>
      </c>
      <c r="J247" s="2" t="s">
        <v>145</v>
      </c>
      <c r="K247" s="3" t="n">
        <v>13</v>
      </c>
      <c r="L247" s="2" t="s">
        <v>114</v>
      </c>
      <c r="M247" s="2" t="s">
        <v>114</v>
      </c>
      <c r="N247" s="2" t="s">
        <v>81</v>
      </c>
      <c r="O247" s="3" t="n">
        <v>0</v>
      </c>
      <c r="P247" s="2" t="s">
        <v>115</v>
      </c>
      <c r="Q247" s="2" t="s">
        <v>116</v>
      </c>
      <c r="R247" s="2" t="s">
        <v>114</v>
      </c>
      <c r="S247" s="2" t="s">
        <v>114</v>
      </c>
      <c r="T247" s="2" t="s">
        <v>1123</v>
      </c>
      <c r="U247" s="2" t="s">
        <v>57</v>
      </c>
      <c r="V247" s="4" t="n">
        <v>5000000</v>
      </c>
      <c r="W247" s="5" t="n">
        <v>11.44</v>
      </c>
      <c r="X247" s="3" t="n">
        <v>264</v>
      </c>
      <c r="Y247" s="6" t="n">
        <v>46195</v>
      </c>
      <c r="Z247" s="6" t="n">
        <v>46196</v>
      </c>
      <c r="AA247" s="6" t="n">
        <v>46197</v>
      </c>
      <c r="AB247" s="4" t="n">
        <f aca="false">ROUND(PMT(W247/1200,X247,-V247),2)</f>
        <v>51906.69</v>
      </c>
      <c r="AC247" s="4" t="n">
        <v>6856000</v>
      </c>
      <c r="AD247" s="3" t="n">
        <v>0</v>
      </c>
      <c r="AE247" s="4" t="n">
        <v>922700</v>
      </c>
      <c r="AF247" s="4" t="n">
        <v>290900</v>
      </c>
      <c r="AG247" s="3" t="n">
        <v>23</v>
      </c>
      <c r="AH247" s="4" t="n">
        <v>97200</v>
      </c>
      <c r="AI247" s="3" t="n">
        <v>621</v>
      </c>
      <c r="AJ247" s="7" t="n">
        <f aca="false">ROUND(AB247/I247,4)</f>
        <v>0.211</v>
      </c>
      <c r="AK247" s="2" t="str">
        <f aca="false">IF(AND(AI247&gt;=750,AJ247&lt;=0.35),"Low",IF(AND(AI247&gt;=600,AJ247&lt;=0.5),"Medium","High"))</f>
        <v>Medium</v>
      </c>
      <c r="AL247" s="3" t="n">
        <v>0</v>
      </c>
      <c r="AM247" s="2" t="s">
        <v>58</v>
      </c>
      <c r="AN247" s="2" t="s">
        <v>59</v>
      </c>
      <c r="AO247" s="2" t="s">
        <v>60</v>
      </c>
      <c r="AP247" s="7" t="n">
        <v>0.302</v>
      </c>
    </row>
    <row r="248" customFormat="false" ht="15" hidden="false" customHeight="false" outlineLevel="0" collapsed="false">
      <c r="A248" s="2" t="s">
        <v>1124</v>
      </c>
      <c r="B248" s="2" t="s">
        <v>651</v>
      </c>
      <c r="C248" s="2" t="s">
        <v>1125</v>
      </c>
      <c r="D248" s="2" t="s">
        <v>45</v>
      </c>
      <c r="E248" s="3" t="n">
        <v>21</v>
      </c>
      <c r="F248" s="2" t="s">
        <v>46</v>
      </c>
      <c r="G248" s="2" t="s">
        <v>145</v>
      </c>
      <c r="H248" s="2" t="s">
        <v>48</v>
      </c>
      <c r="I248" s="4" t="n">
        <v>42500</v>
      </c>
      <c r="J248" s="2" t="s">
        <v>145</v>
      </c>
      <c r="K248" s="3" t="n">
        <v>0</v>
      </c>
      <c r="L248" s="2" t="s">
        <v>67</v>
      </c>
      <c r="M248" s="2" t="s">
        <v>67</v>
      </c>
      <c r="N248" s="2" t="s">
        <v>140</v>
      </c>
      <c r="O248" s="3" t="n">
        <v>0</v>
      </c>
      <c r="P248" s="2" t="s">
        <v>103</v>
      </c>
      <c r="Q248" s="2" t="s">
        <v>104</v>
      </c>
      <c r="R248" s="2" t="s">
        <v>67</v>
      </c>
      <c r="S248" s="2" t="s">
        <v>67</v>
      </c>
      <c r="T248" s="2" t="s">
        <v>1126</v>
      </c>
      <c r="U248" s="2" t="s">
        <v>118</v>
      </c>
      <c r="V248" s="4" t="n">
        <v>653000</v>
      </c>
      <c r="W248" s="5" t="n">
        <v>10.12</v>
      </c>
      <c r="X248" s="3" t="n">
        <v>72</v>
      </c>
      <c r="Y248" s="6" t="n">
        <v>46202</v>
      </c>
      <c r="Z248" s="6" t="n">
        <v>46210</v>
      </c>
      <c r="AA248" s="6" t="n">
        <v>46215</v>
      </c>
      <c r="AB248" s="4" t="n">
        <f aca="false">ROUND(PMT(W248/1200,X248,-V248),2)</f>
        <v>12136.92</v>
      </c>
      <c r="AC248" s="4" t="n">
        <v>0</v>
      </c>
      <c r="AD248" s="3" t="n">
        <v>1</v>
      </c>
      <c r="AE248" s="4" t="n">
        <v>93100</v>
      </c>
      <c r="AF248" s="4" t="n">
        <v>55300</v>
      </c>
      <c r="AG248" s="3" t="n">
        <v>27</v>
      </c>
      <c r="AH248" s="4" t="n">
        <v>38400</v>
      </c>
      <c r="AI248" s="3" t="n">
        <v>687</v>
      </c>
      <c r="AJ248" s="7" t="n">
        <f aca="false">ROUND(AB248/I248,4)</f>
        <v>0.2856</v>
      </c>
      <c r="AK248" s="2" t="str">
        <f aca="false">IF(AND(AI248&gt;=750,AJ248&lt;=0.35),"Low",IF(AND(AI248&gt;=600,AJ248&lt;=0.5),"Medium","High"))</f>
        <v>Medium</v>
      </c>
      <c r="AL248" s="3" t="n">
        <v>4</v>
      </c>
      <c r="AM248" s="2" t="s">
        <v>233</v>
      </c>
      <c r="AN248" s="2" t="s">
        <v>59</v>
      </c>
      <c r="AO248" s="2" t="s">
        <v>60</v>
      </c>
      <c r="AP248" s="7" t="n">
        <v>0.403</v>
      </c>
    </row>
    <row r="249" customFormat="false" ht="15" hidden="false" customHeight="false" outlineLevel="0" collapsed="false">
      <c r="A249" s="2" t="s">
        <v>1127</v>
      </c>
      <c r="B249" s="2" t="s">
        <v>1128</v>
      </c>
      <c r="C249" s="2" t="s">
        <v>1129</v>
      </c>
      <c r="D249" s="2" t="s">
        <v>45</v>
      </c>
      <c r="E249" s="3" t="n">
        <v>40</v>
      </c>
      <c r="F249" s="2" t="s">
        <v>46</v>
      </c>
      <c r="G249" s="2" t="s">
        <v>47</v>
      </c>
      <c r="H249" s="2" t="s">
        <v>48</v>
      </c>
      <c r="I249" s="4" t="n">
        <v>64500</v>
      </c>
      <c r="J249" s="2" t="s">
        <v>49</v>
      </c>
      <c r="K249" s="3" t="n">
        <v>20</v>
      </c>
      <c r="L249" s="2" t="s">
        <v>67</v>
      </c>
      <c r="M249" s="2" t="s">
        <v>67</v>
      </c>
      <c r="N249" s="2" t="s">
        <v>140</v>
      </c>
      <c r="O249" s="3" t="n">
        <v>2</v>
      </c>
      <c r="P249" s="2" t="s">
        <v>103</v>
      </c>
      <c r="Q249" s="2" t="s">
        <v>104</v>
      </c>
      <c r="R249" s="2" t="s">
        <v>67</v>
      </c>
      <c r="S249" s="2" t="s">
        <v>67</v>
      </c>
      <c r="T249" s="2" t="s">
        <v>1130</v>
      </c>
      <c r="U249" s="2" t="s">
        <v>72</v>
      </c>
      <c r="V249" s="4" t="n">
        <v>300000</v>
      </c>
      <c r="W249" s="5" t="n">
        <v>15.45</v>
      </c>
      <c r="X249" s="3" t="n">
        <v>12</v>
      </c>
      <c r="Y249" s="6" t="n">
        <v>46188</v>
      </c>
      <c r="Z249" s="6" t="n">
        <v>46197</v>
      </c>
      <c r="AA249" s="6" t="n">
        <v>46201</v>
      </c>
      <c r="AB249" s="4" t="n">
        <f aca="false">ROUND(PMT(W249/1200,X249,-V249),2)</f>
        <v>27141.24</v>
      </c>
      <c r="AC249" s="4"/>
      <c r="AD249" s="3" t="n">
        <v>1</v>
      </c>
      <c r="AE249" s="4" t="n">
        <v>47600</v>
      </c>
      <c r="AF249" s="4" t="n">
        <v>9200</v>
      </c>
      <c r="AG249" s="3" t="n">
        <v>17</v>
      </c>
      <c r="AH249" s="4" t="n">
        <v>48000</v>
      </c>
      <c r="AI249" s="3" t="n">
        <v>777</v>
      </c>
      <c r="AJ249" s="7" t="n">
        <f aca="false">ROUND(AB249/I249,4)</f>
        <v>0.4208</v>
      </c>
      <c r="AK249" s="2" t="str">
        <f aca="false">IF(AND(AI249&gt;=750,AJ249&lt;=0.35),"Low",IF(AND(AI249&gt;=600,AJ249&lt;=0.5),"Medium","High"))</f>
        <v>Medium</v>
      </c>
      <c r="AL249" s="3"/>
      <c r="AM249" s="2" t="s">
        <v>58</v>
      </c>
      <c r="AN249" s="2" t="s">
        <v>119</v>
      </c>
      <c r="AO249" s="2" t="s">
        <v>60</v>
      </c>
      <c r="AP249" s="7" t="n">
        <v>0.121</v>
      </c>
    </row>
    <row r="250" customFormat="false" ht="15" hidden="false" customHeight="false" outlineLevel="0" collapsed="false">
      <c r="A250" s="2" t="s">
        <v>1131</v>
      </c>
      <c r="B250" s="2" t="s">
        <v>1132</v>
      </c>
      <c r="C250" s="2" t="s">
        <v>1133</v>
      </c>
      <c r="D250" s="2" t="s">
        <v>45</v>
      </c>
      <c r="E250" s="3" t="n">
        <v>30</v>
      </c>
      <c r="F250" s="2" t="s">
        <v>434</v>
      </c>
      <c r="G250" s="2" t="s">
        <v>154</v>
      </c>
      <c r="H250" s="2" t="s">
        <v>77</v>
      </c>
      <c r="I250" s="4" t="n">
        <v>16500</v>
      </c>
      <c r="J250" s="2" t="s">
        <v>145</v>
      </c>
      <c r="K250" s="3" t="n">
        <v>1</v>
      </c>
      <c r="L250" s="2" t="s">
        <v>70</v>
      </c>
      <c r="M250" s="2" t="s">
        <v>67</v>
      </c>
      <c r="N250" s="2" t="s">
        <v>81</v>
      </c>
      <c r="O250" s="3" t="n">
        <v>0</v>
      </c>
      <c r="P250" s="2" t="s">
        <v>68</v>
      </c>
      <c r="Q250" s="2" t="s">
        <v>69</v>
      </c>
      <c r="R250" s="2" t="s">
        <v>70</v>
      </c>
      <c r="S250" s="2" t="s">
        <v>67</v>
      </c>
      <c r="T250" s="2" t="s">
        <v>1134</v>
      </c>
      <c r="U250" s="2" t="s">
        <v>57</v>
      </c>
      <c r="V250" s="4" t="n">
        <v>800000</v>
      </c>
      <c r="W250" s="5" t="n">
        <v>9.63</v>
      </c>
      <c r="X250" s="3" t="n">
        <v>132</v>
      </c>
      <c r="Y250" s="6" t="n">
        <v>46187</v>
      </c>
      <c r="Z250" s="6"/>
      <c r="AA250" s="6"/>
      <c r="AB250" s="4" t="n">
        <f aca="false">ROUND(PMT(W250/1200,X250,-V250),2)</f>
        <v>9849.15</v>
      </c>
      <c r="AC250" s="4" t="n">
        <v>928000</v>
      </c>
      <c r="AD250" s="3" t="n">
        <v>2</v>
      </c>
      <c r="AE250" s="4" t="n">
        <v>15300</v>
      </c>
      <c r="AF250" s="4" t="n">
        <v>6400</v>
      </c>
      <c r="AG250" s="3" t="n">
        <v>20</v>
      </c>
      <c r="AH250" s="4" t="n">
        <v>6600</v>
      </c>
      <c r="AI250" s="3" t="n">
        <v>605</v>
      </c>
      <c r="AJ250" s="7" t="n">
        <f aca="false">ROUND(AB250/I250,4)</f>
        <v>0.5969</v>
      </c>
      <c r="AK250" s="2" t="str">
        <f aca="false">IF(AND(AI250&gt;=750,AJ250&lt;=0.35),"Low",IF(AND(AI250&gt;=600,AJ250&lt;=0.5),"Medium","High"))</f>
        <v>High</v>
      </c>
      <c r="AL250" s="3" t="n">
        <v>1</v>
      </c>
      <c r="AM250" s="2" t="s">
        <v>58</v>
      </c>
      <c r="AN250" s="2"/>
      <c r="AO250" s="2" t="s">
        <v>127</v>
      </c>
      <c r="AP250" s="7" t="n">
        <v>0.343</v>
      </c>
    </row>
    <row r="251" customFormat="false" ht="15" hidden="false" customHeight="false" outlineLevel="0" collapsed="false">
      <c r="A251" s="2" t="s">
        <v>1135</v>
      </c>
      <c r="B251" s="2" t="s">
        <v>1136</v>
      </c>
      <c r="C251" s="2" t="s">
        <v>1137</v>
      </c>
      <c r="D251" s="2" t="s">
        <v>109</v>
      </c>
      <c r="E251" s="3" t="n">
        <v>43</v>
      </c>
      <c r="F251" s="2" t="s">
        <v>64</v>
      </c>
      <c r="G251" s="2"/>
      <c r="H251" s="2" t="s">
        <v>101</v>
      </c>
      <c r="I251" s="4" t="n">
        <v>53000</v>
      </c>
      <c r="J251" s="2" t="s">
        <v>78</v>
      </c>
      <c r="K251" s="3" t="n">
        <v>16</v>
      </c>
      <c r="L251" s="2" t="s">
        <v>92</v>
      </c>
      <c r="M251" s="2" t="s">
        <v>92</v>
      </c>
      <c r="N251" s="2" t="s">
        <v>140</v>
      </c>
      <c r="O251" s="3" t="n">
        <v>1</v>
      </c>
      <c r="P251" s="2" t="s">
        <v>169</v>
      </c>
      <c r="Q251" s="2" t="s">
        <v>170</v>
      </c>
      <c r="R251" s="2" t="s">
        <v>92</v>
      </c>
      <c r="S251" s="2" t="s">
        <v>92</v>
      </c>
      <c r="T251" s="2" t="s">
        <v>1138</v>
      </c>
      <c r="U251" s="2" t="s">
        <v>192</v>
      </c>
      <c r="V251" s="4" t="n">
        <v>899000</v>
      </c>
      <c r="W251" s="5" t="n">
        <v>12.54</v>
      </c>
      <c r="X251" s="3" t="n">
        <v>66</v>
      </c>
      <c r="Y251" s="6" t="n">
        <v>46185</v>
      </c>
      <c r="Z251" s="6" t="n">
        <v>46187</v>
      </c>
      <c r="AA251" s="6" t="n">
        <v>46188</v>
      </c>
      <c r="AB251" s="4" t="n">
        <f aca="false">ROUND(PMT(W251/1200,X251,-V251),2)</f>
        <v>18922.52</v>
      </c>
      <c r="AC251" s="4" t="n">
        <v>1319000</v>
      </c>
      <c r="AD251" s="3" t="n">
        <v>1</v>
      </c>
      <c r="AE251" s="4" t="n">
        <v>79200</v>
      </c>
      <c r="AF251" s="4" t="n">
        <v>19400</v>
      </c>
      <c r="AG251" s="3" t="n">
        <v>30</v>
      </c>
      <c r="AH251" s="4" t="n">
        <v>31900</v>
      </c>
      <c r="AI251" s="3" t="n">
        <v>704</v>
      </c>
      <c r="AJ251" s="7" t="n">
        <f aca="false">ROUND(AB251/I251,4)</f>
        <v>0.357</v>
      </c>
      <c r="AK251" s="2" t="str">
        <f aca="false">IF(AND(AI251&gt;=750,AJ251&lt;=0.35),"Low",IF(AND(AI251&gt;=600,AJ251&lt;=0.5),"Medium","High"))</f>
        <v>Medium</v>
      </c>
      <c r="AL251" s="3" t="n">
        <v>1</v>
      </c>
      <c r="AM251" s="2" t="s">
        <v>58</v>
      </c>
      <c r="AN251" s="2" t="s">
        <v>258</v>
      </c>
      <c r="AO251" s="2" t="s">
        <v>60</v>
      </c>
      <c r="AP251" s="7" t="n">
        <v>0.227</v>
      </c>
    </row>
    <row r="252" customFormat="false" ht="15" hidden="false" customHeight="false" outlineLevel="0" collapsed="false">
      <c r="A252" s="2" t="s">
        <v>1139</v>
      </c>
      <c r="B252" s="2" t="s">
        <v>1140</v>
      </c>
      <c r="C252" s="2" t="s">
        <v>1141</v>
      </c>
      <c r="D252" s="2" t="s">
        <v>45</v>
      </c>
      <c r="E252" s="3" t="n">
        <v>48</v>
      </c>
      <c r="F252" s="2" t="s">
        <v>175</v>
      </c>
      <c r="G252" s="2" t="s">
        <v>145</v>
      </c>
      <c r="H252" s="2" t="s">
        <v>77</v>
      </c>
      <c r="I252" s="4" t="n">
        <v>23000</v>
      </c>
      <c r="J252" s="2" t="s">
        <v>145</v>
      </c>
      <c r="K252" s="3" t="n">
        <v>28</v>
      </c>
      <c r="L252" s="2" t="s">
        <v>159</v>
      </c>
      <c r="M252" s="2" t="s">
        <v>159</v>
      </c>
      <c r="N252" s="2" t="s">
        <v>140</v>
      </c>
      <c r="O252" s="3" t="n">
        <v>0</v>
      </c>
      <c r="P252" s="2" t="s">
        <v>160</v>
      </c>
      <c r="Q252" s="2" t="s">
        <v>161</v>
      </c>
      <c r="R252" s="2" t="s">
        <v>159</v>
      </c>
      <c r="S252" s="2" t="s">
        <v>159</v>
      </c>
      <c r="T252" s="2" t="s">
        <v>1142</v>
      </c>
      <c r="U252" s="2" t="s">
        <v>72</v>
      </c>
      <c r="V252" s="4" t="n">
        <v>300000</v>
      </c>
      <c r="W252" s="5" t="n">
        <v>14.21</v>
      </c>
      <c r="X252" s="3" t="n">
        <v>18</v>
      </c>
      <c r="Y252" s="6" t="n">
        <v>46176</v>
      </c>
      <c r="Z252" s="6"/>
      <c r="AA252" s="6"/>
      <c r="AB252" s="4" t="n">
        <f aca="false">ROUND(PMT(W252/1200,X252,-V252),2)</f>
        <v>18604.09</v>
      </c>
      <c r="AC252" s="4" t="n">
        <v>357000</v>
      </c>
      <c r="AD252" s="3" t="n">
        <v>1</v>
      </c>
      <c r="AE252" s="4" t="n">
        <v>33600</v>
      </c>
      <c r="AF252" s="4" t="n">
        <v>19400</v>
      </c>
      <c r="AG252" s="3" t="n">
        <v>26</v>
      </c>
      <c r="AH252" s="4" t="n">
        <v>24400</v>
      </c>
      <c r="AI252" s="3" t="n">
        <v>710</v>
      </c>
      <c r="AJ252" s="7" t="n">
        <f aca="false">ROUND(AB252/I252,4)</f>
        <v>0.8089</v>
      </c>
      <c r="AK252" s="2" t="str">
        <f aca="false">IF(AND(AI252&gt;=750,AJ252&lt;=0.35),"Low",IF(AND(AI252&gt;=600,AJ252&lt;=0.5),"Medium","High"))</f>
        <v>High</v>
      </c>
      <c r="AL252" s="3" t="n">
        <v>3</v>
      </c>
      <c r="AM252" s="2" t="s">
        <v>58</v>
      </c>
      <c r="AN252" s="2"/>
      <c r="AO252" s="2" t="s">
        <v>134</v>
      </c>
      <c r="AP252" s="7" t="n">
        <v>0.237</v>
      </c>
    </row>
    <row r="253" customFormat="false" ht="15" hidden="false" customHeight="false" outlineLevel="0" collapsed="false">
      <c r="A253" s="2" t="s">
        <v>1143</v>
      </c>
      <c r="B253" s="2" t="s">
        <v>1144</v>
      </c>
      <c r="C253" s="2" t="s">
        <v>1145</v>
      </c>
      <c r="D253" s="2" t="s">
        <v>109</v>
      </c>
      <c r="E253" s="3" t="n">
        <v>33</v>
      </c>
      <c r="F253" s="2" t="s">
        <v>64</v>
      </c>
      <c r="G253" s="2" t="s">
        <v>166</v>
      </c>
      <c r="H253" s="2" t="s">
        <v>167</v>
      </c>
      <c r="I253" s="4" t="n">
        <v>187000</v>
      </c>
      <c r="J253" s="2" t="s">
        <v>145</v>
      </c>
      <c r="K253" s="3" t="n">
        <v>9</v>
      </c>
      <c r="L253" s="2" t="s">
        <v>231</v>
      </c>
      <c r="M253" s="2" t="s">
        <v>92</v>
      </c>
      <c r="N253" s="2" t="s">
        <v>81</v>
      </c>
      <c r="O253" s="3" t="n">
        <v>0</v>
      </c>
      <c r="P253" s="2" t="s">
        <v>229</v>
      </c>
      <c r="Q253" s="2" t="s">
        <v>230</v>
      </c>
      <c r="R253" s="2" t="s">
        <v>231</v>
      </c>
      <c r="S253" s="2" t="s">
        <v>92</v>
      </c>
      <c r="T253" s="2" t="s">
        <v>1146</v>
      </c>
      <c r="U253" s="2" t="s">
        <v>192</v>
      </c>
      <c r="V253" s="4" t="n">
        <v>1429000</v>
      </c>
      <c r="W253" s="5" t="n">
        <v>13.02</v>
      </c>
      <c r="X253" s="3" t="n">
        <v>24</v>
      </c>
      <c r="Y253" s="6" t="n">
        <v>46196</v>
      </c>
      <c r="Z253" s="6" t="n">
        <v>46198</v>
      </c>
      <c r="AA253" s="6" t="n">
        <v>46200</v>
      </c>
      <c r="AB253" s="4" t="n">
        <f aca="false">ROUND(PMT(W253/1200,X253,-V253),2)</f>
        <v>67950.69</v>
      </c>
      <c r="AC253" s="4" t="n">
        <v>1533000</v>
      </c>
      <c r="AD253" s="3" t="n">
        <v>0</v>
      </c>
      <c r="AE253" s="4" t="n">
        <v>622500</v>
      </c>
      <c r="AF253" s="4" t="n">
        <v>83700</v>
      </c>
      <c r="AG253" s="3" t="n">
        <v>40</v>
      </c>
      <c r="AH253" s="4" t="n">
        <v>106200</v>
      </c>
      <c r="AI253" s="3" t="n">
        <v>697</v>
      </c>
      <c r="AJ253" s="7" t="n">
        <f aca="false">ROUND(AB253/I253,4)</f>
        <v>0.3634</v>
      </c>
      <c r="AK253" s="2" t="str">
        <f aca="false">IF(AND(AI253&gt;=750,AJ253&lt;=0.35),"Low",IF(AND(AI253&gt;=600,AJ253&lt;=0.5),"Medium","High"))</f>
        <v>Medium</v>
      </c>
      <c r="AL253" s="3" t="n">
        <v>3</v>
      </c>
      <c r="AM253" s="2" t="s">
        <v>58</v>
      </c>
      <c r="AN253" s="2" t="s">
        <v>119</v>
      </c>
      <c r="AO253" s="2" t="s">
        <v>86</v>
      </c>
      <c r="AP253" s="7" t="n">
        <v>0.28</v>
      </c>
    </row>
    <row r="254" customFormat="false" ht="15" hidden="false" customHeight="false" outlineLevel="0" collapsed="false">
      <c r="A254" s="2" t="s">
        <v>1147</v>
      </c>
      <c r="B254" s="2" t="s">
        <v>1148</v>
      </c>
      <c r="C254" s="2" t="s">
        <v>1149</v>
      </c>
      <c r="D254" s="2" t="s">
        <v>109</v>
      </c>
      <c r="E254" s="3" t="n">
        <v>49</v>
      </c>
      <c r="F254" s="2" t="s">
        <v>175</v>
      </c>
      <c r="G254" s="2" t="s">
        <v>90</v>
      </c>
      <c r="H254" s="2" t="s">
        <v>48</v>
      </c>
      <c r="I254" s="4" t="n">
        <v>22000</v>
      </c>
      <c r="J254" s="2" t="s">
        <v>90</v>
      </c>
      <c r="K254" s="3" t="n">
        <v>22</v>
      </c>
      <c r="L254" s="2" t="s">
        <v>504</v>
      </c>
      <c r="M254" s="2" t="s">
        <v>51</v>
      </c>
      <c r="N254" s="2"/>
      <c r="O254" s="3" t="n">
        <v>0</v>
      </c>
      <c r="P254" s="2" t="s">
        <v>53</v>
      </c>
      <c r="Q254" s="2" t="s">
        <v>54</v>
      </c>
      <c r="R254" s="2" t="s">
        <v>55</v>
      </c>
      <c r="S254" s="2" t="s">
        <v>51</v>
      </c>
      <c r="T254" s="2" t="s">
        <v>1150</v>
      </c>
      <c r="U254" s="2" t="s">
        <v>180</v>
      </c>
      <c r="V254" s="4" t="n">
        <v>300000</v>
      </c>
      <c r="W254" s="5" t="n">
        <v>9.68</v>
      </c>
      <c r="X254" s="3" t="n">
        <v>24</v>
      </c>
      <c r="Y254" s="6" t="n">
        <v>46191</v>
      </c>
      <c r="Z254" s="6" t="n">
        <v>46200</v>
      </c>
      <c r="AA254" s="6" t="n">
        <v>46206</v>
      </c>
      <c r="AB254" s="4" t="n">
        <f aca="false">ROUND(PMT(W254/1200,X254,-V254),2)</f>
        <v>13799.21</v>
      </c>
      <c r="AC254" s="4" t="n">
        <v>336000</v>
      </c>
      <c r="AD254" s="3"/>
      <c r="AE254" s="4" t="n">
        <v>57300</v>
      </c>
      <c r="AF254" s="4" t="n">
        <v>25700</v>
      </c>
      <c r="AG254" s="3" t="n">
        <v>8</v>
      </c>
      <c r="AH254" s="4" t="n">
        <v>13000</v>
      </c>
      <c r="AI254" s="3" t="n">
        <v>841</v>
      </c>
      <c r="AJ254" s="7" t="n">
        <f aca="false">ROUND(AB254/I254,4)</f>
        <v>0.6272</v>
      </c>
      <c r="AK254" s="2" t="str">
        <f aca="false">IF(AND(AI254&gt;=750,AJ254&lt;=0.35),"Low",IF(AND(AI254&gt;=600,AJ254&lt;=0.5),"Medium","High"))</f>
        <v>High</v>
      </c>
      <c r="AL254" s="3" t="n">
        <v>0</v>
      </c>
      <c r="AM254" s="2" t="s">
        <v>58</v>
      </c>
      <c r="AN254" s="2" t="s">
        <v>59</v>
      </c>
      <c r="AO254" s="2" t="s">
        <v>60</v>
      </c>
      <c r="AP254" s="7" t="n">
        <v>0.133</v>
      </c>
    </row>
    <row r="255" customFormat="false" ht="15" hidden="false" customHeight="false" outlineLevel="0" collapsed="false">
      <c r="A255" s="2" t="s">
        <v>1151</v>
      </c>
      <c r="B255" s="2" t="s">
        <v>1152</v>
      </c>
      <c r="C255" s="2" t="s">
        <v>1153</v>
      </c>
      <c r="D255" s="2" t="s">
        <v>45</v>
      </c>
      <c r="E255" s="3" t="n">
        <v>32</v>
      </c>
      <c r="F255" s="2" t="s">
        <v>64</v>
      </c>
      <c r="G255" s="2" t="s">
        <v>154</v>
      </c>
      <c r="H255" s="2" t="s">
        <v>77</v>
      </c>
      <c r="I255" s="4" t="n">
        <v>36000</v>
      </c>
      <c r="J255" s="2" t="s">
        <v>145</v>
      </c>
      <c r="K255" s="3" t="n">
        <v>9</v>
      </c>
      <c r="L255" s="2" t="s">
        <v>211</v>
      </c>
      <c r="M255" s="2" t="s">
        <v>147</v>
      </c>
      <c r="N255" s="2"/>
      <c r="O255" s="3" t="n">
        <v>2</v>
      </c>
      <c r="P255" s="2" t="s">
        <v>209</v>
      </c>
      <c r="Q255" s="2" t="s">
        <v>210</v>
      </c>
      <c r="R255" s="2" t="s">
        <v>211</v>
      </c>
      <c r="S255" s="2" t="s">
        <v>147</v>
      </c>
      <c r="T255" s="2" t="s">
        <v>1154</v>
      </c>
      <c r="U255" s="2" t="s">
        <v>180</v>
      </c>
      <c r="V255" s="4" t="n">
        <v>393000</v>
      </c>
      <c r="W255" s="5" t="n">
        <v>12.3</v>
      </c>
      <c r="X255" s="3" t="n">
        <v>30</v>
      </c>
      <c r="Y255" s="6" t="n">
        <v>46196</v>
      </c>
      <c r="Z255" s="6"/>
      <c r="AA255" s="6"/>
      <c r="AB255" s="4" t="n">
        <f aca="false">ROUND(PMT(W255/1200,X255,-V255),2)</f>
        <v>15283.69</v>
      </c>
      <c r="AC255" s="4" t="n">
        <v>404000</v>
      </c>
      <c r="AD255" s="3" t="n">
        <v>0</v>
      </c>
      <c r="AE255" s="4" t="n">
        <v>66700</v>
      </c>
      <c r="AF255" s="4" t="n">
        <v>9400</v>
      </c>
      <c r="AG255" s="3" t="n">
        <v>36</v>
      </c>
      <c r="AH255" s="4" t="n">
        <v>15000</v>
      </c>
      <c r="AI255" s="3" t="n">
        <v>684</v>
      </c>
      <c r="AJ255" s="7" t="n">
        <f aca="false">ROUND(AB255/I255,4)</f>
        <v>0.4245</v>
      </c>
      <c r="AK255" s="2" t="str">
        <f aca="false">IF(AND(AI255&gt;=750,AJ255&lt;=0.35),"Low",IF(AND(AI255&gt;=600,AJ255&lt;=0.5),"Medium","High"))</f>
        <v>Medium</v>
      </c>
      <c r="AL255" s="3" t="n">
        <v>1</v>
      </c>
      <c r="AM255" s="2" t="s">
        <v>58</v>
      </c>
      <c r="AN255" s="2"/>
      <c r="AO255" s="2" t="s">
        <v>127</v>
      </c>
      <c r="AP255" s="7" t="n">
        <v>0.196</v>
      </c>
    </row>
    <row r="256" customFormat="false" ht="15" hidden="false" customHeight="false" outlineLevel="0" collapsed="false">
      <c r="A256" s="2" t="s">
        <v>1155</v>
      </c>
      <c r="B256" s="2" t="s">
        <v>1156</v>
      </c>
      <c r="C256" s="2" t="s">
        <v>1072</v>
      </c>
      <c r="D256" s="2" t="s">
        <v>45</v>
      </c>
      <c r="E256" s="3" t="n">
        <v>32</v>
      </c>
      <c r="F256" s="2" t="s">
        <v>64</v>
      </c>
      <c r="G256" s="2" t="s">
        <v>207</v>
      </c>
      <c r="H256" s="2" t="s">
        <v>48</v>
      </c>
      <c r="I256" s="4" t="n">
        <v>49000</v>
      </c>
      <c r="J256" s="2" t="s">
        <v>49</v>
      </c>
      <c r="K256" s="3" t="n">
        <v>10</v>
      </c>
      <c r="L256" s="2" t="s">
        <v>70</v>
      </c>
      <c r="M256" s="2" t="s">
        <v>67</v>
      </c>
      <c r="N256" s="2" t="s">
        <v>52</v>
      </c>
      <c r="O256" s="3" t="n">
        <v>1</v>
      </c>
      <c r="P256" s="2" t="s">
        <v>93</v>
      </c>
      <c r="Q256" s="2" t="s">
        <v>94</v>
      </c>
      <c r="R256" s="2" t="s">
        <v>95</v>
      </c>
      <c r="S256" s="2" t="s">
        <v>92</v>
      </c>
      <c r="T256" s="2" t="s">
        <v>1157</v>
      </c>
      <c r="U256" s="2" t="s">
        <v>57</v>
      </c>
      <c r="V256" s="4" t="n">
        <v>844000</v>
      </c>
      <c r="W256" s="5" t="n">
        <v>11.44</v>
      </c>
      <c r="X256" s="3" t="n">
        <v>108</v>
      </c>
      <c r="Y256" s="6" t="n">
        <v>46192</v>
      </c>
      <c r="Z256" s="6"/>
      <c r="AA256" s="6"/>
      <c r="AB256" s="4" t="n">
        <f aca="false">ROUND(PMT(W256/1200,X256,-V256),2)</f>
        <v>12550.43</v>
      </c>
      <c r="AC256" s="4" t="n">
        <v>1157000</v>
      </c>
      <c r="AD256" s="3" t="n">
        <v>0</v>
      </c>
      <c r="AE256" s="4" t="n">
        <v>119500</v>
      </c>
      <c r="AF256" s="4" t="n">
        <v>43900</v>
      </c>
      <c r="AG256" s="3" t="n">
        <v>29</v>
      </c>
      <c r="AH256" s="4" t="n">
        <v>22400</v>
      </c>
      <c r="AI256" s="3" t="n">
        <v>682</v>
      </c>
      <c r="AJ256" s="7" t="n">
        <f aca="false">ROUND(AB256/I256,4)</f>
        <v>0.2561</v>
      </c>
      <c r="AK256" s="2" t="str">
        <f aca="false">IF(AND(AI256&gt;=750,AJ256&lt;=0.35),"Low",IF(AND(AI256&gt;=600,AJ256&lt;=0.5),"Medium","High"))</f>
        <v>Medium</v>
      </c>
      <c r="AL256" s="3" t="n">
        <v>1</v>
      </c>
      <c r="AM256" s="2" t="s">
        <v>58</v>
      </c>
      <c r="AN256" s="2"/>
      <c r="AO256" s="2" t="s">
        <v>134</v>
      </c>
      <c r="AP256" s="7" t="n">
        <v>0.294</v>
      </c>
    </row>
    <row r="257" customFormat="false" ht="15" hidden="false" customHeight="false" outlineLevel="0" collapsed="false">
      <c r="A257" s="2" t="s">
        <v>1158</v>
      </c>
      <c r="B257" s="2" t="s">
        <v>1159</v>
      </c>
      <c r="C257" s="2" t="s">
        <v>1160</v>
      </c>
      <c r="D257" s="2" t="s">
        <v>45</v>
      </c>
      <c r="E257" s="3" t="n">
        <v>25</v>
      </c>
      <c r="F257" s="2" t="s">
        <v>64</v>
      </c>
      <c r="G257" s="2" t="s">
        <v>65</v>
      </c>
      <c r="H257" s="2" t="s">
        <v>101</v>
      </c>
      <c r="I257" s="4" t="n">
        <v>29500</v>
      </c>
      <c r="J257" s="2" t="s">
        <v>49</v>
      </c>
      <c r="K257" s="3" t="n">
        <v>6</v>
      </c>
      <c r="L257" s="2" t="s">
        <v>70</v>
      </c>
      <c r="M257" s="2" t="s">
        <v>67</v>
      </c>
      <c r="N257" s="2" t="s">
        <v>81</v>
      </c>
      <c r="O257" s="3" t="n">
        <v>3</v>
      </c>
      <c r="P257" s="2" t="s">
        <v>68</v>
      </c>
      <c r="Q257" s="2" t="s">
        <v>69</v>
      </c>
      <c r="R257" s="2" t="s">
        <v>70</v>
      </c>
      <c r="S257" s="2" t="s">
        <v>67</v>
      </c>
      <c r="T257" s="2" t="s">
        <v>1161</v>
      </c>
      <c r="U257" s="2" t="s">
        <v>180</v>
      </c>
      <c r="V257" s="4" t="n">
        <v>300000</v>
      </c>
      <c r="W257" s="5" t="n">
        <v>13.26</v>
      </c>
      <c r="X257" s="3" t="n">
        <v>36</v>
      </c>
      <c r="Y257" s="6" t="n">
        <v>46187</v>
      </c>
      <c r="Z257" s="6" t="n">
        <v>46189</v>
      </c>
      <c r="AA257" s="6" t="n">
        <v>46191</v>
      </c>
      <c r="AB257" s="4" t="n">
        <f aca="false">ROUND(PMT(W257/1200,X257,-V257),2)</f>
        <v>10145.8</v>
      </c>
      <c r="AC257" s="4" t="n">
        <v>351000</v>
      </c>
      <c r="AD257" s="3" t="n">
        <v>2</v>
      </c>
      <c r="AE257" s="4" t="n">
        <v>65200</v>
      </c>
      <c r="AF257" s="4" t="n">
        <v>18000</v>
      </c>
      <c r="AG257" s="3" t="n">
        <v>35</v>
      </c>
      <c r="AH257" s="4" t="n">
        <v>30300</v>
      </c>
      <c r="AI257" s="3" t="n">
        <v>667</v>
      </c>
      <c r="AJ257" s="7" t="n">
        <f aca="false">ROUND(AB257/I257,4)</f>
        <v>0.3439</v>
      </c>
      <c r="AK257" s="2" t="str">
        <f aca="false">IF(AND(AI257&gt;=750,AJ257&lt;=0.35),"Low",IF(AND(AI257&gt;=600,AJ257&lt;=0.5),"Medium","High"))</f>
        <v>Medium</v>
      </c>
      <c r="AL257" s="3" t="n">
        <v>1</v>
      </c>
      <c r="AM257" s="2" t="s">
        <v>58</v>
      </c>
      <c r="AN257" s="2" t="s">
        <v>119</v>
      </c>
      <c r="AO257" s="2" t="s">
        <v>60</v>
      </c>
      <c r="AP257" s="7" t="n">
        <v>0.265</v>
      </c>
    </row>
    <row r="258" customFormat="false" ht="15" hidden="false" customHeight="false" outlineLevel="0" collapsed="false">
      <c r="A258" s="2" t="s">
        <v>1162</v>
      </c>
      <c r="B258" s="2" t="s">
        <v>1163</v>
      </c>
      <c r="C258" s="2" t="s">
        <v>1164</v>
      </c>
      <c r="D258" s="2" t="s">
        <v>45</v>
      </c>
      <c r="E258" s="3" t="n">
        <v>54</v>
      </c>
      <c r="F258" s="2" t="s">
        <v>64</v>
      </c>
      <c r="G258" s="2" t="s">
        <v>166</v>
      </c>
      <c r="H258" s="2" t="s">
        <v>48</v>
      </c>
      <c r="I258" s="4" t="n">
        <v>178500</v>
      </c>
      <c r="J258" s="2" t="s">
        <v>145</v>
      </c>
      <c r="K258" s="3" t="n">
        <v>34</v>
      </c>
      <c r="L258" s="2" t="s">
        <v>92</v>
      </c>
      <c r="M258" s="2" t="s">
        <v>92</v>
      </c>
      <c r="N258" s="2" t="s">
        <v>140</v>
      </c>
      <c r="O258" s="3" t="n">
        <v>2</v>
      </c>
      <c r="P258" s="2" t="s">
        <v>169</v>
      </c>
      <c r="Q258" s="2" t="s">
        <v>170</v>
      </c>
      <c r="R258" s="2" t="s">
        <v>92</v>
      </c>
      <c r="S258" s="2" t="s">
        <v>92</v>
      </c>
      <c r="T258" s="2" t="s">
        <v>1165</v>
      </c>
      <c r="U258" s="2" t="s">
        <v>85</v>
      </c>
      <c r="V258" s="4" t="n">
        <v>401000</v>
      </c>
      <c r="W258" s="5" t="n">
        <v>8.26</v>
      </c>
      <c r="X258" s="3" t="n">
        <v>6</v>
      </c>
      <c r="Y258" s="6" t="n">
        <v>46198</v>
      </c>
      <c r="Z258" s="6" t="n">
        <v>46207</v>
      </c>
      <c r="AA258" s="6" t="n">
        <v>46208</v>
      </c>
      <c r="AB258" s="4" t="n">
        <f aca="false">ROUND(PMT(W258/1200,X258,-V258),2)</f>
        <v>68452.66</v>
      </c>
      <c r="AC258" s="4"/>
      <c r="AD258" s="3" t="n">
        <v>1</v>
      </c>
      <c r="AE258" s="4" t="n">
        <v>370600</v>
      </c>
      <c r="AF258" s="4" t="n">
        <v>175800</v>
      </c>
      <c r="AG258" s="3" t="n">
        <v>14</v>
      </c>
      <c r="AH258" s="4" t="n">
        <v>104500</v>
      </c>
      <c r="AI258" s="3" t="n">
        <v>870</v>
      </c>
      <c r="AJ258" s="7" t="n">
        <f aca="false">ROUND(AB258/I258,4)</f>
        <v>0.3835</v>
      </c>
      <c r="AK258" s="2" t="str">
        <f aca="false">IF(AND(AI258&gt;=750,AJ258&lt;=0.35),"Low",IF(AND(AI258&gt;=600,AJ258&lt;=0.5),"Medium","High"))</f>
        <v>Medium</v>
      </c>
      <c r="AL258" s="3" t="n">
        <v>1</v>
      </c>
      <c r="AM258" s="2" t="s">
        <v>58</v>
      </c>
      <c r="AN258" s="2" t="s">
        <v>59</v>
      </c>
      <c r="AO258" s="2" t="s">
        <v>60</v>
      </c>
      <c r="AP258" s="7" t="n">
        <v>0.149</v>
      </c>
    </row>
    <row r="259" customFormat="false" ht="15" hidden="false" customHeight="false" outlineLevel="0" collapsed="false">
      <c r="A259" s="2" t="s">
        <v>1166</v>
      </c>
      <c r="B259" s="2" t="s">
        <v>1167</v>
      </c>
      <c r="C259" s="2" t="s">
        <v>1168</v>
      </c>
      <c r="D259" s="2" t="s">
        <v>45</v>
      </c>
      <c r="E259" s="3" t="n">
        <v>25</v>
      </c>
      <c r="F259" s="2" t="s">
        <v>64</v>
      </c>
      <c r="G259" s="2" t="s">
        <v>145</v>
      </c>
      <c r="H259" s="2" t="s">
        <v>48</v>
      </c>
      <c r="I259" s="4" t="n">
        <v>49500</v>
      </c>
      <c r="J259" s="2" t="s">
        <v>145</v>
      </c>
      <c r="K259" s="3" t="n">
        <v>4</v>
      </c>
      <c r="L259" s="2" t="s">
        <v>139</v>
      </c>
      <c r="M259" s="2" t="s">
        <v>139</v>
      </c>
      <c r="N259" s="2" t="s">
        <v>140</v>
      </c>
      <c r="O259" s="3" t="n">
        <v>2</v>
      </c>
      <c r="P259" s="2" t="s">
        <v>197</v>
      </c>
      <c r="Q259" s="2" t="s">
        <v>198</v>
      </c>
      <c r="R259" s="2" t="s">
        <v>139</v>
      </c>
      <c r="S259" s="2" t="s">
        <v>139</v>
      </c>
      <c r="T259" s="2" t="s">
        <v>1169</v>
      </c>
      <c r="U259" s="2" t="s">
        <v>180</v>
      </c>
      <c r="V259" s="4" t="n">
        <v>1032000</v>
      </c>
      <c r="W259" s="5" t="n">
        <v>13.36</v>
      </c>
      <c r="X259" s="3" t="n">
        <v>54</v>
      </c>
      <c r="Y259" s="6" t="n">
        <v>46192</v>
      </c>
      <c r="Z259" s="6" t="n">
        <v>46202</v>
      </c>
      <c r="AA259" s="6" t="n">
        <v>46208</v>
      </c>
      <c r="AB259" s="4" t="n">
        <f aca="false">ROUND(PMT(W259/1200,X259,-V259),2)</f>
        <v>25531.17</v>
      </c>
      <c r="AC259" s="4" t="n">
        <v>1526000</v>
      </c>
      <c r="AD259" s="3" t="n">
        <v>0</v>
      </c>
      <c r="AE259" s="4" t="n">
        <v>180300</v>
      </c>
      <c r="AF259" s="4" t="n">
        <v>65400</v>
      </c>
      <c r="AG259" s="3" t="n">
        <v>2</v>
      </c>
      <c r="AH259" s="4" t="n">
        <v>42900</v>
      </c>
      <c r="AI259" s="3" t="n">
        <v>704</v>
      </c>
      <c r="AJ259" s="7" t="n">
        <f aca="false">ROUND(AB259/I259,4)</f>
        <v>0.5158</v>
      </c>
      <c r="AK259" s="2" t="str">
        <f aca="false">IF(AND(AI259&gt;=750,AJ259&lt;=0.35),"Low",IF(AND(AI259&gt;=600,AJ259&lt;=0.5),"Medium","High"))</f>
        <v>High</v>
      </c>
      <c r="AL259" s="3" t="n">
        <v>0</v>
      </c>
      <c r="AM259" s="2" t="s">
        <v>58</v>
      </c>
      <c r="AN259" s="2" t="s">
        <v>119</v>
      </c>
      <c r="AO259" s="2" t="s">
        <v>60</v>
      </c>
      <c r="AP259" s="7" t="n">
        <v>0.184</v>
      </c>
    </row>
    <row r="260" customFormat="false" ht="15" hidden="false" customHeight="false" outlineLevel="0" collapsed="false">
      <c r="A260" s="2" t="s">
        <v>1170</v>
      </c>
      <c r="B260" s="2" t="s">
        <v>1171</v>
      </c>
      <c r="C260" s="2" t="s">
        <v>1172</v>
      </c>
      <c r="D260" s="2" t="s">
        <v>109</v>
      </c>
      <c r="E260" s="3" t="n">
        <v>34</v>
      </c>
      <c r="F260" s="2" t="s">
        <v>64</v>
      </c>
      <c r="G260" s="2" t="s">
        <v>176</v>
      </c>
      <c r="H260" s="2" t="s">
        <v>48</v>
      </c>
      <c r="I260" s="4" t="n">
        <v>51500</v>
      </c>
      <c r="J260" s="2" t="s">
        <v>177</v>
      </c>
      <c r="K260" s="3" t="n">
        <v>14</v>
      </c>
      <c r="L260" s="2" t="s">
        <v>139</v>
      </c>
      <c r="M260" s="2" t="s">
        <v>139</v>
      </c>
      <c r="N260" s="2"/>
      <c r="O260" s="3" t="n">
        <v>0</v>
      </c>
      <c r="P260" s="2" t="s">
        <v>197</v>
      </c>
      <c r="Q260" s="2" t="s">
        <v>198</v>
      </c>
      <c r="R260" s="2" t="s">
        <v>139</v>
      </c>
      <c r="S260" s="2" t="s">
        <v>139</v>
      </c>
      <c r="T260" s="2" t="s">
        <v>1173</v>
      </c>
      <c r="U260" s="2" t="s">
        <v>192</v>
      </c>
      <c r="V260" s="4" t="n">
        <v>767000</v>
      </c>
      <c r="W260" s="5" t="n">
        <v>13.15</v>
      </c>
      <c r="X260" s="3" t="n">
        <v>54</v>
      </c>
      <c r="Y260" s="6" t="n">
        <v>46199</v>
      </c>
      <c r="Z260" s="6" t="n">
        <v>46202</v>
      </c>
      <c r="AA260" s="6" t="n">
        <v>46206</v>
      </c>
      <c r="AB260" s="4" t="n">
        <f aca="false">ROUND(PMT(W260/1200,X260,-V260),2)</f>
        <v>18893.77</v>
      </c>
      <c r="AC260" s="4" t="n">
        <v>1047000</v>
      </c>
      <c r="AD260" s="3" t="n">
        <v>0</v>
      </c>
      <c r="AE260" s="4" t="n">
        <v>142600</v>
      </c>
      <c r="AF260" s="4" t="n">
        <v>19100</v>
      </c>
      <c r="AG260" s="3"/>
      <c r="AH260" s="4" t="n">
        <v>52400</v>
      </c>
      <c r="AI260" s="3" t="n">
        <v>804</v>
      </c>
      <c r="AJ260" s="7" t="n">
        <f aca="false">ROUND(AB260/I260,4)</f>
        <v>0.3669</v>
      </c>
      <c r="AK260" s="2" t="str">
        <f aca="false">IF(AND(AI260&gt;=750,AJ260&lt;=0.35),"Low",IF(AND(AI260&gt;=600,AJ260&lt;=0.5),"Medium","High"))</f>
        <v>Medium</v>
      </c>
      <c r="AL260" s="3" t="n">
        <v>1</v>
      </c>
      <c r="AM260" s="2" t="s">
        <v>58</v>
      </c>
      <c r="AN260" s="2" t="s">
        <v>59</v>
      </c>
      <c r="AO260" s="2" t="s">
        <v>60</v>
      </c>
      <c r="AP260" s="7" t="n">
        <v>0.068</v>
      </c>
    </row>
    <row r="261" customFormat="false" ht="15" hidden="false" customHeight="false" outlineLevel="0" collapsed="false">
      <c r="A261" s="2" t="s">
        <v>1174</v>
      </c>
      <c r="B261" s="2" t="s">
        <v>1175</v>
      </c>
      <c r="C261" s="2" t="s">
        <v>776</v>
      </c>
      <c r="D261" s="2" t="s">
        <v>109</v>
      </c>
      <c r="E261" s="3" t="n">
        <v>34</v>
      </c>
      <c r="F261" s="2" t="s">
        <v>64</v>
      </c>
      <c r="G261" s="2" t="s">
        <v>207</v>
      </c>
      <c r="H261" s="2" t="s">
        <v>48</v>
      </c>
      <c r="I261" s="4" t="n">
        <v>44000</v>
      </c>
      <c r="J261" s="2" t="s">
        <v>49</v>
      </c>
      <c r="K261" s="3" t="n">
        <v>14</v>
      </c>
      <c r="L261" s="2" t="s">
        <v>70</v>
      </c>
      <c r="M261" s="2" t="s">
        <v>67</v>
      </c>
      <c r="N261" s="2" t="s">
        <v>140</v>
      </c>
      <c r="O261" s="3" t="n">
        <v>2</v>
      </c>
      <c r="P261" s="2" t="s">
        <v>103</v>
      </c>
      <c r="Q261" s="2" t="s">
        <v>104</v>
      </c>
      <c r="R261" s="2" t="s">
        <v>67</v>
      </c>
      <c r="S261" s="2" t="s">
        <v>67</v>
      </c>
      <c r="T261" s="2" t="s">
        <v>1176</v>
      </c>
      <c r="U261" s="2" t="s">
        <v>97</v>
      </c>
      <c r="V261" s="4" t="n">
        <v>746000</v>
      </c>
      <c r="W261" s="5" t="n">
        <v>15.43</v>
      </c>
      <c r="X261" s="3" t="n">
        <v>54</v>
      </c>
      <c r="Y261" s="6" t="n">
        <v>46174</v>
      </c>
      <c r="Z261" s="6" t="n">
        <v>46183</v>
      </c>
      <c r="AA261" s="6" t="n">
        <v>46185</v>
      </c>
      <c r="AB261" s="4" t="n">
        <f aca="false">ROUND(PMT(W261/1200,X261,-V261),2)</f>
        <v>19246.77</v>
      </c>
      <c r="AC261" s="4" t="n">
        <v>0</v>
      </c>
      <c r="AD261" s="3" t="n">
        <v>0</v>
      </c>
      <c r="AE261" s="4" t="n">
        <v>47500</v>
      </c>
      <c r="AF261" s="4" t="n">
        <v>21500</v>
      </c>
      <c r="AG261" s="3" t="n">
        <v>10</v>
      </c>
      <c r="AH261" s="4" t="n">
        <v>32000</v>
      </c>
      <c r="AI261" s="3" t="n">
        <v>680</v>
      </c>
      <c r="AJ261" s="7" t="n">
        <f aca="false">ROUND(AB261/I261,4)</f>
        <v>0.4374</v>
      </c>
      <c r="AK261" s="2" t="str">
        <f aca="false">IF(AND(AI261&gt;=750,AJ261&lt;=0.35),"Low",IF(AND(AI261&gt;=600,AJ261&lt;=0.5),"Medium","High"))</f>
        <v>Medium</v>
      </c>
      <c r="AL261" s="3" t="n">
        <v>1</v>
      </c>
      <c r="AM261" s="2" t="s">
        <v>58</v>
      </c>
      <c r="AN261" s="2" t="s">
        <v>59</v>
      </c>
      <c r="AO261" s="2" t="s">
        <v>60</v>
      </c>
      <c r="AP261" s="7" t="n">
        <v>0.245</v>
      </c>
    </row>
    <row r="262" customFormat="false" ht="15" hidden="false" customHeight="false" outlineLevel="0" collapsed="false">
      <c r="A262" s="2" t="s">
        <v>1177</v>
      </c>
      <c r="B262" s="2" t="s">
        <v>1178</v>
      </c>
      <c r="C262" s="2" t="s">
        <v>1179</v>
      </c>
      <c r="D262" s="2" t="s">
        <v>109</v>
      </c>
      <c r="E262" s="3" t="n">
        <v>25</v>
      </c>
      <c r="F262" s="2" t="s">
        <v>64</v>
      </c>
      <c r="G262" s="2" t="s">
        <v>47</v>
      </c>
      <c r="H262" s="2" t="s">
        <v>48</v>
      </c>
      <c r="I262" s="4" t="n">
        <v>97000</v>
      </c>
      <c r="J262" s="2" t="s">
        <v>49</v>
      </c>
      <c r="K262" s="3" t="n">
        <v>2</v>
      </c>
      <c r="L262" s="2" t="s">
        <v>95</v>
      </c>
      <c r="M262" s="2" t="s">
        <v>92</v>
      </c>
      <c r="N262" s="2" t="s">
        <v>52</v>
      </c>
      <c r="O262" s="3" t="n">
        <v>1</v>
      </c>
      <c r="P262" s="2" t="s">
        <v>93</v>
      </c>
      <c r="Q262" s="2" t="s">
        <v>94</v>
      </c>
      <c r="R262" s="2" t="s">
        <v>95</v>
      </c>
      <c r="S262" s="2" t="s">
        <v>92</v>
      </c>
      <c r="T262" s="2" t="s">
        <v>1180</v>
      </c>
      <c r="U262" s="2" t="s">
        <v>57</v>
      </c>
      <c r="V262" s="4" t="n">
        <v>3106000</v>
      </c>
      <c r="W262" s="5" t="n">
        <v>11.06</v>
      </c>
      <c r="X262" s="3" t="n">
        <v>234</v>
      </c>
      <c r="Y262" s="6" t="n">
        <v>46182</v>
      </c>
      <c r="Z262" s="6" t="n">
        <v>46183</v>
      </c>
      <c r="AA262" s="6" t="n">
        <v>46184</v>
      </c>
      <c r="AB262" s="4" t="n">
        <f aca="false">ROUND(PMT(W262/1200,X262,-V262),2)</f>
        <v>32414.8</v>
      </c>
      <c r="AC262" s="4" t="n">
        <v>4551000</v>
      </c>
      <c r="AD262" s="3" t="n">
        <v>0</v>
      </c>
      <c r="AE262" s="4" t="n">
        <v>66400</v>
      </c>
      <c r="AF262" s="4" t="n">
        <v>30700</v>
      </c>
      <c r="AG262" s="3" t="n">
        <v>30</v>
      </c>
      <c r="AH262" s="4" t="n">
        <v>38500</v>
      </c>
      <c r="AI262" s="3" t="n">
        <v>818</v>
      </c>
      <c r="AJ262" s="7" t="n">
        <f aca="false">ROUND(AB262/I262,4)</f>
        <v>0.3342</v>
      </c>
      <c r="AK262" s="2" t="str">
        <f aca="false">IF(AND(AI262&gt;=750,AJ262&lt;=0.35),"Low",IF(AND(AI262&gt;=600,AJ262&lt;=0.5),"Medium","High"))</f>
        <v>Low</v>
      </c>
      <c r="AL262" s="3" t="n">
        <v>1</v>
      </c>
      <c r="AM262" s="2" t="s">
        <v>58</v>
      </c>
      <c r="AN262" s="2" t="s">
        <v>59</v>
      </c>
      <c r="AO262" s="2" t="s">
        <v>60</v>
      </c>
      <c r="AP262" s="7" t="n">
        <v>0.062</v>
      </c>
    </row>
    <row r="263" customFormat="false" ht="15" hidden="false" customHeight="false" outlineLevel="0" collapsed="false">
      <c r="A263" s="2" t="s">
        <v>1181</v>
      </c>
      <c r="B263" s="2" t="s">
        <v>1182</v>
      </c>
      <c r="C263" s="2" t="s">
        <v>1183</v>
      </c>
      <c r="D263" s="2" t="s">
        <v>45</v>
      </c>
      <c r="E263" s="3" t="n">
        <v>41</v>
      </c>
      <c r="F263" s="2" t="s">
        <v>64</v>
      </c>
      <c r="G263" s="2" t="s">
        <v>90</v>
      </c>
      <c r="H263" s="2" t="s">
        <v>123</v>
      </c>
      <c r="I263" s="4" t="n">
        <v>11500</v>
      </c>
      <c r="J263" s="2" t="s">
        <v>90</v>
      </c>
      <c r="K263" s="3" t="n">
        <v>15</v>
      </c>
      <c r="L263" s="2" t="s">
        <v>327</v>
      </c>
      <c r="M263" s="2" t="s">
        <v>92</v>
      </c>
      <c r="N263" s="2" t="s">
        <v>81</v>
      </c>
      <c r="O263" s="3" t="n">
        <v>2</v>
      </c>
      <c r="P263" s="2" t="s">
        <v>169</v>
      </c>
      <c r="Q263" s="2" t="s">
        <v>170</v>
      </c>
      <c r="R263" s="2" t="s">
        <v>92</v>
      </c>
      <c r="S263" s="2" t="s">
        <v>92</v>
      </c>
      <c r="T263" s="2" t="s">
        <v>1184</v>
      </c>
      <c r="U263" s="2" t="s">
        <v>118</v>
      </c>
      <c r="V263" s="4" t="n">
        <v>191000</v>
      </c>
      <c r="W263" s="5" t="n">
        <v>7.98</v>
      </c>
      <c r="X263" s="3" t="n">
        <v>60</v>
      </c>
      <c r="Y263" s="6" t="n">
        <v>46190</v>
      </c>
      <c r="Z263" s="6"/>
      <c r="AA263" s="6"/>
      <c r="AB263" s="4" t="n">
        <f aca="false">ROUND(PMT(W263/1200,X263,-V263),2)</f>
        <v>3870.96</v>
      </c>
      <c r="AC263" s="4" t="n">
        <v>0</v>
      </c>
      <c r="AD263" s="3"/>
      <c r="AE263" s="4" t="n">
        <v>25500</v>
      </c>
      <c r="AF263" s="4" t="n">
        <v>9300</v>
      </c>
      <c r="AG263" s="3" t="n">
        <v>50</v>
      </c>
      <c r="AH263" s="4" t="n">
        <v>6500</v>
      </c>
      <c r="AI263" s="3" t="n">
        <v>739</v>
      </c>
      <c r="AJ263" s="7" t="n">
        <f aca="false">ROUND(AB263/I263,4)</f>
        <v>0.3366</v>
      </c>
      <c r="AK263" s="2" t="str">
        <f aca="false">IF(AND(AI263&gt;=750,AJ263&lt;=0.35),"Low",IF(AND(AI263&gt;=600,AJ263&lt;=0.5),"Medium","High"))</f>
        <v>Medium</v>
      </c>
      <c r="AL263" s="3" t="n">
        <v>3</v>
      </c>
      <c r="AM263" s="2" t="s">
        <v>58</v>
      </c>
      <c r="AN263" s="2"/>
      <c r="AO263" s="2" t="s">
        <v>134</v>
      </c>
      <c r="AP263" s="7" t="n">
        <v>0.285</v>
      </c>
    </row>
    <row r="264" customFormat="false" ht="15" hidden="false" customHeight="false" outlineLevel="0" collapsed="false">
      <c r="A264" s="2" t="s">
        <v>1185</v>
      </c>
      <c r="B264" s="2" t="s">
        <v>1186</v>
      </c>
      <c r="C264" s="2" t="s">
        <v>1187</v>
      </c>
      <c r="D264" s="2" t="s">
        <v>45</v>
      </c>
      <c r="E264" s="3" t="n">
        <v>22</v>
      </c>
      <c r="F264" s="2" t="s">
        <v>64</v>
      </c>
      <c r="G264" s="2" t="s">
        <v>145</v>
      </c>
      <c r="H264" s="2" t="s">
        <v>77</v>
      </c>
      <c r="I264" s="4" t="n">
        <v>32500</v>
      </c>
      <c r="J264" s="2" t="s">
        <v>145</v>
      </c>
      <c r="K264" s="3" t="n">
        <v>0</v>
      </c>
      <c r="L264" s="2" t="s">
        <v>188</v>
      </c>
      <c r="M264" s="2" t="s">
        <v>51</v>
      </c>
      <c r="N264" s="2"/>
      <c r="O264" s="3" t="n">
        <v>1</v>
      </c>
      <c r="P264" s="2" t="s">
        <v>189</v>
      </c>
      <c r="Q264" s="2" t="s">
        <v>190</v>
      </c>
      <c r="R264" s="2" t="s">
        <v>188</v>
      </c>
      <c r="S264" s="2" t="s">
        <v>51</v>
      </c>
      <c r="T264" s="2" t="s">
        <v>1188</v>
      </c>
      <c r="U264" s="2" t="s">
        <v>85</v>
      </c>
      <c r="V264" s="4" t="n">
        <v>157000</v>
      </c>
      <c r="W264" s="5" t="n">
        <v>7.88</v>
      </c>
      <c r="X264" s="3" t="n">
        <v>24</v>
      </c>
      <c r="Y264" s="6" t="n">
        <v>46199</v>
      </c>
      <c r="Z264" s="6" t="n">
        <v>46204</v>
      </c>
      <c r="AA264" s="6" t="n">
        <v>46208</v>
      </c>
      <c r="AB264" s="4" t="n">
        <f aca="false">ROUND(PMT(W264/1200,X264,-V264),2)</f>
        <v>7092.1</v>
      </c>
      <c r="AC264" s="4" t="n">
        <v>0</v>
      </c>
      <c r="AD264" s="3" t="n">
        <v>0</v>
      </c>
      <c r="AE264" s="4"/>
      <c r="AF264" s="4" t="n">
        <v>42600</v>
      </c>
      <c r="AG264" s="3" t="n">
        <v>25</v>
      </c>
      <c r="AH264" s="4" t="n">
        <v>18300</v>
      </c>
      <c r="AI264" s="3" t="n">
        <v>880</v>
      </c>
      <c r="AJ264" s="7" t="n">
        <f aca="false">ROUND(AB264/I264,4)</f>
        <v>0.2182</v>
      </c>
      <c r="AK264" s="2" t="str">
        <f aca="false">IF(AND(AI264&gt;=750,AJ264&lt;=0.35),"Low",IF(AND(AI264&gt;=600,AJ264&lt;=0.5),"Medium","High"))</f>
        <v>Low</v>
      </c>
      <c r="AL264" s="3" t="n">
        <v>0</v>
      </c>
      <c r="AM264" s="2" t="s">
        <v>58</v>
      </c>
      <c r="AN264" s="2" t="s">
        <v>119</v>
      </c>
      <c r="AO264" s="2" t="s">
        <v>60</v>
      </c>
      <c r="AP264" s="7" t="n">
        <v>0.08</v>
      </c>
    </row>
    <row r="265" customFormat="false" ht="15" hidden="false" customHeight="false" outlineLevel="0" collapsed="false">
      <c r="A265" s="2" t="s">
        <v>1189</v>
      </c>
      <c r="B265" s="2" t="s">
        <v>1190</v>
      </c>
      <c r="C265" s="2" t="s">
        <v>1191</v>
      </c>
      <c r="D265" s="2" t="s">
        <v>45</v>
      </c>
      <c r="E265" s="3" t="n">
        <v>21</v>
      </c>
      <c r="F265" s="2" t="s">
        <v>64</v>
      </c>
      <c r="G265" s="2" t="s">
        <v>90</v>
      </c>
      <c r="H265" s="2" t="s">
        <v>77</v>
      </c>
      <c r="I265" s="4" t="n">
        <v>18000</v>
      </c>
      <c r="J265" s="2" t="s">
        <v>90</v>
      </c>
      <c r="K265" s="3" t="n">
        <v>0</v>
      </c>
      <c r="L265" s="2" t="s">
        <v>556</v>
      </c>
      <c r="M265" s="2" t="s">
        <v>147</v>
      </c>
      <c r="N265" s="2" t="s">
        <v>140</v>
      </c>
      <c r="O265" s="3" t="n">
        <v>1</v>
      </c>
      <c r="P265" s="2" t="s">
        <v>148</v>
      </c>
      <c r="Q265" s="2" t="s">
        <v>149</v>
      </c>
      <c r="R265" s="2" t="s">
        <v>147</v>
      </c>
      <c r="S265" s="2" t="s">
        <v>147</v>
      </c>
      <c r="T265" s="2" t="s">
        <v>1192</v>
      </c>
      <c r="U265" s="2" t="s">
        <v>118</v>
      </c>
      <c r="V265" s="4" t="n">
        <v>223000</v>
      </c>
      <c r="W265" s="5" t="n">
        <v>9.19</v>
      </c>
      <c r="X265" s="3" t="n">
        <v>42</v>
      </c>
      <c r="Y265" s="6" t="n">
        <v>46193</v>
      </c>
      <c r="Z265" s="6" t="n">
        <v>46202</v>
      </c>
      <c r="AA265" s="6" t="n">
        <v>46204</v>
      </c>
      <c r="AB265" s="4" t="n">
        <f aca="false">ROUND(PMT(W265/1200,X265,-V265),2)</f>
        <v>6229.26</v>
      </c>
      <c r="AC265" s="4" t="n">
        <v>0</v>
      </c>
      <c r="AD265" s="3" t="n">
        <v>1</v>
      </c>
      <c r="AE265" s="4" t="n">
        <v>21300</v>
      </c>
      <c r="AF265" s="4" t="n">
        <v>7500</v>
      </c>
      <c r="AG265" s="3" t="n">
        <v>36</v>
      </c>
      <c r="AH265" s="4" t="n">
        <v>16500</v>
      </c>
      <c r="AI265" s="3" t="n">
        <v>605</v>
      </c>
      <c r="AJ265" s="7" t="n">
        <f aca="false">ROUND(AB265/I265,4)</f>
        <v>0.3461</v>
      </c>
      <c r="AK265" s="2" t="str">
        <f aca="false">IF(AND(AI265&gt;=750,AJ265&lt;=0.35),"Low",IF(AND(AI265&gt;=600,AJ265&lt;=0.5),"Medium","High"))</f>
        <v>Medium</v>
      </c>
      <c r="AL265" s="3" t="n">
        <v>3</v>
      </c>
      <c r="AM265" s="2" t="s">
        <v>58</v>
      </c>
      <c r="AN265" s="2" t="s">
        <v>59</v>
      </c>
      <c r="AO265" s="2" t="s">
        <v>60</v>
      </c>
      <c r="AP265" s="7" t="n">
        <v>0.334</v>
      </c>
    </row>
    <row r="266" customFormat="false" ht="15" hidden="false" customHeight="false" outlineLevel="0" collapsed="false">
      <c r="A266" s="2" t="s">
        <v>1193</v>
      </c>
      <c r="B266" s="2" t="s">
        <v>1194</v>
      </c>
      <c r="C266" s="2" t="s">
        <v>1195</v>
      </c>
      <c r="D266" s="2" t="s">
        <v>109</v>
      </c>
      <c r="E266" s="3" t="n">
        <v>39</v>
      </c>
      <c r="F266" s="2" t="s">
        <v>64</v>
      </c>
      <c r="G266" s="2" t="s">
        <v>47</v>
      </c>
      <c r="H266" s="2" t="s">
        <v>48</v>
      </c>
      <c r="I266" s="4" t="n">
        <v>81500</v>
      </c>
      <c r="J266" s="2" t="s">
        <v>49</v>
      </c>
      <c r="K266" s="3" t="n">
        <v>16</v>
      </c>
      <c r="L266" s="2" t="s">
        <v>297</v>
      </c>
      <c r="M266" s="2" t="s">
        <v>92</v>
      </c>
      <c r="N266" s="2" t="s">
        <v>140</v>
      </c>
      <c r="O266" s="3" t="n">
        <v>0</v>
      </c>
      <c r="P266" s="2" t="s">
        <v>124</v>
      </c>
      <c r="Q266" s="2" t="s">
        <v>125</v>
      </c>
      <c r="R266" s="2" t="s">
        <v>91</v>
      </c>
      <c r="S266" s="2" t="s">
        <v>92</v>
      </c>
      <c r="T266" s="2" t="s">
        <v>1196</v>
      </c>
      <c r="U266" s="2" t="s">
        <v>85</v>
      </c>
      <c r="V266" s="4" t="n">
        <v>137000</v>
      </c>
      <c r="W266" s="5" t="n">
        <v>8.43</v>
      </c>
      <c r="X266" s="3" t="n">
        <v>6</v>
      </c>
      <c r="Y266" s="6" t="n">
        <v>46184</v>
      </c>
      <c r="Z266" s="6"/>
      <c r="AA266" s="6"/>
      <c r="AB266" s="4" t="n">
        <f aca="false">ROUND(PMT(W266/1200,X266,-V266),2)</f>
        <v>23398.02</v>
      </c>
      <c r="AC266" s="4" t="n">
        <v>0</v>
      </c>
      <c r="AD266" s="3" t="n">
        <v>0</v>
      </c>
      <c r="AE266" s="4" t="n">
        <v>203600</v>
      </c>
      <c r="AF266" s="4" t="n">
        <v>54200</v>
      </c>
      <c r="AG266" s="3" t="n">
        <v>8</v>
      </c>
      <c r="AH266" s="4" t="n">
        <v>45000</v>
      </c>
      <c r="AI266" s="3" t="n">
        <v>835</v>
      </c>
      <c r="AJ266" s="7" t="n">
        <f aca="false">ROUND(AB266/I266,4)</f>
        <v>0.2871</v>
      </c>
      <c r="AK266" s="2" t="str">
        <f aca="false">IF(AND(AI266&gt;=750,AJ266&lt;=0.35),"Low",IF(AND(AI266&gt;=600,AJ266&lt;=0.5),"Medium","High"))</f>
        <v>Low</v>
      </c>
      <c r="AL266" s="3" t="n">
        <v>0</v>
      </c>
      <c r="AM266" s="2" t="s">
        <v>58</v>
      </c>
      <c r="AN266" s="2"/>
      <c r="AO266" s="2" t="s">
        <v>127</v>
      </c>
      <c r="AP266" s="7" t="n">
        <v>0.186</v>
      </c>
    </row>
    <row r="267" customFormat="false" ht="15" hidden="false" customHeight="false" outlineLevel="0" collapsed="false">
      <c r="A267" s="2" t="s">
        <v>1197</v>
      </c>
      <c r="B267" s="2" t="s">
        <v>1198</v>
      </c>
      <c r="C267" s="2" t="s">
        <v>1199</v>
      </c>
      <c r="D267" s="2" t="s">
        <v>45</v>
      </c>
      <c r="E267" s="3" t="n">
        <v>34</v>
      </c>
      <c r="F267" s="2" t="s">
        <v>175</v>
      </c>
      <c r="G267" s="2" t="s">
        <v>154</v>
      </c>
      <c r="H267" s="2" t="s">
        <v>101</v>
      </c>
      <c r="I267" s="4" t="n">
        <v>38500</v>
      </c>
      <c r="J267" s="2" t="s">
        <v>145</v>
      </c>
      <c r="K267" s="3" t="n">
        <v>11</v>
      </c>
      <c r="L267" s="2" t="s">
        <v>113</v>
      </c>
      <c r="M267" s="2" t="s">
        <v>114</v>
      </c>
      <c r="N267" s="2" t="s">
        <v>81</v>
      </c>
      <c r="O267" s="3" t="n">
        <v>0</v>
      </c>
      <c r="P267" s="2" t="s">
        <v>189</v>
      </c>
      <c r="Q267" s="2" t="s">
        <v>190</v>
      </c>
      <c r="R267" s="2" t="s">
        <v>188</v>
      </c>
      <c r="S267" s="2" t="s">
        <v>51</v>
      </c>
      <c r="T267" s="2" t="s">
        <v>1200</v>
      </c>
      <c r="U267" s="2" t="s">
        <v>97</v>
      </c>
      <c r="V267" s="4" t="n">
        <v>718000</v>
      </c>
      <c r="W267" s="5" t="n">
        <v>13.37</v>
      </c>
      <c r="X267" s="3" t="n">
        <v>54</v>
      </c>
      <c r="Y267" s="6" t="n">
        <v>46198</v>
      </c>
      <c r="Z267" s="6"/>
      <c r="AA267" s="6"/>
      <c r="AB267" s="4" t="n">
        <f aca="false">ROUND(PMT(W267/1200,X267,-V267),2)</f>
        <v>17766.6</v>
      </c>
      <c r="AC267" s="4" t="n">
        <v>0</v>
      </c>
      <c r="AD267" s="3" t="n">
        <v>4</v>
      </c>
      <c r="AE267" s="4"/>
      <c r="AF267" s="4" t="n">
        <v>57600</v>
      </c>
      <c r="AG267" s="3" t="n">
        <v>18</v>
      </c>
      <c r="AH267" s="4" t="n">
        <v>28400</v>
      </c>
      <c r="AI267" s="3" t="n">
        <v>587</v>
      </c>
      <c r="AJ267" s="7" t="n">
        <f aca="false">ROUND(AB267/I267,4)</f>
        <v>0.4615</v>
      </c>
      <c r="AK267" s="2" t="str">
        <f aca="false">IF(AND(AI267&gt;=750,AJ267&lt;=0.35),"Low",IF(AND(AI267&gt;=600,AJ267&lt;=0.5),"Medium","High"))</f>
        <v>High</v>
      </c>
      <c r="AL267" s="3" t="n">
        <v>4</v>
      </c>
      <c r="AM267" s="2" t="s">
        <v>233</v>
      </c>
      <c r="AN267" s="2"/>
      <c r="AO267" s="2" t="s">
        <v>134</v>
      </c>
      <c r="AP267" s="7" t="n">
        <v>0.483</v>
      </c>
    </row>
    <row r="268" customFormat="false" ht="15" hidden="false" customHeight="false" outlineLevel="0" collapsed="false">
      <c r="A268" s="2" t="s">
        <v>1201</v>
      </c>
      <c r="B268" s="2" t="s">
        <v>1202</v>
      </c>
      <c r="C268" s="2" t="s">
        <v>1203</v>
      </c>
      <c r="D268" s="2" t="s">
        <v>109</v>
      </c>
      <c r="E268" s="3" t="n">
        <v>29</v>
      </c>
      <c r="F268" s="2" t="s">
        <v>64</v>
      </c>
      <c r="G268" s="2"/>
      <c r="H268" s="2" t="s">
        <v>167</v>
      </c>
      <c r="I268" s="4" t="n">
        <v>122000</v>
      </c>
      <c r="J268" s="2" t="s">
        <v>145</v>
      </c>
      <c r="K268" s="3" t="n">
        <v>2</v>
      </c>
      <c r="L268" s="2" t="s">
        <v>95</v>
      </c>
      <c r="M268" s="2" t="s">
        <v>92</v>
      </c>
      <c r="N268" s="2" t="s">
        <v>52</v>
      </c>
      <c r="O268" s="3" t="n">
        <v>3</v>
      </c>
      <c r="P268" s="2" t="s">
        <v>93</v>
      </c>
      <c r="Q268" s="2" t="s">
        <v>94</v>
      </c>
      <c r="R268" s="2" t="s">
        <v>95</v>
      </c>
      <c r="S268" s="2" t="s">
        <v>92</v>
      </c>
      <c r="T268" s="2" t="s">
        <v>1204</v>
      </c>
      <c r="U268" s="2" t="s">
        <v>118</v>
      </c>
      <c r="V268" s="4" t="n">
        <v>1500000</v>
      </c>
      <c r="W268" s="5" t="n">
        <v>9.55</v>
      </c>
      <c r="X268" s="3" t="n">
        <v>78</v>
      </c>
      <c r="Y268" s="6" t="n">
        <v>46179</v>
      </c>
      <c r="Z268" s="6" t="n">
        <v>46180</v>
      </c>
      <c r="AA268" s="6" t="n">
        <v>46184</v>
      </c>
      <c r="AB268" s="4" t="n">
        <f aca="false">ROUND(PMT(W268/1200,X268,-V268),2)</f>
        <v>25887.13</v>
      </c>
      <c r="AC268" s="4" t="n">
        <v>0</v>
      </c>
      <c r="AD268" s="3" t="n">
        <v>0</v>
      </c>
      <c r="AE268" s="4" t="n">
        <v>309400</v>
      </c>
      <c r="AF268" s="4" t="n">
        <v>149500</v>
      </c>
      <c r="AG268" s="3" t="n">
        <v>30</v>
      </c>
      <c r="AH268" s="4" t="n">
        <v>76300</v>
      </c>
      <c r="AI268" s="3" t="n">
        <v>699</v>
      </c>
      <c r="AJ268" s="7" t="n">
        <f aca="false">ROUND(AB268/I268,4)</f>
        <v>0.2122</v>
      </c>
      <c r="AK268" s="2" t="str">
        <f aca="false">IF(AND(AI268&gt;=750,AJ268&lt;=0.35),"Low",IF(AND(AI268&gt;=600,AJ268&lt;=0.5),"Medium","High"))</f>
        <v>Medium</v>
      </c>
      <c r="AL268" s="3" t="n">
        <v>1</v>
      </c>
      <c r="AM268" s="2" t="s">
        <v>58</v>
      </c>
      <c r="AN268" s="2" t="s">
        <v>119</v>
      </c>
      <c r="AO268" s="2" t="s">
        <v>60</v>
      </c>
      <c r="AP268" s="7" t="n">
        <v>0.198</v>
      </c>
    </row>
    <row r="269" customFormat="false" ht="15" hidden="false" customHeight="false" outlineLevel="0" collapsed="false">
      <c r="A269" s="2" t="s">
        <v>1205</v>
      </c>
      <c r="B269" s="2" t="s">
        <v>1206</v>
      </c>
      <c r="C269" s="2" t="s">
        <v>1207</v>
      </c>
      <c r="D269" s="2" t="s">
        <v>45</v>
      </c>
      <c r="E269" s="3" t="n">
        <v>41</v>
      </c>
      <c r="F269" s="2" t="s">
        <v>64</v>
      </c>
      <c r="G269" s="2" t="s">
        <v>90</v>
      </c>
      <c r="H269" s="2" t="s">
        <v>101</v>
      </c>
      <c r="I269" s="4" t="n">
        <v>48000</v>
      </c>
      <c r="J269" s="2" t="s">
        <v>90</v>
      </c>
      <c r="K269" s="3" t="n">
        <v>14</v>
      </c>
      <c r="L269" s="2" t="s">
        <v>211</v>
      </c>
      <c r="M269" s="2" t="s">
        <v>147</v>
      </c>
      <c r="N269" s="2" t="s">
        <v>81</v>
      </c>
      <c r="O269" s="3" t="n">
        <v>2</v>
      </c>
      <c r="P269" s="2" t="s">
        <v>209</v>
      </c>
      <c r="Q269" s="2" t="s">
        <v>210</v>
      </c>
      <c r="R269" s="2" t="s">
        <v>211</v>
      </c>
      <c r="S269" s="2" t="s">
        <v>147</v>
      </c>
      <c r="T269" s="2" t="s">
        <v>1208</v>
      </c>
      <c r="U269" s="2" t="s">
        <v>85</v>
      </c>
      <c r="V269" s="4" t="n">
        <v>571000</v>
      </c>
      <c r="W269" s="5" t="n">
        <v>7.76</v>
      </c>
      <c r="X269" s="3" t="n">
        <v>30</v>
      </c>
      <c r="Y269" s="6" t="n">
        <v>46198</v>
      </c>
      <c r="Z269" s="6" t="n">
        <v>46205</v>
      </c>
      <c r="AA269" s="6" t="n">
        <v>46211</v>
      </c>
      <c r="AB269" s="4" t="n">
        <f aca="false">ROUND(PMT(W269/1200,X269,-V269),2)</f>
        <v>21000.51</v>
      </c>
      <c r="AC269" s="4" t="n">
        <v>0</v>
      </c>
      <c r="AD269" s="3" t="n">
        <v>0</v>
      </c>
      <c r="AE269" s="4" t="n">
        <v>127600</v>
      </c>
      <c r="AF269" s="4" t="n">
        <v>15300</v>
      </c>
      <c r="AG269" s="3" t="n">
        <v>25</v>
      </c>
      <c r="AH269" s="4" t="n">
        <v>26900</v>
      </c>
      <c r="AI269" s="3" t="n">
        <v>818</v>
      </c>
      <c r="AJ269" s="7" t="n">
        <f aca="false">ROUND(AB269/I269,4)</f>
        <v>0.4375</v>
      </c>
      <c r="AK269" s="2" t="str">
        <f aca="false">IF(AND(AI269&gt;=750,AJ269&lt;=0.35),"Low",IF(AND(AI269&gt;=600,AJ269&lt;=0.5),"Medium","High"))</f>
        <v>Medium</v>
      </c>
      <c r="AL269" s="3" t="n">
        <v>0</v>
      </c>
      <c r="AM269" s="2" t="s">
        <v>58</v>
      </c>
      <c r="AN269" s="2" t="s">
        <v>59</v>
      </c>
      <c r="AO269" s="2" t="s">
        <v>60</v>
      </c>
      <c r="AP269" s="7" t="n">
        <v>0.054</v>
      </c>
    </row>
    <row r="270" customFormat="false" ht="15" hidden="false" customHeight="false" outlineLevel="0" collapsed="false">
      <c r="A270" s="2" t="s">
        <v>1209</v>
      </c>
      <c r="B270" s="2" t="s">
        <v>1210</v>
      </c>
      <c r="C270" s="2" t="s">
        <v>1211</v>
      </c>
      <c r="D270" s="2" t="s">
        <v>45</v>
      </c>
      <c r="E270" s="3" t="n">
        <v>25</v>
      </c>
      <c r="F270" s="2" t="s">
        <v>64</v>
      </c>
      <c r="G270" s="2" t="s">
        <v>154</v>
      </c>
      <c r="H270" s="2"/>
      <c r="I270" s="4" t="n">
        <v>26500</v>
      </c>
      <c r="J270" s="2" t="s">
        <v>145</v>
      </c>
      <c r="K270" s="3" t="n">
        <v>1</v>
      </c>
      <c r="L270" s="2" t="s">
        <v>92</v>
      </c>
      <c r="M270" s="2" t="s">
        <v>92</v>
      </c>
      <c r="N270" s="2" t="s">
        <v>102</v>
      </c>
      <c r="O270" s="3" t="n">
        <v>2</v>
      </c>
      <c r="P270" s="2" t="s">
        <v>229</v>
      </c>
      <c r="Q270" s="2" t="s">
        <v>230</v>
      </c>
      <c r="R270" s="2" t="s">
        <v>231</v>
      </c>
      <c r="S270" s="2" t="s">
        <v>92</v>
      </c>
      <c r="T270" s="2" t="s">
        <v>1212</v>
      </c>
      <c r="U270" s="2" t="s">
        <v>97</v>
      </c>
      <c r="V270" s="4" t="n">
        <v>402000</v>
      </c>
      <c r="W270" s="5" t="n">
        <v>11.77</v>
      </c>
      <c r="X270" s="3" t="n">
        <v>36</v>
      </c>
      <c r="Y270" s="6" t="n">
        <v>46198</v>
      </c>
      <c r="Z270" s="6"/>
      <c r="AA270" s="6"/>
      <c r="AB270" s="4" t="n">
        <f aca="false">ROUND(PMT(W270/1200,X270,-V270),2)</f>
        <v>13308.03</v>
      </c>
      <c r="AC270" s="4" t="n">
        <v>0</v>
      </c>
      <c r="AD270" s="3" t="n">
        <v>0</v>
      </c>
      <c r="AE270" s="4" t="n">
        <v>21300</v>
      </c>
      <c r="AF270" s="4" t="n">
        <v>7900</v>
      </c>
      <c r="AG270" s="3" t="n">
        <v>28</v>
      </c>
      <c r="AH270" s="4" t="n">
        <v>27300</v>
      </c>
      <c r="AI270" s="3" t="n">
        <v>659</v>
      </c>
      <c r="AJ270" s="7" t="n">
        <f aca="false">ROUND(AB270/I270,4)</f>
        <v>0.5022</v>
      </c>
      <c r="AK270" s="2" t="str">
        <f aca="false">IF(AND(AI270&gt;=750,AJ270&lt;=0.35),"Low",IF(AND(AI270&gt;=600,AJ270&lt;=0.5),"Medium","High"))</f>
        <v>High</v>
      </c>
      <c r="AL270" s="3" t="n">
        <v>1</v>
      </c>
      <c r="AM270" s="2" t="s">
        <v>58</v>
      </c>
      <c r="AN270" s="2"/>
      <c r="AO270" s="2" t="s">
        <v>127</v>
      </c>
      <c r="AP270" s="7" t="n">
        <v>0.278</v>
      </c>
    </row>
    <row r="271" customFormat="false" ht="15" hidden="false" customHeight="false" outlineLevel="0" collapsed="false">
      <c r="A271" s="2" t="s">
        <v>1213</v>
      </c>
      <c r="B271" s="2" t="s">
        <v>1214</v>
      </c>
      <c r="C271" s="2" t="s">
        <v>1215</v>
      </c>
      <c r="D271" s="2" t="s">
        <v>45</v>
      </c>
      <c r="E271" s="3" t="n">
        <v>50</v>
      </c>
      <c r="F271" s="2" t="s">
        <v>64</v>
      </c>
      <c r="G271" s="2" t="s">
        <v>154</v>
      </c>
      <c r="H271" s="2" t="s">
        <v>101</v>
      </c>
      <c r="I271" s="4" t="n">
        <v>50500</v>
      </c>
      <c r="J271" s="2" t="s">
        <v>145</v>
      </c>
      <c r="K271" s="3"/>
      <c r="L271" s="2" t="s">
        <v>564</v>
      </c>
      <c r="M271" s="2" t="s">
        <v>80</v>
      </c>
      <c r="N271" s="2" t="s">
        <v>140</v>
      </c>
      <c r="O271" s="3" t="n">
        <v>0</v>
      </c>
      <c r="P271" s="2" t="s">
        <v>115</v>
      </c>
      <c r="Q271" s="2" t="s">
        <v>116</v>
      </c>
      <c r="R271" s="2" t="s">
        <v>114</v>
      </c>
      <c r="S271" s="2" t="s">
        <v>114</v>
      </c>
      <c r="T271" s="2" t="s">
        <v>1216</v>
      </c>
      <c r="U271" s="2" t="s">
        <v>85</v>
      </c>
      <c r="V271" s="4" t="n">
        <v>407000</v>
      </c>
      <c r="W271" s="5" t="n">
        <v>9.43</v>
      </c>
      <c r="X271" s="3" t="n">
        <v>30</v>
      </c>
      <c r="Y271" s="6" t="n">
        <v>46190</v>
      </c>
      <c r="Z271" s="6" t="n">
        <v>46200</v>
      </c>
      <c r="AA271" s="6" t="n">
        <v>46206</v>
      </c>
      <c r="AB271" s="4" t="n">
        <f aca="false">ROUND(PMT(W271/1200,X271,-V271),2)</f>
        <v>15281.6</v>
      </c>
      <c r="AC271" s="4" t="n">
        <v>0</v>
      </c>
      <c r="AD271" s="3" t="n">
        <v>3</v>
      </c>
      <c r="AE271" s="4" t="n">
        <v>36500</v>
      </c>
      <c r="AF271" s="4" t="n">
        <v>10700</v>
      </c>
      <c r="AG271" s="3" t="n">
        <v>39</v>
      </c>
      <c r="AH271" s="4" t="n">
        <v>26600</v>
      </c>
      <c r="AI271" s="3" t="n">
        <v>770</v>
      </c>
      <c r="AJ271" s="7" t="n">
        <f aca="false">ROUND(AB271/I271,4)</f>
        <v>0.3026</v>
      </c>
      <c r="AK271" s="2" t="str">
        <f aca="false">IF(AND(AI271&gt;=750,AJ271&lt;=0.35),"Low",IF(AND(AI271&gt;=600,AJ271&lt;=0.5),"Medium","High"))</f>
        <v>Low</v>
      </c>
      <c r="AL271" s="3" t="n">
        <v>1</v>
      </c>
      <c r="AM271" s="2" t="s">
        <v>233</v>
      </c>
      <c r="AN271" s="2" t="s">
        <v>59</v>
      </c>
      <c r="AO271" s="2" t="s">
        <v>60</v>
      </c>
      <c r="AP271" s="7" t="n">
        <v>0.299</v>
      </c>
    </row>
    <row r="272" customFormat="false" ht="15" hidden="false" customHeight="false" outlineLevel="0" collapsed="false">
      <c r="A272" s="2" t="s">
        <v>1217</v>
      </c>
      <c r="B272" s="2" t="s">
        <v>1218</v>
      </c>
      <c r="C272" s="2" t="s">
        <v>1219</v>
      </c>
      <c r="D272" s="2" t="s">
        <v>109</v>
      </c>
      <c r="E272" s="3" t="n">
        <v>52</v>
      </c>
      <c r="F272" s="2" t="s">
        <v>64</v>
      </c>
      <c r="G272" s="2" t="s">
        <v>47</v>
      </c>
      <c r="H272" s="2" t="s">
        <v>48</v>
      </c>
      <c r="I272" s="4" t="n">
        <v>152500</v>
      </c>
      <c r="J272" s="2" t="s">
        <v>49</v>
      </c>
      <c r="K272" s="3" t="n">
        <v>33</v>
      </c>
      <c r="L272" s="2" t="s">
        <v>91</v>
      </c>
      <c r="M272" s="2" t="s">
        <v>92</v>
      </c>
      <c r="N272" s="2" t="s">
        <v>52</v>
      </c>
      <c r="O272" s="3" t="n">
        <v>3</v>
      </c>
      <c r="P272" s="2" t="s">
        <v>169</v>
      </c>
      <c r="Q272" s="2" t="s">
        <v>170</v>
      </c>
      <c r="R272" s="2" t="s">
        <v>92</v>
      </c>
      <c r="S272" s="2" t="s">
        <v>92</v>
      </c>
      <c r="T272" s="2" t="s">
        <v>1220</v>
      </c>
      <c r="U272" s="2" t="s">
        <v>180</v>
      </c>
      <c r="V272" s="4" t="n">
        <v>1027000</v>
      </c>
      <c r="W272" s="5" t="n">
        <v>11.55</v>
      </c>
      <c r="X272" s="3" t="n">
        <v>36</v>
      </c>
      <c r="Y272" s="6" t="n">
        <v>46190</v>
      </c>
      <c r="Z272" s="6" t="n">
        <v>46199</v>
      </c>
      <c r="AA272" s="6" t="n">
        <v>46204</v>
      </c>
      <c r="AB272" s="4" t="n">
        <f aca="false">ROUND(PMT(W272/1200,X272,-V272),2)</f>
        <v>33890.79</v>
      </c>
      <c r="AC272" s="4" t="n">
        <v>1408000</v>
      </c>
      <c r="AD272" s="3" t="n">
        <v>1</v>
      </c>
      <c r="AE272" s="4" t="n">
        <v>165900</v>
      </c>
      <c r="AF272" s="4" t="n">
        <v>46000</v>
      </c>
      <c r="AG272" s="3" t="n">
        <v>2</v>
      </c>
      <c r="AH272" s="4" t="n">
        <v>94500</v>
      </c>
      <c r="AI272" s="3" t="n">
        <v>854</v>
      </c>
      <c r="AJ272" s="7" t="n">
        <f aca="false">ROUND(AB272/I272,4)</f>
        <v>0.2222</v>
      </c>
      <c r="AK272" s="2" t="str">
        <f aca="false">IF(AND(AI272&gt;=750,AJ272&lt;=0.35),"Low",IF(AND(AI272&gt;=600,AJ272&lt;=0.5),"Medium","High"))</f>
        <v>Low</v>
      </c>
      <c r="AL272" s="3" t="n">
        <v>0</v>
      </c>
      <c r="AM272" s="2" t="s">
        <v>58</v>
      </c>
      <c r="AN272" s="2" t="s">
        <v>119</v>
      </c>
      <c r="AO272" s="2" t="s">
        <v>86</v>
      </c>
      <c r="AP272" s="7" t="n">
        <v>0.072</v>
      </c>
    </row>
    <row r="273" customFormat="false" ht="15" hidden="false" customHeight="false" outlineLevel="0" collapsed="false">
      <c r="A273" s="2" t="s">
        <v>1221</v>
      </c>
      <c r="B273" s="2" t="s">
        <v>1222</v>
      </c>
      <c r="C273" s="2" t="s">
        <v>1223</v>
      </c>
      <c r="D273" s="2" t="s">
        <v>109</v>
      </c>
      <c r="E273" s="3" t="n">
        <v>39</v>
      </c>
      <c r="F273" s="2" t="s">
        <v>46</v>
      </c>
      <c r="G273" s="2" t="s">
        <v>110</v>
      </c>
      <c r="H273" s="2" t="s">
        <v>123</v>
      </c>
      <c r="I273" s="4" t="n">
        <v>12000</v>
      </c>
      <c r="J273" s="2" t="s">
        <v>112</v>
      </c>
      <c r="K273" s="3" t="n">
        <v>19</v>
      </c>
      <c r="L273" s="2" t="s">
        <v>70</v>
      </c>
      <c r="M273" s="2" t="s">
        <v>67</v>
      </c>
      <c r="N273" s="2" t="s">
        <v>52</v>
      </c>
      <c r="O273" s="3" t="n">
        <v>1</v>
      </c>
      <c r="P273" s="2" t="s">
        <v>68</v>
      </c>
      <c r="Q273" s="2" t="s">
        <v>69</v>
      </c>
      <c r="R273" s="2" t="s">
        <v>70</v>
      </c>
      <c r="S273" s="2" t="s">
        <v>67</v>
      </c>
      <c r="T273" s="2" t="s">
        <v>1224</v>
      </c>
      <c r="U273" s="2" t="s">
        <v>180</v>
      </c>
      <c r="V273" s="4" t="n">
        <v>300000</v>
      </c>
      <c r="W273" s="5" t="n">
        <v>11.09</v>
      </c>
      <c r="X273" s="3" t="n">
        <v>12</v>
      </c>
      <c r="Y273" s="6" t="n">
        <v>46188</v>
      </c>
      <c r="Z273" s="6" t="n">
        <v>46191</v>
      </c>
      <c r="AA273" s="6" t="n">
        <v>46192</v>
      </c>
      <c r="AB273" s="4" t="n">
        <f aca="false">ROUND(PMT(W273/1200,X273,-V273),2)</f>
        <v>26527.09</v>
      </c>
      <c r="AC273" s="4" t="n">
        <v>404000</v>
      </c>
      <c r="AD273" s="3" t="n">
        <v>1</v>
      </c>
      <c r="AE273" s="4" t="n">
        <v>21500</v>
      </c>
      <c r="AF273" s="4" t="n">
        <v>12700</v>
      </c>
      <c r="AG273" s="3" t="n">
        <v>29</v>
      </c>
      <c r="AH273" s="4" t="n">
        <v>7600</v>
      </c>
      <c r="AI273" s="3" t="n">
        <v>871</v>
      </c>
      <c r="AJ273" s="7" t="n">
        <f aca="false">ROUND(AB273/I273,4)</f>
        <v>2.2106</v>
      </c>
      <c r="AK273" s="2" t="str">
        <f aca="false">IF(AND(AI273&gt;=750,AJ273&lt;=0.35),"Low",IF(AND(AI273&gt;=600,AJ273&lt;=0.5),"Medium","High"))</f>
        <v>High</v>
      </c>
      <c r="AL273" s="3" t="n">
        <v>0</v>
      </c>
      <c r="AM273" s="2" t="s">
        <v>58</v>
      </c>
      <c r="AN273" s="2" t="s">
        <v>258</v>
      </c>
      <c r="AO273" s="2" t="s">
        <v>60</v>
      </c>
      <c r="AP273" s="7" t="n">
        <v>0.055</v>
      </c>
    </row>
    <row r="274" customFormat="false" ht="15" hidden="false" customHeight="false" outlineLevel="0" collapsed="false">
      <c r="A274" s="2" t="s">
        <v>1225</v>
      </c>
      <c r="B274" s="2" t="s">
        <v>1226</v>
      </c>
      <c r="C274" s="2" t="s">
        <v>1227</v>
      </c>
      <c r="D274" s="2" t="s">
        <v>109</v>
      </c>
      <c r="E274" s="3" t="n">
        <v>47</v>
      </c>
      <c r="F274" s="2" t="s">
        <v>64</v>
      </c>
      <c r="G274" s="2" t="s">
        <v>176</v>
      </c>
      <c r="H274" s="2" t="s">
        <v>48</v>
      </c>
      <c r="I274" s="4" t="n">
        <v>89000</v>
      </c>
      <c r="J274" s="2" t="s">
        <v>177</v>
      </c>
      <c r="K274" s="3" t="n">
        <v>19</v>
      </c>
      <c r="L274" s="2" t="s">
        <v>297</v>
      </c>
      <c r="M274" s="2" t="s">
        <v>92</v>
      </c>
      <c r="N274" s="2" t="s">
        <v>52</v>
      </c>
      <c r="O274" s="3" t="n">
        <v>4</v>
      </c>
      <c r="P274" s="2" t="s">
        <v>169</v>
      </c>
      <c r="Q274" s="2" t="s">
        <v>170</v>
      </c>
      <c r="R274" s="2" t="s">
        <v>92</v>
      </c>
      <c r="S274" s="2" t="s">
        <v>92</v>
      </c>
      <c r="T274" s="2" t="s">
        <v>1228</v>
      </c>
      <c r="U274" s="2" t="s">
        <v>57</v>
      </c>
      <c r="V274" s="4" t="n">
        <v>2415000</v>
      </c>
      <c r="W274" s="5" t="n">
        <v>10.91</v>
      </c>
      <c r="X274" s="3" t="n">
        <v>174</v>
      </c>
      <c r="Y274" s="6" t="n">
        <v>46181</v>
      </c>
      <c r="Z274" s="6"/>
      <c r="AA274" s="6"/>
      <c r="AB274" s="4" t="n">
        <f aca="false">ROUND(PMT(W274/1200,X274,-V274),2)</f>
        <v>27689.43</v>
      </c>
      <c r="AC274" s="4" t="n">
        <v>2498000</v>
      </c>
      <c r="AD274" s="3" t="n">
        <v>0</v>
      </c>
      <c r="AE274" s="4" t="n">
        <v>317900</v>
      </c>
      <c r="AF274" s="4" t="n">
        <v>64200</v>
      </c>
      <c r="AG274" s="3" t="n">
        <v>46</v>
      </c>
      <c r="AH274" s="4" t="n">
        <v>85500</v>
      </c>
      <c r="AI274" s="3" t="n">
        <v>771</v>
      </c>
      <c r="AJ274" s="7" t="n">
        <f aca="false">ROUND(AB274/I274,4)</f>
        <v>0.3111</v>
      </c>
      <c r="AK274" s="2" t="str">
        <f aca="false">IF(AND(AI274&gt;=750,AJ274&lt;=0.35),"Low",IF(AND(AI274&gt;=600,AJ274&lt;=0.5),"Medium","High"))</f>
        <v>Low</v>
      </c>
      <c r="AL274" s="3" t="n">
        <v>1</v>
      </c>
      <c r="AM274" s="2" t="s">
        <v>58</v>
      </c>
      <c r="AN274" s="2"/>
      <c r="AO274" s="2" t="s">
        <v>134</v>
      </c>
      <c r="AP274" s="7" t="n">
        <v>0.085</v>
      </c>
    </row>
    <row r="275" customFormat="false" ht="15" hidden="false" customHeight="false" outlineLevel="0" collapsed="false">
      <c r="A275" s="2" t="s">
        <v>1229</v>
      </c>
      <c r="B275" s="2" t="s">
        <v>1230</v>
      </c>
      <c r="C275" s="2" t="s">
        <v>1231</v>
      </c>
      <c r="D275" s="2" t="s">
        <v>45</v>
      </c>
      <c r="E275" s="3" t="n">
        <v>30</v>
      </c>
      <c r="F275" s="2" t="s">
        <v>64</v>
      </c>
      <c r="G275" s="2" t="s">
        <v>76</v>
      </c>
      <c r="H275" s="2" t="s">
        <v>101</v>
      </c>
      <c r="I275" s="4" t="n">
        <v>55000</v>
      </c>
      <c r="J275" s="2" t="s">
        <v>78</v>
      </c>
      <c r="K275" s="3" t="n">
        <v>6</v>
      </c>
      <c r="L275" s="2" t="s">
        <v>92</v>
      </c>
      <c r="M275" s="2" t="s">
        <v>92</v>
      </c>
      <c r="N275" s="2" t="s">
        <v>81</v>
      </c>
      <c r="O275" s="3" t="n">
        <v>2</v>
      </c>
      <c r="P275" s="2" t="s">
        <v>169</v>
      </c>
      <c r="Q275" s="2" t="s">
        <v>170</v>
      </c>
      <c r="R275" s="2" t="s">
        <v>92</v>
      </c>
      <c r="S275" s="2" t="s">
        <v>92</v>
      </c>
      <c r="T275" s="2" t="s">
        <v>1232</v>
      </c>
      <c r="U275" s="2" t="s">
        <v>97</v>
      </c>
      <c r="V275" s="4" t="n">
        <v>494000</v>
      </c>
      <c r="W275" s="5" t="n">
        <v>12.2</v>
      </c>
      <c r="X275" s="3" t="n">
        <v>24</v>
      </c>
      <c r="Y275" s="6" t="n">
        <v>46179</v>
      </c>
      <c r="Z275" s="6" t="n">
        <v>46184</v>
      </c>
      <c r="AA275" s="6" t="n">
        <v>46189</v>
      </c>
      <c r="AB275" s="4" t="n">
        <f aca="false">ROUND(PMT(W275/1200,X275,-V275),2)</f>
        <v>23300.46</v>
      </c>
      <c r="AC275" s="4" t="n">
        <v>0</v>
      </c>
      <c r="AD275" s="3" t="n">
        <v>0</v>
      </c>
      <c r="AE275" s="4" t="n">
        <v>71300</v>
      </c>
      <c r="AF275" s="4" t="n">
        <v>13100</v>
      </c>
      <c r="AG275" s="3" t="n">
        <v>49</v>
      </c>
      <c r="AH275" s="4" t="n">
        <v>31100</v>
      </c>
      <c r="AI275" s="3" t="n">
        <v>680</v>
      </c>
      <c r="AJ275" s="7" t="n">
        <f aca="false">ROUND(AB275/I275,4)</f>
        <v>0.4236</v>
      </c>
      <c r="AK275" s="2" t="str">
        <f aca="false">IF(AND(AI275&gt;=750,AJ275&lt;=0.35),"Low",IF(AND(AI275&gt;=600,AJ275&lt;=0.5),"Medium","High"))</f>
        <v>Medium</v>
      </c>
      <c r="AL275" s="3" t="n">
        <v>0</v>
      </c>
      <c r="AM275" s="2" t="s">
        <v>58</v>
      </c>
      <c r="AN275" s="2" t="s">
        <v>59</v>
      </c>
      <c r="AO275" s="2" t="s">
        <v>60</v>
      </c>
      <c r="AP275" s="7" t="n">
        <v>0.236</v>
      </c>
    </row>
    <row r="276" customFormat="false" ht="15" hidden="false" customHeight="false" outlineLevel="0" collapsed="false">
      <c r="A276" s="2" t="s">
        <v>1233</v>
      </c>
      <c r="B276" s="2" t="s">
        <v>1234</v>
      </c>
      <c r="C276" s="2" t="s">
        <v>1235</v>
      </c>
      <c r="D276" s="2" t="s">
        <v>45</v>
      </c>
      <c r="E276" s="3" t="n">
        <v>36</v>
      </c>
      <c r="F276" s="2" t="s">
        <v>64</v>
      </c>
      <c r="G276" s="2" t="s">
        <v>145</v>
      </c>
      <c r="H276" s="2" t="s">
        <v>48</v>
      </c>
      <c r="I276" s="4" t="n">
        <v>56500</v>
      </c>
      <c r="J276" s="2" t="s">
        <v>145</v>
      </c>
      <c r="K276" s="3" t="n">
        <v>14</v>
      </c>
      <c r="L276" s="2" t="s">
        <v>139</v>
      </c>
      <c r="M276" s="2" t="s">
        <v>139</v>
      </c>
      <c r="N276" s="2" t="s">
        <v>81</v>
      </c>
      <c r="O276" s="3" t="n">
        <v>2</v>
      </c>
      <c r="P276" s="2" t="s">
        <v>103</v>
      </c>
      <c r="Q276" s="2" t="s">
        <v>104</v>
      </c>
      <c r="R276" s="2" t="s">
        <v>67</v>
      </c>
      <c r="S276" s="2" t="s">
        <v>67</v>
      </c>
      <c r="T276" s="2" t="s">
        <v>1236</v>
      </c>
      <c r="U276" s="2" t="s">
        <v>97</v>
      </c>
      <c r="V276" s="4" t="n">
        <v>976000</v>
      </c>
      <c r="W276" s="5" t="n">
        <v>11.78</v>
      </c>
      <c r="X276" s="3" t="n">
        <v>48</v>
      </c>
      <c r="Y276" s="6" t="n">
        <v>46177</v>
      </c>
      <c r="Z276" s="6" t="n">
        <v>46182</v>
      </c>
      <c r="AA276" s="6" t="n">
        <v>46185</v>
      </c>
      <c r="AB276" s="4" t="n">
        <f aca="false">ROUND(PMT(W276/1200,X276,-V276),2)</f>
        <v>25596.52</v>
      </c>
      <c r="AC276" s="4" t="n">
        <v>0</v>
      </c>
      <c r="AD276" s="3" t="n">
        <v>1</v>
      </c>
      <c r="AE276" s="4" t="n">
        <v>148100</v>
      </c>
      <c r="AF276" s="4" t="n">
        <v>46500</v>
      </c>
      <c r="AG276" s="3" t="n">
        <v>12</v>
      </c>
      <c r="AH276" s="4" t="n">
        <v>18200</v>
      </c>
      <c r="AI276" s="3" t="n">
        <v>631</v>
      </c>
      <c r="AJ276" s="7" t="n">
        <f aca="false">ROUND(AB276/I276,4)</f>
        <v>0.453</v>
      </c>
      <c r="AK276" s="2" t="str">
        <f aca="false">IF(AND(AI276&gt;=750,AJ276&lt;=0.35),"Low",IF(AND(AI276&gt;=600,AJ276&lt;=0.5),"Medium","High"))</f>
        <v>Medium</v>
      </c>
      <c r="AL276" s="3" t="n">
        <v>1</v>
      </c>
      <c r="AM276" s="2" t="s">
        <v>58</v>
      </c>
      <c r="AN276" s="2" t="s">
        <v>59</v>
      </c>
      <c r="AO276" s="2" t="s">
        <v>86</v>
      </c>
      <c r="AP276" s="7" t="n">
        <v>0.297</v>
      </c>
    </row>
    <row r="277" customFormat="false" ht="15" hidden="false" customHeight="false" outlineLevel="0" collapsed="false">
      <c r="A277" s="2" t="s">
        <v>1237</v>
      </c>
      <c r="B277" s="2" t="s">
        <v>286</v>
      </c>
      <c r="C277" s="2" t="s">
        <v>1238</v>
      </c>
      <c r="D277" s="2" t="s">
        <v>109</v>
      </c>
      <c r="E277" s="3" t="n">
        <v>42</v>
      </c>
      <c r="F277" s="2" t="s">
        <v>64</v>
      </c>
      <c r="G277" s="2" t="s">
        <v>90</v>
      </c>
      <c r="H277" s="2" t="s">
        <v>48</v>
      </c>
      <c r="I277" s="4" t="n">
        <v>34000</v>
      </c>
      <c r="J277" s="2" t="s">
        <v>90</v>
      </c>
      <c r="K277" s="3" t="n">
        <v>16</v>
      </c>
      <c r="L277" s="2" t="s">
        <v>297</v>
      </c>
      <c r="M277" s="2" t="s">
        <v>92</v>
      </c>
      <c r="N277" s="2" t="s">
        <v>52</v>
      </c>
      <c r="O277" s="3" t="n">
        <v>2</v>
      </c>
      <c r="P277" s="2" t="s">
        <v>93</v>
      </c>
      <c r="Q277" s="2" t="s">
        <v>94</v>
      </c>
      <c r="R277" s="2" t="s">
        <v>95</v>
      </c>
      <c r="S277" s="2" t="s">
        <v>92</v>
      </c>
      <c r="T277" s="2" t="s">
        <v>1239</v>
      </c>
      <c r="U277" s="2" t="s">
        <v>72</v>
      </c>
      <c r="V277" s="4" t="n">
        <v>300000</v>
      </c>
      <c r="W277" s="5" t="n">
        <v>13.42</v>
      </c>
      <c r="X277" s="3" t="n">
        <v>30</v>
      </c>
      <c r="Y277" s="6" t="n">
        <v>46203</v>
      </c>
      <c r="Z277" s="6" t="n">
        <v>46213</v>
      </c>
      <c r="AA277" s="6" t="n">
        <v>46217</v>
      </c>
      <c r="AB277" s="4" t="n">
        <f aca="false">ROUND(PMT(W277/1200,X277,-V277),2)</f>
        <v>11826.42</v>
      </c>
      <c r="AC277" s="4" t="n">
        <v>444000</v>
      </c>
      <c r="AD277" s="3" t="n">
        <v>0</v>
      </c>
      <c r="AE277" s="4" t="n">
        <v>50600</v>
      </c>
      <c r="AF277" s="4" t="n">
        <v>12100</v>
      </c>
      <c r="AG277" s="3" t="n">
        <v>12</v>
      </c>
      <c r="AH277" s="4" t="n">
        <v>21200</v>
      </c>
      <c r="AI277" s="3" t="n">
        <v>837</v>
      </c>
      <c r="AJ277" s="7" t="n">
        <f aca="false">ROUND(AB277/I277,4)</f>
        <v>0.3478</v>
      </c>
      <c r="AK277" s="2" t="str">
        <f aca="false">IF(AND(AI277&gt;=750,AJ277&lt;=0.35),"Low",IF(AND(AI277&gt;=600,AJ277&lt;=0.5),"Medium","High"))</f>
        <v>Low</v>
      </c>
      <c r="AL277" s="3" t="n">
        <v>2</v>
      </c>
      <c r="AM277" s="2" t="s">
        <v>58</v>
      </c>
      <c r="AN277" s="2" t="s">
        <v>59</v>
      </c>
      <c r="AO277" s="2" t="s">
        <v>60</v>
      </c>
      <c r="AP277" s="7" t="n">
        <v>0.136</v>
      </c>
    </row>
    <row r="278" customFormat="false" ht="15" hidden="false" customHeight="false" outlineLevel="0" collapsed="false">
      <c r="A278" s="2" t="s">
        <v>1240</v>
      </c>
      <c r="B278" s="2" t="s">
        <v>1241</v>
      </c>
      <c r="C278" s="2" t="s">
        <v>1242</v>
      </c>
      <c r="D278" s="2" t="s">
        <v>45</v>
      </c>
      <c r="E278" s="3" t="n">
        <v>29</v>
      </c>
      <c r="F278" s="2" t="s">
        <v>64</v>
      </c>
      <c r="G278" s="2" t="s">
        <v>47</v>
      </c>
      <c r="H278" s="2" t="s">
        <v>48</v>
      </c>
      <c r="I278" s="4" t="n">
        <v>90500</v>
      </c>
      <c r="J278" s="2" t="s">
        <v>49</v>
      </c>
      <c r="K278" s="3" t="n">
        <v>5</v>
      </c>
      <c r="L278" s="2" t="s">
        <v>50</v>
      </c>
      <c r="M278" s="2" t="s">
        <v>51</v>
      </c>
      <c r="N278" s="2" t="s">
        <v>52</v>
      </c>
      <c r="O278" s="3" t="n">
        <v>0</v>
      </c>
      <c r="P278" s="2" t="s">
        <v>189</v>
      </c>
      <c r="Q278" s="2" t="s">
        <v>190</v>
      </c>
      <c r="R278" s="2" t="s">
        <v>188</v>
      </c>
      <c r="S278" s="2" t="s">
        <v>51</v>
      </c>
      <c r="T278" s="2" t="s">
        <v>1243</v>
      </c>
      <c r="U278" s="2" t="s">
        <v>180</v>
      </c>
      <c r="V278" s="4" t="n">
        <v>1737000</v>
      </c>
      <c r="W278" s="5" t="n">
        <v>11.09</v>
      </c>
      <c r="X278" s="3" t="n">
        <v>72</v>
      </c>
      <c r="Y278" s="6" t="n">
        <v>46194</v>
      </c>
      <c r="Z278" s="6" t="n">
        <v>46198</v>
      </c>
      <c r="AA278" s="6" t="n">
        <v>46204</v>
      </c>
      <c r="AB278" s="4" t="n">
        <f aca="false">ROUND(PMT(W278/1200,X278,-V278),2)</f>
        <v>33142.32</v>
      </c>
      <c r="AC278" s="4" t="n">
        <v>2557000</v>
      </c>
      <c r="AD278" s="3" t="n">
        <v>0</v>
      </c>
      <c r="AE278" s="4" t="n">
        <v>333400</v>
      </c>
      <c r="AF278" s="4" t="n">
        <v>34400</v>
      </c>
      <c r="AG278" s="3" t="n">
        <v>2</v>
      </c>
      <c r="AH278" s="4" t="n">
        <v>85800</v>
      </c>
      <c r="AI278" s="3" t="n">
        <v>551</v>
      </c>
      <c r="AJ278" s="7" t="n">
        <f aca="false">ROUND(AB278/I278,4)</f>
        <v>0.3662</v>
      </c>
      <c r="AK278" s="2" t="str">
        <f aca="false">IF(AND(AI278&gt;=750,AJ278&lt;=0.35),"Low",IF(AND(AI278&gt;=600,AJ278&lt;=0.5),"Medium","High"))</f>
        <v>High</v>
      </c>
      <c r="AL278" s="3" t="n">
        <v>1</v>
      </c>
      <c r="AM278" s="2" t="s">
        <v>58</v>
      </c>
      <c r="AN278" s="2" t="s">
        <v>59</v>
      </c>
      <c r="AO278" s="2" t="s">
        <v>60</v>
      </c>
      <c r="AP278" s="7" t="n">
        <v>0.406</v>
      </c>
    </row>
    <row r="279" customFormat="false" ht="15" hidden="false" customHeight="false" outlineLevel="0" collapsed="false">
      <c r="A279" s="2" t="s">
        <v>1244</v>
      </c>
      <c r="B279" s="2" t="s">
        <v>1245</v>
      </c>
      <c r="C279" s="2" t="s">
        <v>1246</v>
      </c>
      <c r="D279" s="2" t="s">
        <v>109</v>
      </c>
      <c r="E279" s="3" t="n">
        <v>34</v>
      </c>
      <c r="F279" s="2" t="s">
        <v>64</v>
      </c>
      <c r="G279" s="2" t="s">
        <v>47</v>
      </c>
      <c r="H279" s="2" t="s">
        <v>48</v>
      </c>
      <c r="I279" s="4" t="n">
        <v>97000</v>
      </c>
      <c r="J279" s="2" t="s">
        <v>49</v>
      </c>
      <c r="K279" s="3" t="n">
        <v>13</v>
      </c>
      <c r="L279" s="2" t="s">
        <v>231</v>
      </c>
      <c r="M279" s="2" t="s">
        <v>92</v>
      </c>
      <c r="N279" s="2" t="s">
        <v>52</v>
      </c>
      <c r="O279" s="3" t="n">
        <v>1</v>
      </c>
      <c r="P279" s="2" t="s">
        <v>229</v>
      </c>
      <c r="Q279" s="2" t="s">
        <v>230</v>
      </c>
      <c r="R279" s="2" t="s">
        <v>231</v>
      </c>
      <c r="S279" s="2" t="s">
        <v>92</v>
      </c>
      <c r="T279" s="2" t="s">
        <v>1247</v>
      </c>
      <c r="U279" s="2" t="s">
        <v>57</v>
      </c>
      <c r="V279" s="4" t="n">
        <v>5000000</v>
      </c>
      <c r="W279" s="5" t="n">
        <v>8.53</v>
      </c>
      <c r="X279" s="3" t="n">
        <v>294</v>
      </c>
      <c r="Y279" s="6" t="n">
        <v>46203</v>
      </c>
      <c r="Z279" s="6" t="n">
        <v>46204</v>
      </c>
      <c r="AA279" s="6" t="n">
        <v>46210</v>
      </c>
      <c r="AB279" s="4" t="n">
        <f aca="false">ROUND(PMT(W279/1200,X279,-V279),2)</f>
        <v>40601.58</v>
      </c>
      <c r="AC279" s="4" t="n">
        <v>7133000</v>
      </c>
      <c r="AD279" s="3" t="n">
        <v>3</v>
      </c>
      <c r="AE279" s="4" t="n">
        <v>125700</v>
      </c>
      <c r="AF279" s="4" t="n">
        <v>46700</v>
      </c>
      <c r="AG279" s="3" t="n">
        <v>27</v>
      </c>
      <c r="AH279" s="4" t="n">
        <v>83000</v>
      </c>
      <c r="AI279" s="3" t="n">
        <v>890</v>
      </c>
      <c r="AJ279" s="7" t="n">
        <f aca="false">ROUND(AB279/I279,4)</f>
        <v>0.4186</v>
      </c>
      <c r="AK279" s="2" t="str">
        <f aca="false">IF(AND(AI279&gt;=750,AJ279&lt;=0.35),"Low",IF(AND(AI279&gt;=600,AJ279&lt;=0.5),"Medium","High"))</f>
        <v>Medium</v>
      </c>
      <c r="AL279" s="3" t="n">
        <v>0</v>
      </c>
      <c r="AM279" s="2" t="s">
        <v>58</v>
      </c>
      <c r="AN279" s="2" t="s">
        <v>59</v>
      </c>
      <c r="AO279" s="2" t="s">
        <v>60</v>
      </c>
      <c r="AP279" s="7" t="n">
        <v>0.15</v>
      </c>
    </row>
    <row r="280" customFormat="false" ht="15" hidden="false" customHeight="false" outlineLevel="0" collapsed="false">
      <c r="A280" s="2" t="s">
        <v>1248</v>
      </c>
      <c r="B280" s="2" t="s">
        <v>1249</v>
      </c>
      <c r="C280" s="2" t="s">
        <v>1250</v>
      </c>
      <c r="D280" s="2" t="s">
        <v>109</v>
      </c>
      <c r="E280" s="3" t="n">
        <v>41</v>
      </c>
      <c r="F280" s="2" t="s">
        <v>64</v>
      </c>
      <c r="G280" s="2" t="s">
        <v>166</v>
      </c>
      <c r="H280" s="2" t="s">
        <v>167</v>
      </c>
      <c r="I280" s="4" t="n">
        <v>217500</v>
      </c>
      <c r="J280" s="2" t="s">
        <v>145</v>
      </c>
      <c r="K280" s="3" t="n">
        <v>18</v>
      </c>
      <c r="L280" s="2" t="s">
        <v>1251</v>
      </c>
      <c r="M280" s="2" t="s">
        <v>51</v>
      </c>
      <c r="N280" s="2" t="s">
        <v>52</v>
      </c>
      <c r="O280" s="3" t="n">
        <v>2</v>
      </c>
      <c r="P280" s="2" t="s">
        <v>189</v>
      </c>
      <c r="Q280" s="2" t="s">
        <v>190</v>
      </c>
      <c r="R280" s="2" t="s">
        <v>188</v>
      </c>
      <c r="S280" s="2" t="s">
        <v>51</v>
      </c>
      <c r="T280" s="2" t="s">
        <v>1252</v>
      </c>
      <c r="U280" s="2" t="s">
        <v>72</v>
      </c>
      <c r="V280" s="4" t="n">
        <v>1384000</v>
      </c>
      <c r="W280" s="5" t="n">
        <v>14.62</v>
      </c>
      <c r="X280" s="3" t="n">
        <v>36</v>
      </c>
      <c r="Y280" s="6" t="n">
        <v>46202</v>
      </c>
      <c r="Z280" s="6"/>
      <c r="AA280" s="6"/>
      <c r="AB280" s="4" t="n">
        <f aca="false">ROUND(PMT(W280/1200,X280,-V280),2)</f>
        <v>47719.67</v>
      </c>
      <c r="AC280" s="4" t="n">
        <v>1945000</v>
      </c>
      <c r="AD280" s="3" t="n">
        <v>0</v>
      </c>
      <c r="AE280" s="4" t="n">
        <v>492800</v>
      </c>
      <c r="AF280" s="4" t="n">
        <v>113600</v>
      </c>
      <c r="AG280" s="3"/>
      <c r="AH280" s="4" t="n">
        <v>66800</v>
      </c>
      <c r="AI280" s="3" t="n">
        <v>605</v>
      </c>
      <c r="AJ280" s="7" t="n">
        <f aca="false">ROUND(AB280/I280,4)</f>
        <v>0.2194</v>
      </c>
      <c r="AK280" s="2" t="str">
        <f aca="false">IF(AND(AI280&gt;=750,AJ280&lt;=0.35),"Low",IF(AND(AI280&gt;=600,AJ280&lt;=0.5),"Medium","High"))</f>
        <v>Medium</v>
      </c>
      <c r="AL280" s="3"/>
      <c r="AM280" s="2" t="s">
        <v>58</v>
      </c>
      <c r="AN280" s="2"/>
      <c r="AO280" s="2" t="s">
        <v>127</v>
      </c>
      <c r="AP280" s="7" t="n">
        <v>0.323</v>
      </c>
    </row>
    <row r="281" customFormat="false" ht="15" hidden="false" customHeight="false" outlineLevel="0" collapsed="false">
      <c r="A281" s="2" t="s">
        <v>1253</v>
      </c>
      <c r="B281" s="2" t="s">
        <v>1254</v>
      </c>
      <c r="C281" s="2" t="s">
        <v>1255</v>
      </c>
      <c r="D281" s="2" t="s">
        <v>45</v>
      </c>
      <c r="E281" s="3" t="n">
        <v>39</v>
      </c>
      <c r="F281" s="2" t="s">
        <v>64</v>
      </c>
      <c r="G281" s="2" t="s">
        <v>47</v>
      </c>
      <c r="H281" s="2" t="s">
        <v>101</v>
      </c>
      <c r="I281" s="4" t="n">
        <v>235000</v>
      </c>
      <c r="J281" s="2" t="s">
        <v>49</v>
      </c>
      <c r="K281" s="3" t="n">
        <v>16</v>
      </c>
      <c r="L281" s="2" t="s">
        <v>569</v>
      </c>
      <c r="M281" s="2" t="s">
        <v>67</v>
      </c>
      <c r="N281" s="2" t="s">
        <v>52</v>
      </c>
      <c r="O281" s="3" t="n">
        <v>4</v>
      </c>
      <c r="P281" s="2" t="s">
        <v>197</v>
      </c>
      <c r="Q281" s="2" t="s">
        <v>198</v>
      </c>
      <c r="R281" s="2" t="s">
        <v>139</v>
      </c>
      <c r="S281" s="2" t="s">
        <v>139</v>
      </c>
      <c r="T281" s="2" t="s">
        <v>1256</v>
      </c>
      <c r="U281" s="2" t="s">
        <v>97</v>
      </c>
      <c r="V281" s="4" t="n">
        <v>1500000</v>
      </c>
      <c r="W281" s="5" t="n">
        <v>11.46</v>
      </c>
      <c r="X281" s="3" t="n">
        <v>36</v>
      </c>
      <c r="Y281" s="6" t="n">
        <v>46185</v>
      </c>
      <c r="Z281" s="6" t="n">
        <v>46190</v>
      </c>
      <c r="AA281" s="6" t="n">
        <v>46192</v>
      </c>
      <c r="AB281" s="4" t="n">
        <f aca="false">ROUND(PMT(W281/1200,X281,-V281),2)</f>
        <v>49435.48</v>
      </c>
      <c r="AC281" s="4" t="n">
        <v>0</v>
      </c>
      <c r="AD281" s="3" t="n">
        <v>1</v>
      </c>
      <c r="AE281" s="4" t="n">
        <v>318200</v>
      </c>
      <c r="AF281" s="4" t="n">
        <v>185600</v>
      </c>
      <c r="AG281" s="3" t="n">
        <v>23</v>
      </c>
      <c r="AH281" s="4" t="n">
        <v>250600</v>
      </c>
      <c r="AI281" s="3" t="n">
        <v>900</v>
      </c>
      <c r="AJ281" s="7" t="n">
        <f aca="false">ROUND(AB281/I281,4)</f>
        <v>0.2104</v>
      </c>
      <c r="AK281" s="2" t="str">
        <f aca="false">IF(AND(AI281&gt;=750,AJ281&lt;=0.35),"Low",IF(AND(AI281&gt;=600,AJ281&lt;=0.5),"Medium","High"))</f>
        <v>Low</v>
      </c>
      <c r="AL281" s="3" t="n">
        <v>0</v>
      </c>
      <c r="AM281" s="2" t="s">
        <v>58</v>
      </c>
      <c r="AN281" s="2" t="s">
        <v>59</v>
      </c>
      <c r="AO281" s="2" t="s">
        <v>60</v>
      </c>
      <c r="AP281" s="7" t="n">
        <v>0.08</v>
      </c>
    </row>
    <row r="282" customFormat="false" ht="15" hidden="false" customHeight="false" outlineLevel="0" collapsed="false">
      <c r="A282" s="2" t="s">
        <v>1257</v>
      </c>
      <c r="B282" s="2" t="s">
        <v>1258</v>
      </c>
      <c r="C282" s="2" t="s">
        <v>1259</v>
      </c>
      <c r="D282" s="2" t="s">
        <v>45</v>
      </c>
      <c r="E282" s="3" t="n">
        <v>29</v>
      </c>
      <c r="F282" s="2" t="s">
        <v>46</v>
      </c>
      <c r="G282" s="2" t="s">
        <v>90</v>
      </c>
      <c r="H282" s="2" t="s">
        <v>77</v>
      </c>
      <c r="I282" s="4" t="n">
        <v>15000</v>
      </c>
      <c r="J282" s="2" t="s">
        <v>90</v>
      </c>
      <c r="K282" s="3" t="n">
        <v>6</v>
      </c>
      <c r="L282" s="2" t="s">
        <v>70</v>
      </c>
      <c r="M282" s="2" t="s">
        <v>67</v>
      </c>
      <c r="N282" s="2" t="s">
        <v>81</v>
      </c>
      <c r="O282" s="3" t="n">
        <v>2</v>
      </c>
      <c r="P282" s="2" t="s">
        <v>68</v>
      </c>
      <c r="Q282" s="2" t="s">
        <v>69</v>
      </c>
      <c r="R282" s="2" t="s">
        <v>70</v>
      </c>
      <c r="S282" s="2" t="s">
        <v>67</v>
      </c>
      <c r="T282" s="2" t="s">
        <v>1260</v>
      </c>
      <c r="U282" s="2" t="s">
        <v>192</v>
      </c>
      <c r="V282" s="4" t="n">
        <v>200000</v>
      </c>
      <c r="W282" s="5" t="n">
        <v>12.99</v>
      </c>
      <c r="X282" s="3" t="n">
        <v>12</v>
      </c>
      <c r="Y282" s="6" t="n">
        <v>46198</v>
      </c>
      <c r="Z282" s="6" t="n">
        <v>46200</v>
      </c>
      <c r="AA282" s="6" t="n">
        <v>46205</v>
      </c>
      <c r="AB282" s="4" t="n">
        <f aca="false">ROUND(PMT(W282/1200,X282,-V282),2)</f>
        <v>17862.52</v>
      </c>
      <c r="AC282" s="4"/>
      <c r="AD282" s="3" t="n">
        <v>0</v>
      </c>
      <c r="AE282" s="4" t="n">
        <v>24100</v>
      </c>
      <c r="AF282" s="4" t="n">
        <v>8300</v>
      </c>
      <c r="AG282" s="3" t="n">
        <v>10</v>
      </c>
      <c r="AH282" s="4" t="n">
        <v>8300</v>
      </c>
      <c r="AI282" s="3" t="n">
        <v>884</v>
      </c>
      <c r="AJ282" s="7" t="n">
        <f aca="false">ROUND(AB282/I282,4)</f>
        <v>1.1908</v>
      </c>
      <c r="AK282" s="2" t="str">
        <f aca="false">IF(AND(AI282&gt;=750,AJ282&lt;=0.35),"Low",IF(AND(AI282&gt;=600,AJ282&lt;=0.5),"Medium","High"))</f>
        <v>High</v>
      </c>
      <c r="AL282" s="3" t="n">
        <v>0</v>
      </c>
      <c r="AM282" s="2" t="s">
        <v>58</v>
      </c>
      <c r="AN282" s="2" t="s">
        <v>119</v>
      </c>
      <c r="AO282" s="2" t="s">
        <v>60</v>
      </c>
      <c r="AP282" s="7" t="n">
        <v>0.01</v>
      </c>
    </row>
    <row r="283" customFormat="false" ht="15" hidden="false" customHeight="false" outlineLevel="0" collapsed="false">
      <c r="A283" s="2" t="s">
        <v>1261</v>
      </c>
      <c r="B283" s="2" t="s">
        <v>1262</v>
      </c>
      <c r="C283" s="2" t="s">
        <v>1263</v>
      </c>
      <c r="D283" s="2" t="s">
        <v>45</v>
      </c>
      <c r="E283" s="3" t="n">
        <v>31</v>
      </c>
      <c r="F283" s="2" t="s">
        <v>175</v>
      </c>
      <c r="G283" s="2" t="s">
        <v>65</v>
      </c>
      <c r="H283" s="2" t="s">
        <v>48</v>
      </c>
      <c r="I283" s="4" t="n">
        <v>28000</v>
      </c>
      <c r="J283" s="2" t="s">
        <v>49</v>
      </c>
      <c r="K283" s="3" t="n">
        <v>5</v>
      </c>
      <c r="L283" s="2" t="s">
        <v>159</v>
      </c>
      <c r="M283" s="2" t="s">
        <v>159</v>
      </c>
      <c r="N283" s="2" t="s">
        <v>81</v>
      </c>
      <c r="O283" s="3" t="n">
        <v>1</v>
      </c>
      <c r="P283" s="2" t="s">
        <v>160</v>
      </c>
      <c r="Q283" s="2" t="s">
        <v>161</v>
      </c>
      <c r="R283" s="2" t="s">
        <v>159</v>
      </c>
      <c r="S283" s="2" t="s">
        <v>159</v>
      </c>
      <c r="T283" s="2" t="s">
        <v>1264</v>
      </c>
      <c r="U283" s="2" t="s">
        <v>97</v>
      </c>
      <c r="V283" s="4" t="n">
        <v>336000</v>
      </c>
      <c r="W283" s="5" t="n">
        <v>14.83</v>
      </c>
      <c r="X283" s="3" t="n">
        <v>48</v>
      </c>
      <c r="Y283" s="6" t="n">
        <v>46197</v>
      </c>
      <c r="Z283" s="6" t="n">
        <v>46207</v>
      </c>
      <c r="AA283" s="6" t="n">
        <v>46210</v>
      </c>
      <c r="AB283" s="4" t="n">
        <f aca="false">ROUND(PMT(W283/1200,X283,-V283),2)</f>
        <v>9322.2</v>
      </c>
      <c r="AC283" s="4" t="n">
        <v>0</v>
      </c>
      <c r="AD283" s="3" t="n">
        <v>0</v>
      </c>
      <c r="AE283" s="4" t="n">
        <v>80300</v>
      </c>
      <c r="AF283" s="4" t="n">
        <v>10600</v>
      </c>
      <c r="AG283" s="3" t="n">
        <v>30</v>
      </c>
      <c r="AH283" s="4" t="n">
        <v>21800</v>
      </c>
      <c r="AI283" s="3" t="n">
        <v>731</v>
      </c>
      <c r="AJ283" s="7" t="n">
        <f aca="false">ROUND(AB283/I283,4)</f>
        <v>0.3329</v>
      </c>
      <c r="AK283" s="2" t="str">
        <f aca="false">IF(AND(AI283&gt;=750,AJ283&lt;=0.35),"Low",IF(AND(AI283&gt;=600,AJ283&lt;=0.5),"Medium","High"))</f>
        <v>Medium</v>
      </c>
      <c r="AL283" s="3" t="n">
        <v>0</v>
      </c>
      <c r="AM283" s="2" t="s">
        <v>58</v>
      </c>
      <c r="AN283" s="2" t="s">
        <v>59</v>
      </c>
      <c r="AO283" s="2" t="s">
        <v>60</v>
      </c>
      <c r="AP283" s="7" t="n">
        <v>0.164</v>
      </c>
    </row>
    <row r="284" customFormat="false" ht="15" hidden="false" customHeight="false" outlineLevel="0" collapsed="false">
      <c r="A284" s="2" t="s">
        <v>1265</v>
      </c>
      <c r="B284" s="2" t="s">
        <v>1266</v>
      </c>
      <c r="C284" s="2" t="s">
        <v>652</v>
      </c>
      <c r="D284" s="2" t="s">
        <v>45</v>
      </c>
      <c r="E284" s="3" t="n">
        <v>28</v>
      </c>
      <c r="F284" s="2" t="s">
        <v>64</v>
      </c>
      <c r="G284" s="2" t="s">
        <v>207</v>
      </c>
      <c r="H284" s="2" t="s">
        <v>48</v>
      </c>
      <c r="I284" s="4" t="n">
        <v>64000</v>
      </c>
      <c r="J284" s="2" t="s">
        <v>49</v>
      </c>
      <c r="K284" s="3" t="n">
        <v>9</v>
      </c>
      <c r="L284" s="2" t="s">
        <v>80</v>
      </c>
      <c r="M284" s="2" t="s">
        <v>80</v>
      </c>
      <c r="N284" s="2" t="s">
        <v>102</v>
      </c>
      <c r="O284" s="3" t="n">
        <v>1</v>
      </c>
      <c r="P284" s="2" t="s">
        <v>82</v>
      </c>
      <c r="Q284" s="2" t="s">
        <v>83</v>
      </c>
      <c r="R284" s="2" t="s">
        <v>80</v>
      </c>
      <c r="S284" s="2" t="s">
        <v>80</v>
      </c>
      <c r="T284" s="2" t="s">
        <v>1267</v>
      </c>
      <c r="U284" s="2" t="s">
        <v>118</v>
      </c>
      <c r="V284" s="4" t="n">
        <v>857000</v>
      </c>
      <c r="W284" s="5" t="n">
        <v>8.61</v>
      </c>
      <c r="X284" s="3" t="n">
        <v>54</v>
      </c>
      <c r="Y284" s="6" t="n">
        <v>46191</v>
      </c>
      <c r="Z284" s="6" t="n">
        <v>46197</v>
      </c>
      <c r="AA284" s="6" t="n">
        <v>46200</v>
      </c>
      <c r="AB284" s="4" t="n">
        <f aca="false">ROUND(PMT(W284/1200,X284,-V284),2)</f>
        <v>19199.06</v>
      </c>
      <c r="AC284" s="4" t="n">
        <v>0</v>
      </c>
      <c r="AD284" s="3" t="n">
        <v>1</v>
      </c>
      <c r="AE284" s="4" t="n">
        <v>96900</v>
      </c>
      <c r="AF284" s="4" t="n">
        <v>21300</v>
      </c>
      <c r="AG284" s="3" t="n">
        <v>29</v>
      </c>
      <c r="AH284" s="4" t="n">
        <v>30100</v>
      </c>
      <c r="AI284" s="3" t="n">
        <v>675</v>
      </c>
      <c r="AJ284" s="7" t="n">
        <f aca="false">ROUND(AB284/I284,4)</f>
        <v>0.3</v>
      </c>
      <c r="AK284" s="2" t="str">
        <f aca="false">IF(AND(AI284&gt;=750,AJ284&lt;=0.35),"Low",IF(AND(AI284&gt;=600,AJ284&lt;=0.5),"Medium","High"))</f>
        <v>Medium</v>
      </c>
      <c r="AL284" s="3" t="n">
        <v>2</v>
      </c>
      <c r="AM284" s="2" t="s">
        <v>233</v>
      </c>
      <c r="AN284" s="2" t="s">
        <v>59</v>
      </c>
      <c r="AO284" s="2" t="s">
        <v>60</v>
      </c>
      <c r="AP284" s="7" t="n">
        <v>0.333</v>
      </c>
    </row>
    <row r="285" customFormat="false" ht="15" hidden="false" customHeight="false" outlineLevel="0" collapsed="false">
      <c r="A285" s="2" t="s">
        <v>1268</v>
      </c>
      <c r="B285" s="2" t="s">
        <v>1269</v>
      </c>
      <c r="C285" s="2" t="s">
        <v>467</v>
      </c>
      <c r="D285" s="2" t="s">
        <v>45</v>
      </c>
      <c r="E285" s="3" t="n">
        <v>56</v>
      </c>
      <c r="F285" s="2" t="s">
        <v>64</v>
      </c>
      <c r="G285" s="2" t="s">
        <v>76</v>
      </c>
      <c r="H285" s="2" t="s">
        <v>101</v>
      </c>
      <c r="I285" s="4" t="n">
        <v>57500</v>
      </c>
      <c r="J285" s="2" t="s">
        <v>78</v>
      </c>
      <c r="K285" s="3" t="n">
        <v>38</v>
      </c>
      <c r="L285" s="2" t="s">
        <v>66</v>
      </c>
      <c r="M285" s="2" t="s">
        <v>67</v>
      </c>
      <c r="N285" s="2" t="s">
        <v>52</v>
      </c>
      <c r="O285" s="3" t="n">
        <v>1</v>
      </c>
      <c r="P285" s="2" t="s">
        <v>103</v>
      </c>
      <c r="Q285" s="2" t="s">
        <v>104</v>
      </c>
      <c r="R285" s="2" t="s">
        <v>67</v>
      </c>
      <c r="S285" s="2" t="s">
        <v>67</v>
      </c>
      <c r="T285" s="2" t="s">
        <v>1270</v>
      </c>
      <c r="U285" s="2" t="s">
        <v>97</v>
      </c>
      <c r="V285" s="4" t="n">
        <v>504000</v>
      </c>
      <c r="W285" s="5" t="n">
        <v>13.13</v>
      </c>
      <c r="X285" s="3" t="n">
        <v>24</v>
      </c>
      <c r="Y285" s="6" t="n">
        <v>46196</v>
      </c>
      <c r="Z285" s="6" t="n">
        <v>46206</v>
      </c>
      <c r="AA285" s="6" t="n">
        <v>46212</v>
      </c>
      <c r="AB285" s="4" t="n">
        <f aca="false">ROUND(PMT(W285/1200,X285,-V285),2)</f>
        <v>23991.87</v>
      </c>
      <c r="AC285" s="4" t="n">
        <v>0</v>
      </c>
      <c r="AD285" s="3" t="n">
        <v>0</v>
      </c>
      <c r="AE285" s="4" t="n">
        <v>201500</v>
      </c>
      <c r="AF285" s="4" t="n">
        <v>105300</v>
      </c>
      <c r="AG285" s="3" t="n">
        <v>28</v>
      </c>
      <c r="AH285" s="4" t="n">
        <v>33800</v>
      </c>
      <c r="AI285" s="3" t="n">
        <v>680</v>
      </c>
      <c r="AJ285" s="7" t="n">
        <f aca="false">ROUND(AB285/I285,4)</f>
        <v>0.4172</v>
      </c>
      <c r="AK285" s="2" t="str">
        <f aca="false">IF(AND(AI285&gt;=750,AJ285&lt;=0.35),"Low",IF(AND(AI285&gt;=600,AJ285&lt;=0.5),"Medium","High"))</f>
        <v>Medium</v>
      </c>
      <c r="AL285" s="3" t="n">
        <v>0</v>
      </c>
      <c r="AM285" s="2" t="s">
        <v>58</v>
      </c>
      <c r="AN285" s="2" t="s">
        <v>119</v>
      </c>
      <c r="AO285" s="2" t="s">
        <v>60</v>
      </c>
      <c r="AP285" s="7" t="n">
        <v>0.303</v>
      </c>
    </row>
    <row r="286" customFormat="false" ht="15" hidden="false" customHeight="false" outlineLevel="0" collapsed="false">
      <c r="A286" s="2" t="s">
        <v>1271</v>
      </c>
      <c r="B286" s="2" t="s">
        <v>1272</v>
      </c>
      <c r="C286" s="2" t="s">
        <v>1273</v>
      </c>
      <c r="D286" s="2" t="s">
        <v>109</v>
      </c>
      <c r="E286" s="3" t="n">
        <v>25</v>
      </c>
      <c r="F286" s="2" t="s">
        <v>46</v>
      </c>
      <c r="G286" s="2" t="s">
        <v>110</v>
      </c>
      <c r="H286" s="2" t="s">
        <v>48</v>
      </c>
      <c r="I286" s="4" t="n">
        <v>26000</v>
      </c>
      <c r="J286" s="2" t="s">
        <v>112</v>
      </c>
      <c r="K286" s="3" t="n">
        <v>5</v>
      </c>
      <c r="L286" s="2" t="s">
        <v>80</v>
      </c>
      <c r="M286" s="2" t="s">
        <v>80</v>
      </c>
      <c r="N286" s="2" t="s">
        <v>81</v>
      </c>
      <c r="O286" s="3" t="n">
        <v>0</v>
      </c>
      <c r="P286" s="2" t="s">
        <v>82</v>
      </c>
      <c r="Q286" s="2" t="s">
        <v>83</v>
      </c>
      <c r="R286" s="2" t="s">
        <v>80</v>
      </c>
      <c r="S286" s="2" t="s">
        <v>80</v>
      </c>
      <c r="T286" s="2" t="s">
        <v>1274</v>
      </c>
      <c r="U286" s="2" t="s">
        <v>85</v>
      </c>
      <c r="V286" s="4" t="n">
        <v>146000</v>
      </c>
      <c r="W286" s="5" t="n">
        <v>9.21</v>
      </c>
      <c r="X286" s="3" t="n">
        <v>24</v>
      </c>
      <c r="Y286" s="6" t="n">
        <v>46188</v>
      </c>
      <c r="Z286" s="6" t="n">
        <v>46196</v>
      </c>
      <c r="AA286" s="6" t="n">
        <v>46200</v>
      </c>
      <c r="AB286" s="4" t="n">
        <f aca="false">ROUND(PMT(W286/1200,X286,-V286),2)</f>
        <v>6684.05</v>
      </c>
      <c r="AC286" s="4" t="n">
        <v>0</v>
      </c>
      <c r="AD286" s="3" t="n">
        <v>1</v>
      </c>
      <c r="AE286" s="4" t="n">
        <v>68500</v>
      </c>
      <c r="AF286" s="4" t="n">
        <v>38200</v>
      </c>
      <c r="AG286" s="3"/>
      <c r="AH286" s="4" t="n">
        <v>11100</v>
      </c>
      <c r="AI286" s="3" t="n">
        <v>552</v>
      </c>
      <c r="AJ286" s="7" t="n">
        <f aca="false">ROUND(AB286/I286,4)</f>
        <v>0.2571</v>
      </c>
      <c r="AK286" s="2" t="str">
        <f aca="false">IF(AND(AI286&gt;=750,AJ286&lt;=0.35),"Low",IF(AND(AI286&gt;=600,AJ286&lt;=0.5),"Medium","High"))</f>
        <v>High</v>
      </c>
      <c r="AL286" s="3" t="n">
        <v>4</v>
      </c>
      <c r="AM286" s="2" t="s">
        <v>58</v>
      </c>
      <c r="AN286" s="2" t="s">
        <v>59</v>
      </c>
      <c r="AO286" s="2" t="s">
        <v>60</v>
      </c>
      <c r="AP286" s="7" t="n">
        <v>0.443</v>
      </c>
    </row>
    <row r="287" customFormat="false" ht="15" hidden="false" customHeight="false" outlineLevel="0" collapsed="false">
      <c r="A287" s="2" t="s">
        <v>1275</v>
      </c>
      <c r="B287" s="2" t="s">
        <v>107</v>
      </c>
      <c r="C287" s="2" t="s">
        <v>1276</v>
      </c>
      <c r="D287" s="2" t="s">
        <v>109</v>
      </c>
      <c r="E287" s="3" t="n">
        <v>42</v>
      </c>
      <c r="F287" s="2" t="s">
        <v>64</v>
      </c>
      <c r="G287" s="2" t="s">
        <v>145</v>
      </c>
      <c r="H287" s="2" t="s">
        <v>48</v>
      </c>
      <c r="I287" s="4" t="n">
        <v>87500</v>
      </c>
      <c r="J287" s="2" t="s">
        <v>145</v>
      </c>
      <c r="K287" s="3" t="n">
        <v>24</v>
      </c>
      <c r="L287" s="2" t="s">
        <v>188</v>
      </c>
      <c r="M287" s="2" t="s">
        <v>51</v>
      </c>
      <c r="N287" s="2" t="s">
        <v>140</v>
      </c>
      <c r="O287" s="3" t="n">
        <v>1</v>
      </c>
      <c r="P287" s="2" t="s">
        <v>189</v>
      </c>
      <c r="Q287" s="2" t="s">
        <v>190</v>
      </c>
      <c r="R287" s="2" t="s">
        <v>188</v>
      </c>
      <c r="S287" s="2" t="s">
        <v>51</v>
      </c>
      <c r="T287" s="2" t="s">
        <v>1277</v>
      </c>
      <c r="U287" s="2" t="s">
        <v>118</v>
      </c>
      <c r="V287" s="4" t="n">
        <v>1158000</v>
      </c>
      <c r="W287" s="5" t="n">
        <v>9.02</v>
      </c>
      <c r="X287" s="3" t="n">
        <v>48</v>
      </c>
      <c r="Y287" s="6" t="n">
        <v>46179</v>
      </c>
      <c r="Z287" s="6" t="n">
        <v>46185</v>
      </c>
      <c r="AA287" s="6" t="n">
        <v>46190</v>
      </c>
      <c r="AB287" s="4" t="n">
        <f aca="false">ROUND(PMT(W287/1200,X287,-V287),2)</f>
        <v>28827.88</v>
      </c>
      <c r="AC287" s="4" t="n">
        <v>0</v>
      </c>
      <c r="AD287" s="3" t="n">
        <v>0</v>
      </c>
      <c r="AE287" s="4" t="n">
        <v>99400</v>
      </c>
      <c r="AF287" s="4" t="n">
        <v>35000</v>
      </c>
      <c r="AG287" s="3" t="n">
        <v>26</v>
      </c>
      <c r="AH287" s="4" t="n">
        <v>48800</v>
      </c>
      <c r="AI287" s="3" t="n">
        <v>850</v>
      </c>
      <c r="AJ287" s="7" t="n">
        <f aca="false">ROUND(AB287/I287,4)</f>
        <v>0.3295</v>
      </c>
      <c r="AK287" s="2" t="str">
        <f aca="false">IF(AND(AI287&gt;=750,AJ287&lt;=0.35),"Low",IF(AND(AI287&gt;=600,AJ287&lt;=0.5),"Medium","High"))</f>
        <v>Low</v>
      </c>
      <c r="AL287" s="3" t="n">
        <v>0</v>
      </c>
      <c r="AM287" s="2" t="s">
        <v>58</v>
      </c>
      <c r="AN287" s="2" t="s">
        <v>59</v>
      </c>
      <c r="AO287" s="2" t="s">
        <v>60</v>
      </c>
      <c r="AP287" s="7" t="n">
        <v>0.01</v>
      </c>
    </row>
    <row r="288" customFormat="false" ht="15" hidden="false" customHeight="false" outlineLevel="0" collapsed="false">
      <c r="A288" s="2" t="s">
        <v>1278</v>
      </c>
      <c r="B288" s="2" t="s">
        <v>1279</v>
      </c>
      <c r="C288" s="2" t="s">
        <v>1280</v>
      </c>
      <c r="D288" s="2" t="s">
        <v>45</v>
      </c>
      <c r="E288" s="3" t="n">
        <v>35</v>
      </c>
      <c r="F288" s="2" t="s">
        <v>64</v>
      </c>
      <c r="G288" s="2" t="s">
        <v>47</v>
      </c>
      <c r="H288" s="2" t="s">
        <v>48</v>
      </c>
      <c r="I288" s="4" t="n">
        <v>58000</v>
      </c>
      <c r="J288" s="2" t="s">
        <v>49</v>
      </c>
      <c r="K288" s="3" t="n">
        <v>13</v>
      </c>
      <c r="L288" s="2" t="s">
        <v>139</v>
      </c>
      <c r="M288" s="2" t="s">
        <v>139</v>
      </c>
      <c r="N288" s="2" t="s">
        <v>102</v>
      </c>
      <c r="O288" s="3" t="n">
        <v>0</v>
      </c>
      <c r="P288" s="2" t="s">
        <v>197</v>
      </c>
      <c r="Q288" s="2" t="s">
        <v>198</v>
      </c>
      <c r="R288" s="2" t="s">
        <v>139</v>
      </c>
      <c r="S288" s="2" t="s">
        <v>139</v>
      </c>
      <c r="T288" s="2" t="s">
        <v>1281</v>
      </c>
      <c r="U288" s="2" t="s">
        <v>180</v>
      </c>
      <c r="V288" s="4" t="n">
        <v>1016000</v>
      </c>
      <c r="W288" s="5" t="n">
        <v>11.95</v>
      </c>
      <c r="X288" s="3" t="n">
        <v>60</v>
      </c>
      <c r="Y288" s="6" t="n">
        <v>46200</v>
      </c>
      <c r="Z288" s="6" t="n">
        <v>46207</v>
      </c>
      <c r="AA288" s="6" t="n">
        <v>46211</v>
      </c>
      <c r="AB288" s="4" t="n">
        <f aca="false">ROUND(PMT(W288/1200,X288,-V288),2)</f>
        <v>22574.7</v>
      </c>
      <c r="AC288" s="4" t="n">
        <v>1309000</v>
      </c>
      <c r="AD288" s="3" t="n">
        <v>3</v>
      </c>
      <c r="AE288" s="4" t="n">
        <v>136300</v>
      </c>
      <c r="AF288" s="4" t="n">
        <v>16000</v>
      </c>
      <c r="AG288" s="3" t="n">
        <v>57</v>
      </c>
      <c r="AH288" s="4" t="n">
        <v>47000</v>
      </c>
      <c r="AI288" s="3" t="n">
        <v>749</v>
      </c>
      <c r="AJ288" s="7" t="n">
        <f aca="false">ROUND(AB288/I288,4)</f>
        <v>0.3892</v>
      </c>
      <c r="AK288" s="2" t="str">
        <f aca="false">IF(AND(AI288&gt;=750,AJ288&lt;=0.35),"Low",IF(AND(AI288&gt;=600,AJ288&lt;=0.5),"Medium","High"))</f>
        <v>Medium</v>
      </c>
      <c r="AL288" s="3" t="n">
        <v>1</v>
      </c>
      <c r="AM288" s="2" t="s">
        <v>58</v>
      </c>
      <c r="AN288" s="2" t="s">
        <v>59</v>
      </c>
      <c r="AO288" s="2" t="s">
        <v>86</v>
      </c>
      <c r="AP288" s="7" t="n">
        <v>0.169</v>
      </c>
    </row>
    <row r="289" customFormat="false" ht="15" hidden="false" customHeight="false" outlineLevel="0" collapsed="false">
      <c r="A289" s="2" t="s">
        <v>1282</v>
      </c>
      <c r="B289" s="2" t="s">
        <v>1283</v>
      </c>
      <c r="C289" s="2" t="s">
        <v>1012</v>
      </c>
      <c r="D289" s="2" t="s">
        <v>109</v>
      </c>
      <c r="E289" s="3" t="n">
        <v>36</v>
      </c>
      <c r="F289" s="2" t="s">
        <v>64</v>
      </c>
      <c r="G289" s="2" t="s">
        <v>47</v>
      </c>
      <c r="H289" s="2" t="s">
        <v>101</v>
      </c>
      <c r="I289" s="4" t="n">
        <v>92000</v>
      </c>
      <c r="J289" s="2" t="s">
        <v>49</v>
      </c>
      <c r="K289" s="3" t="n">
        <v>13</v>
      </c>
      <c r="L289" s="2" t="s">
        <v>67</v>
      </c>
      <c r="M289" s="2" t="s">
        <v>67</v>
      </c>
      <c r="N289" s="2" t="s">
        <v>81</v>
      </c>
      <c r="O289" s="3" t="n">
        <v>1</v>
      </c>
      <c r="P289" s="2" t="s">
        <v>103</v>
      </c>
      <c r="Q289" s="2" t="s">
        <v>104</v>
      </c>
      <c r="R289" s="2" t="s">
        <v>67</v>
      </c>
      <c r="S289" s="2" t="s">
        <v>67</v>
      </c>
      <c r="T289" s="2" t="s">
        <v>1284</v>
      </c>
      <c r="U289" s="2" t="s">
        <v>57</v>
      </c>
      <c r="V289" s="4" t="n">
        <v>2459000</v>
      </c>
      <c r="W289" s="5" t="n">
        <v>8.52</v>
      </c>
      <c r="X289" s="3" t="n">
        <v>96</v>
      </c>
      <c r="Y289" s="6" t="n">
        <v>46176</v>
      </c>
      <c r="Z289" s="6" t="n">
        <v>46186</v>
      </c>
      <c r="AA289" s="6" t="n">
        <v>46190</v>
      </c>
      <c r="AB289" s="4" t="n">
        <f aca="false">ROUND(PMT(W289/1200,X289,-V289),2)</f>
        <v>35415.5</v>
      </c>
      <c r="AC289" s="4" t="n">
        <v>3537000</v>
      </c>
      <c r="AD289" s="3" t="n">
        <v>0</v>
      </c>
      <c r="AE289" s="4"/>
      <c r="AF289" s="4" t="n">
        <v>34200</v>
      </c>
      <c r="AG289" s="3" t="n">
        <v>56</v>
      </c>
      <c r="AH289" s="4" t="n">
        <v>91500</v>
      </c>
      <c r="AI289" s="3" t="n">
        <v>817</v>
      </c>
      <c r="AJ289" s="7" t="n">
        <f aca="false">ROUND(AB289/I289,4)</f>
        <v>0.385</v>
      </c>
      <c r="AK289" s="2" t="str">
        <f aca="false">IF(AND(AI289&gt;=750,AJ289&lt;=0.35),"Low",IF(AND(AI289&gt;=600,AJ289&lt;=0.5),"Medium","High"))</f>
        <v>Medium</v>
      </c>
      <c r="AL289" s="3" t="n">
        <v>0</v>
      </c>
      <c r="AM289" s="2" t="s">
        <v>58</v>
      </c>
      <c r="AN289" s="2" t="s">
        <v>59</v>
      </c>
      <c r="AO289" s="2" t="s">
        <v>60</v>
      </c>
      <c r="AP289" s="7" t="n">
        <v>0.021</v>
      </c>
    </row>
    <row r="290" customFormat="false" ht="15" hidden="false" customHeight="false" outlineLevel="0" collapsed="false">
      <c r="A290" s="2" t="s">
        <v>1285</v>
      </c>
      <c r="B290" s="2" t="s">
        <v>1286</v>
      </c>
      <c r="C290" s="2" t="s">
        <v>1287</v>
      </c>
      <c r="D290" s="2" t="s">
        <v>109</v>
      </c>
      <c r="E290" s="3" t="n">
        <v>42</v>
      </c>
      <c r="F290" s="2" t="s">
        <v>46</v>
      </c>
      <c r="G290" s="2"/>
      <c r="H290" s="2" t="s">
        <v>48</v>
      </c>
      <c r="I290" s="4" t="n">
        <v>119500</v>
      </c>
      <c r="J290" s="2" t="s">
        <v>177</v>
      </c>
      <c r="K290" s="3" t="n">
        <v>16</v>
      </c>
      <c r="L290" s="2" t="s">
        <v>92</v>
      </c>
      <c r="M290" s="2" t="s">
        <v>92</v>
      </c>
      <c r="N290" s="2" t="s">
        <v>52</v>
      </c>
      <c r="O290" s="3" t="n">
        <v>0</v>
      </c>
      <c r="P290" s="2" t="s">
        <v>124</v>
      </c>
      <c r="Q290" s="2" t="s">
        <v>125</v>
      </c>
      <c r="R290" s="2" t="s">
        <v>91</v>
      </c>
      <c r="S290" s="2" t="s">
        <v>92</v>
      </c>
      <c r="T290" s="2" t="s">
        <v>1288</v>
      </c>
      <c r="U290" s="2" t="s">
        <v>72</v>
      </c>
      <c r="V290" s="4" t="n">
        <v>1310000</v>
      </c>
      <c r="W290" s="5" t="n">
        <v>15.66</v>
      </c>
      <c r="X290" s="3" t="n">
        <v>60</v>
      </c>
      <c r="Y290" s="6" t="n">
        <v>46199</v>
      </c>
      <c r="Z290" s="6"/>
      <c r="AA290" s="6"/>
      <c r="AB290" s="4" t="n">
        <f aca="false">ROUND(PMT(W290/1200,X290,-V290),2)</f>
        <v>31620.48</v>
      </c>
      <c r="AC290" s="4" t="n">
        <v>1384000</v>
      </c>
      <c r="AD290" s="3" t="n">
        <v>0</v>
      </c>
      <c r="AE290" s="4" t="n">
        <v>327100</v>
      </c>
      <c r="AF290" s="4" t="n">
        <v>88500</v>
      </c>
      <c r="AG290" s="3" t="n">
        <v>41</v>
      </c>
      <c r="AH290" s="4" t="n">
        <v>131200</v>
      </c>
      <c r="AI290" s="3" t="n">
        <v>705</v>
      </c>
      <c r="AJ290" s="7" t="n">
        <f aca="false">ROUND(AB290/I290,4)</f>
        <v>0.2646</v>
      </c>
      <c r="AK290" s="2" t="str">
        <f aca="false">IF(AND(AI290&gt;=750,AJ290&lt;=0.35),"Low",IF(AND(AI290&gt;=600,AJ290&lt;=0.5),"Medium","High"))</f>
        <v>Medium</v>
      </c>
      <c r="AL290" s="3" t="n">
        <v>2</v>
      </c>
      <c r="AM290" s="2" t="s">
        <v>58</v>
      </c>
      <c r="AN290" s="2"/>
      <c r="AO290" s="2" t="s">
        <v>134</v>
      </c>
      <c r="AP290" s="7" t="n">
        <v>0.211</v>
      </c>
    </row>
    <row r="291" customFormat="false" ht="15" hidden="false" customHeight="false" outlineLevel="0" collapsed="false">
      <c r="A291" s="2" t="s">
        <v>1289</v>
      </c>
      <c r="B291" s="2" t="s">
        <v>1290</v>
      </c>
      <c r="C291" s="2" t="s">
        <v>1291</v>
      </c>
      <c r="D291" s="2" t="s">
        <v>45</v>
      </c>
      <c r="E291" s="3" t="n">
        <v>28</v>
      </c>
      <c r="F291" s="2" t="s">
        <v>64</v>
      </c>
      <c r="G291" s="2" t="s">
        <v>145</v>
      </c>
      <c r="H291" s="2" t="s">
        <v>77</v>
      </c>
      <c r="I291" s="4" t="n">
        <v>24500</v>
      </c>
      <c r="J291" s="2" t="s">
        <v>145</v>
      </c>
      <c r="K291" s="3" t="n">
        <v>2</v>
      </c>
      <c r="L291" s="2" t="s">
        <v>279</v>
      </c>
      <c r="M291" s="2" t="s">
        <v>51</v>
      </c>
      <c r="N291" s="2" t="s">
        <v>52</v>
      </c>
      <c r="O291" s="3" t="n">
        <v>1</v>
      </c>
      <c r="P291" s="2" t="s">
        <v>131</v>
      </c>
      <c r="Q291" s="2" t="s">
        <v>132</v>
      </c>
      <c r="R291" s="2" t="s">
        <v>51</v>
      </c>
      <c r="S291" s="2" t="s">
        <v>51</v>
      </c>
      <c r="T291" s="2" t="s">
        <v>1292</v>
      </c>
      <c r="U291" s="2" t="s">
        <v>192</v>
      </c>
      <c r="V291" s="4" t="n">
        <v>624000</v>
      </c>
      <c r="W291" s="5" t="n">
        <v>12.84</v>
      </c>
      <c r="X291" s="3" t="n">
        <v>84</v>
      </c>
      <c r="Y291" s="6" t="n">
        <v>46177</v>
      </c>
      <c r="Z291" s="6"/>
      <c r="AA291" s="6"/>
      <c r="AB291" s="4" t="n">
        <f aca="false">ROUND(PMT(W291/1200,X291,-V291),2)</f>
        <v>11297.58</v>
      </c>
      <c r="AC291" s="4" t="n">
        <v>908000</v>
      </c>
      <c r="AD291" s="3" t="n">
        <v>2</v>
      </c>
      <c r="AE291" s="4"/>
      <c r="AF291" s="4" t="n">
        <v>22200</v>
      </c>
      <c r="AG291" s="3" t="n">
        <v>26</v>
      </c>
      <c r="AH291" s="4" t="n">
        <v>21100</v>
      </c>
      <c r="AI291" s="3" t="n">
        <v>805</v>
      </c>
      <c r="AJ291" s="7" t="n">
        <f aca="false">ROUND(AB291/I291,4)</f>
        <v>0.4611</v>
      </c>
      <c r="AK291" s="2" t="str">
        <f aca="false">IF(AND(AI291&gt;=750,AJ291&lt;=0.35),"Low",IF(AND(AI291&gt;=600,AJ291&lt;=0.5),"Medium","High"))</f>
        <v>Medium</v>
      </c>
      <c r="AL291" s="3" t="n">
        <v>0</v>
      </c>
      <c r="AM291" s="2" t="s">
        <v>58</v>
      </c>
      <c r="AN291" s="2"/>
      <c r="AO291" s="2" t="s">
        <v>134</v>
      </c>
      <c r="AP291" s="7" t="n">
        <v>0.105</v>
      </c>
    </row>
    <row r="292" customFormat="false" ht="15" hidden="false" customHeight="false" outlineLevel="0" collapsed="false">
      <c r="A292" s="2" t="s">
        <v>1293</v>
      </c>
      <c r="B292" s="2" t="s">
        <v>1294</v>
      </c>
      <c r="C292" s="2" t="s">
        <v>1295</v>
      </c>
      <c r="D292" s="2" t="s">
        <v>45</v>
      </c>
      <c r="E292" s="3" t="n">
        <v>30</v>
      </c>
      <c r="F292" s="2" t="s">
        <v>64</v>
      </c>
      <c r="G292" s="2" t="s">
        <v>176</v>
      </c>
      <c r="H292" s="2" t="s">
        <v>123</v>
      </c>
      <c r="I292" s="4" t="n">
        <v>47000</v>
      </c>
      <c r="J292" s="2" t="s">
        <v>177</v>
      </c>
      <c r="K292" s="3" t="n">
        <v>4</v>
      </c>
      <c r="L292" s="2" t="s">
        <v>726</v>
      </c>
      <c r="M292" s="2" t="s">
        <v>147</v>
      </c>
      <c r="N292" s="2" t="s">
        <v>52</v>
      </c>
      <c r="O292" s="3" t="n">
        <v>1</v>
      </c>
      <c r="P292" s="2" t="s">
        <v>209</v>
      </c>
      <c r="Q292" s="2" t="s">
        <v>210</v>
      </c>
      <c r="R292" s="2" t="s">
        <v>211</v>
      </c>
      <c r="S292" s="2" t="s">
        <v>147</v>
      </c>
      <c r="T292" s="2" t="s">
        <v>1296</v>
      </c>
      <c r="U292" s="2" t="s">
        <v>192</v>
      </c>
      <c r="V292" s="4" t="n">
        <v>721000</v>
      </c>
      <c r="W292" s="5" t="n">
        <v>13.45</v>
      </c>
      <c r="X292" s="3" t="n">
        <v>60</v>
      </c>
      <c r="Y292" s="6" t="n">
        <v>46200</v>
      </c>
      <c r="Z292" s="6" t="n">
        <v>46205</v>
      </c>
      <c r="AA292" s="6" t="n">
        <v>46211</v>
      </c>
      <c r="AB292" s="4" t="n">
        <f aca="false">ROUND(PMT(W292/1200,X292,-V292),2)</f>
        <v>16571.53</v>
      </c>
      <c r="AC292" s="4" t="n">
        <v>979000</v>
      </c>
      <c r="AD292" s="3" t="n">
        <v>2</v>
      </c>
      <c r="AE292" s="4" t="n">
        <v>44100</v>
      </c>
      <c r="AF292" s="4" t="n">
        <v>18900</v>
      </c>
      <c r="AG292" s="3" t="n">
        <v>12</v>
      </c>
      <c r="AH292" s="4" t="n">
        <v>15600</v>
      </c>
      <c r="AI292" s="3" t="n">
        <v>612</v>
      </c>
      <c r="AJ292" s="7" t="n">
        <f aca="false">ROUND(AB292/I292,4)</f>
        <v>0.3526</v>
      </c>
      <c r="AK292" s="2" t="str">
        <f aca="false">IF(AND(AI292&gt;=750,AJ292&lt;=0.35),"Low",IF(AND(AI292&gt;=600,AJ292&lt;=0.5),"Medium","High"))</f>
        <v>Medium</v>
      </c>
      <c r="AL292" s="3" t="n">
        <v>3</v>
      </c>
      <c r="AM292" s="2" t="s">
        <v>58</v>
      </c>
      <c r="AN292" s="2" t="s">
        <v>59</v>
      </c>
      <c r="AO292" s="2" t="s">
        <v>60</v>
      </c>
      <c r="AP292" s="7" t="n">
        <v>0.311</v>
      </c>
    </row>
    <row r="293" customFormat="false" ht="15" hidden="false" customHeight="false" outlineLevel="0" collapsed="false">
      <c r="A293" s="2" t="s">
        <v>1297</v>
      </c>
      <c r="B293" s="2" t="s">
        <v>1298</v>
      </c>
      <c r="C293" s="2" t="s">
        <v>1299</v>
      </c>
      <c r="D293" s="2" t="s">
        <v>109</v>
      </c>
      <c r="E293" s="3" t="n">
        <v>49</v>
      </c>
      <c r="F293" s="2" t="s">
        <v>64</v>
      </c>
      <c r="G293" s="2" t="s">
        <v>110</v>
      </c>
      <c r="H293" s="2" t="s">
        <v>48</v>
      </c>
      <c r="I293" s="4" t="n">
        <v>24500</v>
      </c>
      <c r="J293" s="2" t="s">
        <v>112</v>
      </c>
      <c r="K293" s="3" t="n">
        <v>21</v>
      </c>
      <c r="L293" s="2" t="s">
        <v>569</v>
      </c>
      <c r="M293" s="2" t="s">
        <v>67</v>
      </c>
      <c r="N293" s="2"/>
      <c r="O293" s="3" t="n">
        <v>2</v>
      </c>
      <c r="P293" s="2" t="s">
        <v>103</v>
      </c>
      <c r="Q293" s="2" t="s">
        <v>104</v>
      </c>
      <c r="R293" s="2" t="s">
        <v>67</v>
      </c>
      <c r="S293" s="2" t="s">
        <v>67</v>
      </c>
      <c r="T293" s="2" t="s">
        <v>1300</v>
      </c>
      <c r="U293" s="2" t="s">
        <v>192</v>
      </c>
      <c r="V293" s="4" t="n">
        <v>465000</v>
      </c>
      <c r="W293" s="5" t="n">
        <v>11.85</v>
      </c>
      <c r="X293" s="3" t="n">
        <v>72</v>
      </c>
      <c r="Y293" s="6" t="n">
        <v>46200</v>
      </c>
      <c r="Z293" s="6" t="n">
        <v>46206</v>
      </c>
      <c r="AA293" s="6" t="n">
        <v>46208</v>
      </c>
      <c r="AB293" s="4" t="n">
        <f aca="false">ROUND(PMT(W293/1200,X293,-V293),2)</f>
        <v>9054.61</v>
      </c>
      <c r="AC293" s="4" t="n">
        <v>669000</v>
      </c>
      <c r="AD293" s="3" t="n">
        <v>0</v>
      </c>
      <c r="AE293" s="4" t="n">
        <v>28800</v>
      </c>
      <c r="AF293" s="4" t="n">
        <v>4300</v>
      </c>
      <c r="AG293" s="3" t="n">
        <v>5</v>
      </c>
      <c r="AH293" s="4" t="n">
        <v>25200</v>
      </c>
      <c r="AI293" s="3" t="n">
        <v>834</v>
      </c>
      <c r="AJ293" s="7" t="n">
        <f aca="false">ROUND(AB293/I293,4)</f>
        <v>0.3696</v>
      </c>
      <c r="AK293" s="2" t="str">
        <f aca="false">IF(AND(AI293&gt;=750,AJ293&lt;=0.35),"Low",IF(AND(AI293&gt;=600,AJ293&lt;=0.5),"Medium","High"))</f>
        <v>Medium</v>
      </c>
      <c r="AL293" s="3" t="n">
        <v>0</v>
      </c>
      <c r="AM293" s="2" t="s">
        <v>58</v>
      </c>
      <c r="AN293" s="2" t="s">
        <v>59</v>
      </c>
      <c r="AO293" s="2" t="s">
        <v>60</v>
      </c>
      <c r="AP293" s="7" t="n">
        <v>0.113</v>
      </c>
    </row>
    <row r="294" customFormat="false" ht="15" hidden="false" customHeight="false" outlineLevel="0" collapsed="false">
      <c r="A294" s="2" t="s">
        <v>1301</v>
      </c>
      <c r="B294" s="2" t="s">
        <v>1302</v>
      </c>
      <c r="C294" s="2" t="s">
        <v>1303</v>
      </c>
      <c r="D294" s="2" t="s">
        <v>45</v>
      </c>
      <c r="E294" s="3" t="n">
        <v>44</v>
      </c>
      <c r="F294" s="2" t="s">
        <v>64</v>
      </c>
      <c r="G294" s="2"/>
      <c r="H294" s="2" t="s">
        <v>111</v>
      </c>
      <c r="I294" s="4" t="n">
        <v>32500</v>
      </c>
      <c r="J294" s="2" t="s">
        <v>145</v>
      </c>
      <c r="K294" s="3" t="n">
        <v>17</v>
      </c>
      <c r="L294" s="2" t="s">
        <v>380</v>
      </c>
      <c r="M294" s="2" t="s">
        <v>92</v>
      </c>
      <c r="N294" s="2" t="s">
        <v>52</v>
      </c>
      <c r="O294" s="3" t="n">
        <v>0</v>
      </c>
      <c r="P294" s="2" t="s">
        <v>124</v>
      </c>
      <c r="Q294" s="2" t="s">
        <v>125</v>
      </c>
      <c r="R294" s="2" t="s">
        <v>91</v>
      </c>
      <c r="S294" s="2" t="s">
        <v>92</v>
      </c>
      <c r="T294" s="2" t="s">
        <v>1304</v>
      </c>
      <c r="U294" s="2" t="s">
        <v>192</v>
      </c>
      <c r="V294" s="4" t="n">
        <v>200000</v>
      </c>
      <c r="W294" s="5" t="n">
        <v>13.36</v>
      </c>
      <c r="X294" s="3" t="n">
        <v>54</v>
      </c>
      <c r="Y294" s="6" t="n">
        <v>46178</v>
      </c>
      <c r="Z294" s="6" t="n">
        <v>46187</v>
      </c>
      <c r="AA294" s="6" t="n">
        <v>46190</v>
      </c>
      <c r="AB294" s="4" t="n">
        <f aca="false">ROUND(PMT(W294/1200,X294,-V294),2)</f>
        <v>4947.9</v>
      </c>
      <c r="AC294" s="4" t="n">
        <v>219000</v>
      </c>
      <c r="AD294" s="3" t="n">
        <v>1</v>
      </c>
      <c r="AE294" s="4" t="n">
        <v>22700</v>
      </c>
      <c r="AF294" s="4" t="n">
        <v>8900</v>
      </c>
      <c r="AG294" s="3" t="n">
        <v>21</v>
      </c>
      <c r="AH294" s="4" t="n">
        <v>31600</v>
      </c>
      <c r="AI294" s="3" t="n">
        <v>767</v>
      </c>
      <c r="AJ294" s="7" t="n">
        <f aca="false">ROUND(AB294/I294,4)</f>
        <v>0.1522</v>
      </c>
      <c r="AK294" s="2" t="str">
        <f aca="false">IF(AND(AI294&gt;=750,AJ294&lt;=0.35),"Low",IF(AND(AI294&gt;=600,AJ294&lt;=0.5),"Medium","High"))</f>
        <v>Low</v>
      </c>
      <c r="AL294" s="3" t="n">
        <v>0</v>
      </c>
      <c r="AM294" s="2" t="s">
        <v>58</v>
      </c>
      <c r="AN294" s="2" t="s">
        <v>59</v>
      </c>
      <c r="AO294" s="2" t="s">
        <v>86</v>
      </c>
      <c r="AP294" s="7" t="n">
        <v>0.142</v>
      </c>
    </row>
    <row r="295" customFormat="false" ht="15" hidden="false" customHeight="false" outlineLevel="0" collapsed="false">
      <c r="A295" s="2" t="s">
        <v>1305</v>
      </c>
      <c r="B295" s="2" t="s">
        <v>1306</v>
      </c>
      <c r="C295" s="2" t="s">
        <v>1307</v>
      </c>
      <c r="D295" s="2" t="s">
        <v>109</v>
      </c>
      <c r="E295" s="3" t="n">
        <v>51</v>
      </c>
      <c r="F295" s="2"/>
      <c r="G295" s="2" t="s">
        <v>47</v>
      </c>
      <c r="H295" s="2" t="s">
        <v>101</v>
      </c>
      <c r="I295" s="4" t="n">
        <v>147000</v>
      </c>
      <c r="J295" s="2" t="s">
        <v>49</v>
      </c>
      <c r="K295" s="3" t="n">
        <v>25</v>
      </c>
      <c r="L295" s="2" t="s">
        <v>211</v>
      </c>
      <c r="M295" s="2" t="s">
        <v>147</v>
      </c>
      <c r="N295" s="2" t="s">
        <v>140</v>
      </c>
      <c r="O295" s="3" t="n">
        <v>1</v>
      </c>
      <c r="P295" s="2" t="s">
        <v>148</v>
      </c>
      <c r="Q295" s="2" t="s">
        <v>149</v>
      </c>
      <c r="R295" s="2" t="s">
        <v>147</v>
      </c>
      <c r="S295" s="2" t="s">
        <v>147</v>
      </c>
      <c r="T295" s="2" t="s">
        <v>1308</v>
      </c>
      <c r="U295" s="2" t="s">
        <v>180</v>
      </c>
      <c r="V295" s="4" t="n">
        <v>2329000</v>
      </c>
      <c r="W295" s="5" t="n">
        <v>9.93</v>
      </c>
      <c r="X295" s="3" t="n">
        <v>36</v>
      </c>
      <c r="Y295" s="6" t="n">
        <v>46197</v>
      </c>
      <c r="Z295" s="6" t="n">
        <v>46203</v>
      </c>
      <c r="AA295" s="6" t="n">
        <v>46206</v>
      </c>
      <c r="AB295" s="4" t="n">
        <f aca="false">ROUND(PMT(W295/1200,X295,-V295),2)</f>
        <v>75073.76</v>
      </c>
      <c r="AC295" s="4" t="n">
        <v>2476000</v>
      </c>
      <c r="AD295" s="3" t="n">
        <v>1</v>
      </c>
      <c r="AE295" s="4" t="n">
        <v>515200</v>
      </c>
      <c r="AF295" s="4"/>
      <c r="AG295" s="3" t="n">
        <v>16</v>
      </c>
      <c r="AH295" s="4" t="n">
        <v>118000</v>
      </c>
      <c r="AI295" s="3" t="n">
        <v>856</v>
      </c>
      <c r="AJ295" s="7" t="n">
        <f aca="false">ROUND(AB295/I295,4)</f>
        <v>0.5107</v>
      </c>
      <c r="AK295" s="2" t="str">
        <f aca="false">IF(AND(AI295&gt;=750,AJ295&lt;=0.35),"Low",IF(AND(AI295&gt;=600,AJ295&lt;=0.5),"Medium","High"))</f>
        <v>High</v>
      </c>
      <c r="AL295" s="3" t="n">
        <v>1</v>
      </c>
      <c r="AM295" s="2" t="s">
        <v>58</v>
      </c>
      <c r="AN295" s="2" t="s">
        <v>59</v>
      </c>
      <c r="AO295" s="2" t="s">
        <v>60</v>
      </c>
      <c r="AP295" s="7" t="n">
        <v>0.11</v>
      </c>
    </row>
    <row r="296" customFormat="false" ht="15" hidden="false" customHeight="false" outlineLevel="0" collapsed="false">
      <c r="A296" s="2" t="s">
        <v>1309</v>
      </c>
      <c r="B296" s="2" t="s">
        <v>580</v>
      </c>
      <c r="C296" s="2" t="s">
        <v>1310</v>
      </c>
      <c r="D296" s="2" t="s">
        <v>45</v>
      </c>
      <c r="E296" s="3" t="n">
        <v>41</v>
      </c>
      <c r="F296" s="2" t="s">
        <v>46</v>
      </c>
      <c r="G296" s="2" t="s">
        <v>145</v>
      </c>
      <c r="H296" s="2" t="s">
        <v>111</v>
      </c>
      <c r="I296" s="4" t="n">
        <v>38500</v>
      </c>
      <c r="J296" s="2" t="s">
        <v>145</v>
      </c>
      <c r="K296" s="3" t="n">
        <v>16</v>
      </c>
      <c r="L296" s="2" t="s">
        <v>247</v>
      </c>
      <c r="M296" s="2" t="s">
        <v>80</v>
      </c>
      <c r="N296" s="2" t="s">
        <v>52</v>
      </c>
      <c r="O296" s="3" t="n">
        <v>0</v>
      </c>
      <c r="P296" s="2" t="s">
        <v>82</v>
      </c>
      <c r="Q296" s="2" t="s">
        <v>83</v>
      </c>
      <c r="R296" s="2" t="s">
        <v>80</v>
      </c>
      <c r="S296" s="2" t="s">
        <v>80</v>
      </c>
      <c r="T296" s="2" t="s">
        <v>1311</v>
      </c>
      <c r="U296" s="2" t="s">
        <v>192</v>
      </c>
      <c r="V296" s="4" t="n">
        <v>200000</v>
      </c>
      <c r="W296" s="5" t="n">
        <v>14.43</v>
      </c>
      <c r="X296" s="3" t="n">
        <v>12</v>
      </c>
      <c r="Y296" s="6" t="n">
        <v>46182</v>
      </c>
      <c r="Z296" s="6" t="n">
        <v>46192</v>
      </c>
      <c r="AA296" s="6" t="n">
        <v>46195</v>
      </c>
      <c r="AB296" s="4" t="n">
        <f aca="false">ROUND(PMT(W296/1200,X296,-V296),2)</f>
        <v>17997.91</v>
      </c>
      <c r="AC296" s="4" t="n">
        <v>258000</v>
      </c>
      <c r="AD296" s="3"/>
      <c r="AE296" s="4" t="n">
        <v>43000</v>
      </c>
      <c r="AF296" s="4" t="n">
        <v>9400</v>
      </c>
      <c r="AG296" s="3" t="n">
        <v>16</v>
      </c>
      <c r="AH296" s="4" t="n">
        <v>26800</v>
      </c>
      <c r="AI296" s="3" t="n">
        <v>661</v>
      </c>
      <c r="AJ296" s="7" t="n">
        <f aca="false">ROUND(AB296/I296,4)</f>
        <v>0.4675</v>
      </c>
      <c r="AK296" s="2" t="str">
        <f aca="false">IF(AND(AI296&gt;=750,AJ296&lt;=0.35),"Low",IF(AND(AI296&gt;=600,AJ296&lt;=0.5),"Medium","High"))</f>
        <v>Medium</v>
      </c>
      <c r="AL296" s="3" t="n">
        <v>1</v>
      </c>
      <c r="AM296" s="2" t="s">
        <v>58</v>
      </c>
      <c r="AN296" s="2" t="s">
        <v>59</v>
      </c>
      <c r="AO296" s="2" t="s">
        <v>60</v>
      </c>
      <c r="AP296" s="7" t="n">
        <v>0.294</v>
      </c>
    </row>
    <row r="297" customFormat="false" ht="15" hidden="false" customHeight="false" outlineLevel="0" collapsed="false">
      <c r="A297" s="2" t="s">
        <v>1312</v>
      </c>
      <c r="B297" s="2" t="s">
        <v>1313</v>
      </c>
      <c r="C297" s="2" t="s">
        <v>835</v>
      </c>
      <c r="D297" s="2" t="s">
        <v>109</v>
      </c>
      <c r="E297" s="3" t="n">
        <v>42</v>
      </c>
      <c r="F297" s="2" t="s">
        <v>64</v>
      </c>
      <c r="G297" s="2" t="s">
        <v>110</v>
      </c>
      <c r="H297" s="2" t="s">
        <v>123</v>
      </c>
      <c r="I297" s="4" t="n">
        <v>11500</v>
      </c>
      <c r="J297" s="2" t="s">
        <v>112</v>
      </c>
      <c r="K297" s="3" t="n">
        <v>16</v>
      </c>
      <c r="L297" s="2" t="s">
        <v>95</v>
      </c>
      <c r="M297" s="2" t="s">
        <v>92</v>
      </c>
      <c r="N297" s="2" t="s">
        <v>81</v>
      </c>
      <c r="O297" s="3" t="n">
        <v>2</v>
      </c>
      <c r="P297" s="2" t="s">
        <v>93</v>
      </c>
      <c r="Q297" s="2" t="s">
        <v>94</v>
      </c>
      <c r="R297" s="2" t="s">
        <v>95</v>
      </c>
      <c r="S297" s="2" t="s">
        <v>92</v>
      </c>
      <c r="T297" s="2" t="s">
        <v>1314</v>
      </c>
      <c r="U297" s="2" t="s">
        <v>85</v>
      </c>
      <c r="V297" s="4" t="n">
        <v>50000</v>
      </c>
      <c r="W297" s="5" t="n">
        <v>8.72</v>
      </c>
      <c r="X297" s="3" t="n">
        <v>18</v>
      </c>
      <c r="Y297" s="6" t="n">
        <v>46176</v>
      </c>
      <c r="Z297" s="6"/>
      <c r="AA297" s="6"/>
      <c r="AB297" s="4" t="n">
        <f aca="false">ROUND(PMT(W297/1200,X297,-V297),2)</f>
        <v>2973.47</v>
      </c>
      <c r="AC297" s="4" t="n">
        <v>0</v>
      </c>
      <c r="AD297" s="3" t="n">
        <v>1</v>
      </c>
      <c r="AE297" s="4" t="n">
        <v>28500</v>
      </c>
      <c r="AF297" s="4" t="n">
        <v>6400</v>
      </c>
      <c r="AG297" s="3" t="n">
        <v>9</v>
      </c>
      <c r="AH297" s="4" t="n">
        <v>11900</v>
      </c>
      <c r="AI297" s="3" t="n">
        <v>750</v>
      </c>
      <c r="AJ297" s="7" t="n">
        <f aca="false">ROUND(AB297/I297,4)</f>
        <v>0.2586</v>
      </c>
      <c r="AK297" s="2" t="str">
        <f aca="false">IF(AND(AI297&gt;=750,AJ297&lt;=0.35),"Low",IF(AND(AI297&gt;=600,AJ297&lt;=0.5),"Medium","High"))</f>
        <v>Low</v>
      </c>
      <c r="AL297" s="3" t="n">
        <v>2</v>
      </c>
      <c r="AM297" s="2" t="s">
        <v>58</v>
      </c>
      <c r="AN297" s="2"/>
      <c r="AO297" s="2" t="s">
        <v>134</v>
      </c>
      <c r="AP297" s="7" t="n">
        <v>0.168</v>
      </c>
    </row>
    <row r="298" customFormat="false" ht="15" hidden="false" customHeight="false" outlineLevel="0" collapsed="false">
      <c r="A298" s="2" t="s">
        <v>1315</v>
      </c>
      <c r="B298" s="2" t="s">
        <v>1316</v>
      </c>
      <c r="C298" s="2" t="s">
        <v>1317</v>
      </c>
      <c r="D298" s="2" t="s">
        <v>109</v>
      </c>
      <c r="E298" s="3" t="n">
        <v>43</v>
      </c>
      <c r="F298" s="2" t="s">
        <v>46</v>
      </c>
      <c r="G298" s="2" t="s">
        <v>110</v>
      </c>
      <c r="H298" s="2" t="s">
        <v>77</v>
      </c>
      <c r="I298" s="4" t="n">
        <v>16500</v>
      </c>
      <c r="J298" s="2" t="s">
        <v>112</v>
      </c>
      <c r="K298" s="3" t="n">
        <v>23</v>
      </c>
      <c r="L298" s="2" t="s">
        <v>208</v>
      </c>
      <c r="M298" s="2" t="s">
        <v>114</v>
      </c>
      <c r="N298" s="2" t="s">
        <v>81</v>
      </c>
      <c r="O298" s="3" t="n">
        <v>0</v>
      </c>
      <c r="P298" s="2" t="s">
        <v>68</v>
      </c>
      <c r="Q298" s="2" t="s">
        <v>69</v>
      </c>
      <c r="R298" s="2" t="s">
        <v>70</v>
      </c>
      <c r="S298" s="2" t="s">
        <v>67</v>
      </c>
      <c r="T298" s="2" t="s">
        <v>1318</v>
      </c>
      <c r="U298" s="2" t="s">
        <v>57</v>
      </c>
      <c r="V298" s="4" t="n">
        <v>800000</v>
      </c>
      <c r="W298" s="5" t="n">
        <v>9.05</v>
      </c>
      <c r="X298" s="3" t="n">
        <v>132</v>
      </c>
      <c r="Y298" s="6" t="n">
        <v>46186</v>
      </c>
      <c r="Z298" s="6" t="n">
        <v>46194</v>
      </c>
      <c r="AA298" s="6" t="n">
        <v>46200</v>
      </c>
      <c r="AB298" s="4" t="n">
        <f aca="false">ROUND(PMT(W298/1200,X298,-V298),2)</f>
        <v>9590.75</v>
      </c>
      <c r="AC298" s="4" t="n">
        <v>837000</v>
      </c>
      <c r="AD298" s="3" t="n">
        <v>2</v>
      </c>
      <c r="AE298" s="4" t="n">
        <v>16400</v>
      </c>
      <c r="AF298" s="4" t="n">
        <v>2700</v>
      </c>
      <c r="AG298" s="3" t="n">
        <v>23</v>
      </c>
      <c r="AH298" s="4" t="n">
        <v>13400</v>
      </c>
      <c r="AI298" s="3" t="n">
        <v>705</v>
      </c>
      <c r="AJ298" s="7" t="n">
        <f aca="false">ROUND(AB298/I298,4)</f>
        <v>0.5813</v>
      </c>
      <c r="AK298" s="2" t="str">
        <f aca="false">IF(AND(AI298&gt;=750,AJ298&lt;=0.35),"Low",IF(AND(AI298&gt;=600,AJ298&lt;=0.5),"Medium","High"))</f>
        <v>High</v>
      </c>
      <c r="AL298" s="3" t="n">
        <v>2</v>
      </c>
      <c r="AM298" s="2" t="s">
        <v>58</v>
      </c>
      <c r="AN298" s="2" t="s">
        <v>258</v>
      </c>
      <c r="AO298" s="2" t="s">
        <v>60</v>
      </c>
      <c r="AP298" s="7" t="n">
        <v>0.302</v>
      </c>
    </row>
    <row r="299" customFormat="false" ht="15" hidden="false" customHeight="false" outlineLevel="0" collapsed="false">
      <c r="A299" s="2" t="s">
        <v>1319</v>
      </c>
      <c r="B299" s="2" t="s">
        <v>1320</v>
      </c>
      <c r="C299" s="2" t="s">
        <v>1321</v>
      </c>
      <c r="D299" s="2" t="s">
        <v>45</v>
      </c>
      <c r="E299" s="3" t="n">
        <v>32</v>
      </c>
      <c r="F299" s="2" t="s">
        <v>175</v>
      </c>
      <c r="G299" s="2" t="s">
        <v>246</v>
      </c>
      <c r="H299" s="2" t="s">
        <v>77</v>
      </c>
      <c r="I299" s="4" t="n">
        <v>25500</v>
      </c>
      <c r="J299" s="2" t="s">
        <v>145</v>
      </c>
      <c r="K299" s="3" t="n">
        <v>9</v>
      </c>
      <c r="L299" s="2" t="s">
        <v>429</v>
      </c>
      <c r="M299" s="2" t="s">
        <v>159</v>
      </c>
      <c r="N299" s="2" t="s">
        <v>52</v>
      </c>
      <c r="O299" s="3"/>
      <c r="P299" s="2" t="s">
        <v>160</v>
      </c>
      <c r="Q299" s="2" t="s">
        <v>161</v>
      </c>
      <c r="R299" s="2" t="s">
        <v>159</v>
      </c>
      <c r="S299" s="2" t="s">
        <v>159</v>
      </c>
      <c r="T299" s="2" t="s">
        <v>1322</v>
      </c>
      <c r="U299" s="2" t="s">
        <v>85</v>
      </c>
      <c r="V299" s="4" t="n">
        <v>206000</v>
      </c>
      <c r="W299" s="5" t="n">
        <v>7.34</v>
      </c>
      <c r="X299" s="3" t="n">
        <v>18</v>
      </c>
      <c r="Y299" s="6" t="n">
        <v>46201</v>
      </c>
      <c r="Z299" s="6" t="n">
        <v>46206</v>
      </c>
      <c r="AA299" s="6" t="n">
        <v>46209</v>
      </c>
      <c r="AB299" s="4" t="n">
        <f aca="false">ROUND(PMT(W299/1200,X299,-V299),2)</f>
        <v>12120.95</v>
      </c>
      <c r="AC299" s="4" t="n">
        <v>0</v>
      </c>
      <c r="AD299" s="3" t="n">
        <v>1</v>
      </c>
      <c r="AE299" s="4" t="n">
        <v>87000</v>
      </c>
      <c r="AF299" s="4" t="n">
        <v>51800</v>
      </c>
      <c r="AG299" s="3" t="n">
        <v>41</v>
      </c>
      <c r="AH299" s="4" t="n">
        <v>11000</v>
      </c>
      <c r="AI299" s="3" t="n">
        <v>811</v>
      </c>
      <c r="AJ299" s="7" t="n">
        <f aca="false">ROUND(AB299/I299,4)</f>
        <v>0.4753</v>
      </c>
      <c r="AK299" s="2" t="str">
        <f aca="false">IF(AND(AI299&gt;=750,AJ299&lt;=0.35),"Low",IF(AND(AI299&gt;=600,AJ299&lt;=0.5),"Medium","High"))</f>
        <v>Medium</v>
      </c>
      <c r="AL299" s="3" t="n">
        <v>0</v>
      </c>
      <c r="AM299" s="2" t="s">
        <v>58</v>
      </c>
      <c r="AN299" s="2" t="s">
        <v>59</v>
      </c>
      <c r="AO299" s="2" t="s">
        <v>60</v>
      </c>
      <c r="AP299" s="7" t="n">
        <v>0.128</v>
      </c>
    </row>
    <row r="300" customFormat="false" ht="15" hidden="false" customHeight="false" outlineLevel="0" collapsed="false">
      <c r="A300" s="2" t="s">
        <v>1323</v>
      </c>
      <c r="B300" s="2" t="s">
        <v>893</v>
      </c>
      <c r="C300" s="2" t="s">
        <v>1324</v>
      </c>
      <c r="D300" s="2" t="s">
        <v>45</v>
      </c>
      <c r="E300" s="3" t="n">
        <v>49</v>
      </c>
      <c r="F300" s="2" t="s">
        <v>46</v>
      </c>
      <c r="G300" s="2" t="s">
        <v>90</v>
      </c>
      <c r="H300" s="2" t="s">
        <v>48</v>
      </c>
      <c r="I300" s="4" t="n">
        <v>49000</v>
      </c>
      <c r="J300" s="2" t="s">
        <v>90</v>
      </c>
      <c r="K300" s="3" t="n">
        <v>23</v>
      </c>
      <c r="L300" s="2" t="s">
        <v>481</v>
      </c>
      <c r="M300" s="2" t="s">
        <v>159</v>
      </c>
      <c r="N300" s="2" t="s">
        <v>140</v>
      </c>
      <c r="O300" s="3" t="n">
        <v>2</v>
      </c>
      <c r="P300" s="2" t="s">
        <v>160</v>
      </c>
      <c r="Q300" s="2" t="s">
        <v>161</v>
      </c>
      <c r="R300" s="2" t="s">
        <v>159</v>
      </c>
      <c r="S300" s="2" t="s">
        <v>159</v>
      </c>
      <c r="T300" s="2" t="s">
        <v>1325</v>
      </c>
      <c r="U300" s="2" t="s">
        <v>85</v>
      </c>
      <c r="V300" s="4" t="n">
        <v>192000</v>
      </c>
      <c r="W300" s="5" t="n">
        <v>8.72</v>
      </c>
      <c r="X300" s="3" t="n">
        <v>12</v>
      </c>
      <c r="Y300" s="6" t="n">
        <v>46177</v>
      </c>
      <c r="Z300" s="6" t="n">
        <v>46185</v>
      </c>
      <c r="AA300" s="6" t="n">
        <v>46188</v>
      </c>
      <c r="AB300" s="4" t="n">
        <f aca="false">ROUND(PMT(W300/1200,X300,-V300),2)</f>
        <v>16765.76</v>
      </c>
      <c r="AC300" s="4" t="n">
        <v>0</v>
      </c>
      <c r="AD300" s="3" t="n">
        <v>0</v>
      </c>
      <c r="AE300" s="4" t="n">
        <v>67900</v>
      </c>
      <c r="AF300" s="4"/>
      <c r="AG300" s="3" t="n">
        <v>36</v>
      </c>
      <c r="AH300" s="4" t="n">
        <v>25200</v>
      </c>
      <c r="AI300" s="3" t="n">
        <v>737</v>
      </c>
      <c r="AJ300" s="7" t="n">
        <f aca="false">ROUND(AB300/I300,4)</f>
        <v>0.3422</v>
      </c>
      <c r="AK300" s="2" t="str">
        <f aca="false">IF(AND(AI300&gt;=750,AJ300&lt;=0.35),"Low",IF(AND(AI300&gt;=600,AJ300&lt;=0.5),"Medium","High"))</f>
        <v>Medium</v>
      </c>
      <c r="AL300" s="3" t="n">
        <v>4</v>
      </c>
      <c r="AM300" s="2" t="s">
        <v>233</v>
      </c>
      <c r="AN300" s="2" t="s">
        <v>59</v>
      </c>
      <c r="AO300" s="2" t="s">
        <v>60</v>
      </c>
      <c r="AP300" s="7" t="n">
        <v>0.361</v>
      </c>
    </row>
    <row r="301" customFormat="false" ht="15" hidden="false" customHeight="false" outlineLevel="0" collapsed="false">
      <c r="A301" s="2" t="s">
        <v>1326</v>
      </c>
      <c r="B301" s="2" t="s">
        <v>1327</v>
      </c>
      <c r="C301" s="2" t="s">
        <v>1328</v>
      </c>
      <c r="D301" s="2" t="s">
        <v>45</v>
      </c>
      <c r="E301" s="3" t="n">
        <v>40</v>
      </c>
      <c r="F301" s="2" t="s">
        <v>46</v>
      </c>
      <c r="G301" s="2" t="s">
        <v>176</v>
      </c>
      <c r="H301" s="2" t="s">
        <v>48</v>
      </c>
      <c r="I301" s="4" t="n">
        <v>112500</v>
      </c>
      <c r="J301" s="2" t="s">
        <v>177</v>
      </c>
      <c r="K301" s="3" t="n">
        <v>21</v>
      </c>
      <c r="L301" s="2" t="s">
        <v>92</v>
      </c>
      <c r="M301" s="2" t="s">
        <v>92</v>
      </c>
      <c r="N301" s="2" t="s">
        <v>52</v>
      </c>
      <c r="O301" s="3" t="n">
        <v>1</v>
      </c>
      <c r="P301" s="2" t="s">
        <v>169</v>
      </c>
      <c r="Q301" s="2" t="s">
        <v>170</v>
      </c>
      <c r="R301" s="2" t="s">
        <v>92</v>
      </c>
      <c r="S301" s="2" t="s">
        <v>92</v>
      </c>
      <c r="T301" s="2" t="s">
        <v>1329</v>
      </c>
      <c r="U301" s="2" t="s">
        <v>192</v>
      </c>
      <c r="V301" s="4" t="n">
        <v>421000</v>
      </c>
      <c r="W301" s="5" t="n">
        <v>13.35</v>
      </c>
      <c r="X301" s="3" t="n">
        <v>30</v>
      </c>
      <c r="Y301" s="6" t="n">
        <v>46198</v>
      </c>
      <c r="Z301" s="6"/>
      <c r="AA301" s="6"/>
      <c r="AB301" s="4" t="n">
        <f aca="false">ROUND(PMT(W301/1200,X301,-V301),2)</f>
        <v>16582.37</v>
      </c>
      <c r="AC301" s="4" t="n">
        <v>558000</v>
      </c>
      <c r="AD301" s="3" t="n">
        <v>1</v>
      </c>
      <c r="AE301" s="4"/>
      <c r="AF301" s="4" t="n">
        <v>10700</v>
      </c>
      <c r="AG301" s="3" t="n">
        <v>5</v>
      </c>
      <c r="AH301" s="4" t="n">
        <v>115600</v>
      </c>
      <c r="AI301" s="3" t="n">
        <v>875</v>
      </c>
      <c r="AJ301" s="7" t="n">
        <f aca="false">ROUND(AB301/I301,4)</f>
        <v>0.1474</v>
      </c>
      <c r="AK301" s="2" t="str">
        <f aca="false">IF(AND(AI301&gt;=750,AJ301&lt;=0.35),"Low",IF(AND(AI301&gt;=600,AJ301&lt;=0.5),"Medium","High"))</f>
        <v>Low</v>
      </c>
      <c r="AL301" s="3" t="n">
        <v>0</v>
      </c>
      <c r="AM301" s="2" t="s">
        <v>58</v>
      </c>
      <c r="AN301" s="2"/>
      <c r="AO301" s="2" t="s">
        <v>134</v>
      </c>
      <c r="AP301" s="7" t="n">
        <v>0.128</v>
      </c>
    </row>
    <row r="302" customFormat="false" ht="15" hidden="false" customHeight="false" outlineLevel="0" collapsed="false">
      <c r="A302" s="2" t="s">
        <v>1330</v>
      </c>
      <c r="B302" s="2" t="s">
        <v>1331</v>
      </c>
      <c r="C302" s="2" t="s">
        <v>1332</v>
      </c>
      <c r="D302" s="2" t="s">
        <v>109</v>
      </c>
      <c r="E302" s="3" t="n">
        <v>46</v>
      </c>
      <c r="F302" s="2" t="s">
        <v>64</v>
      </c>
      <c r="G302" s="2" t="s">
        <v>90</v>
      </c>
      <c r="H302" s="2"/>
      <c r="I302" s="4" t="n">
        <v>34000</v>
      </c>
      <c r="J302" s="2" t="s">
        <v>90</v>
      </c>
      <c r="K302" s="3" t="n">
        <v>21</v>
      </c>
      <c r="L302" s="2" t="s">
        <v>211</v>
      </c>
      <c r="M302" s="2" t="s">
        <v>147</v>
      </c>
      <c r="N302" s="2" t="s">
        <v>52</v>
      </c>
      <c r="O302" s="3" t="n">
        <v>2</v>
      </c>
      <c r="P302" s="2" t="s">
        <v>209</v>
      </c>
      <c r="Q302" s="2" t="s">
        <v>210</v>
      </c>
      <c r="R302" s="2" t="s">
        <v>211</v>
      </c>
      <c r="S302" s="2" t="s">
        <v>147</v>
      </c>
      <c r="T302" s="2" t="s">
        <v>1333</v>
      </c>
      <c r="U302" s="2" t="s">
        <v>97</v>
      </c>
      <c r="V302" s="4" t="n">
        <v>206000</v>
      </c>
      <c r="W302" s="5" t="n">
        <v>13.06</v>
      </c>
      <c r="X302" s="3" t="n">
        <v>18</v>
      </c>
      <c r="Y302" s="6" t="n">
        <v>46186</v>
      </c>
      <c r="Z302" s="6" t="n">
        <v>46187</v>
      </c>
      <c r="AA302" s="6" t="n">
        <v>46190</v>
      </c>
      <c r="AB302" s="4" t="n">
        <f aca="false">ROUND(PMT(W302/1200,X302,-V302),2)</f>
        <v>12663.97</v>
      </c>
      <c r="AC302" s="4" t="n">
        <v>0</v>
      </c>
      <c r="AD302" s="3" t="n">
        <v>3</v>
      </c>
      <c r="AE302" s="4" t="n">
        <v>62000</v>
      </c>
      <c r="AF302" s="4" t="n">
        <v>8900</v>
      </c>
      <c r="AG302" s="3" t="n">
        <v>19</v>
      </c>
      <c r="AH302" s="4" t="n">
        <v>19500</v>
      </c>
      <c r="AI302" s="3" t="n">
        <v>676</v>
      </c>
      <c r="AJ302" s="7" t="n">
        <f aca="false">ROUND(AB302/I302,4)</f>
        <v>0.3725</v>
      </c>
      <c r="AK302" s="2" t="str">
        <f aca="false">IF(AND(AI302&gt;=750,AJ302&lt;=0.35),"Low",IF(AND(AI302&gt;=600,AJ302&lt;=0.5),"Medium","High"))</f>
        <v>Medium</v>
      </c>
      <c r="AL302" s="3" t="n">
        <v>2</v>
      </c>
      <c r="AM302" s="2" t="s">
        <v>58</v>
      </c>
      <c r="AN302" s="2" t="s">
        <v>258</v>
      </c>
      <c r="AO302" s="2" t="s">
        <v>60</v>
      </c>
      <c r="AP302" s="7" t="n">
        <v>0.306</v>
      </c>
    </row>
    <row r="303" customFormat="false" ht="15" hidden="false" customHeight="false" outlineLevel="0" collapsed="false">
      <c r="A303" s="2" t="s">
        <v>1334</v>
      </c>
      <c r="B303" s="2" t="s">
        <v>1335</v>
      </c>
      <c r="C303" s="2" t="s">
        <v>955</v>
      </c>
      <c r="D303" s="2" t="s">
        <v>45</v>
      </c>
      <c r="E303" s="3" t="n">
        <v>38</v>
      </c>
      <c r="F303" s="2"/>
      <c r="G303" s="2" t="s">
        <v>176</v>
      </c>
      <c r="H303" s="2" t="s">
        <v>77</v>
      </c>
      <c r="I303" s="4" t="n">
        <v>70000</v>
      </c>
      <c r="J303" s="2" t="s">
        <v>177</v>
      </c>
      <c r="K303" s="3" t="n">
        <v>17</v>
      </c>
      <c r="L303" s="2" t="s">
        <v>726</v>
      </c>
      <c r="M303" s="2" t="s">
        <v>147</v>
      </c>
      <c r="N303" s="2" t="s">
        <v>81</v>
      </c>
      <c r="O303" s="3" t="n">
        <v>1</v>
      </c>
      <c r="P303" s="2" t="s">
        <v>160</v>
      </c>
      <c r="Q303" s="2" t="s">
        <v>161</v>
      </c>
      <c r="R303" s="2" t="s">
        <v>159</v>
      </c>
      <c r="S303" s="2" t="s">
        <v>159</v>
      </c>
      <c r="T303" s="2" t="s">
        <v>1336</v>
      </c>
      <c r="U303" s="2" t="s">
        <v>72</v>
      </c>
      <c r="V303" s="4" t="n">
        <v>674000</v>
      </c>
      <c r="W303" s="5" t="n">
        <v>13.24</v>
      </c>
      <c r="X303" s="3" t="n">
        <v>60</v>
      </c>
      <c r="Y303" s="6" t="n">
        <v>46176</v>
      </c>
      <c r="Z303" s="6" t="n">
        <v>46181</v>
      </c>
      <c r="AA303" s="6" t="n">
        <v>46185</v>
      </c>
      <c r="AB303" s="4" t="n">
        <f aca="false">ROUND(PMT(W303/1200,X303,-V303),2)</f>
        <v>15418.5</v>
      </c>
      <c r="AC303" s="4" t="n">
        <v>698000</v>
      </c>
      <c r="AD303" s="3"/>
      <c r="AE303" s="4" t="n">
        <v>279100</v>
      </c>
      <c r="AF303" s="4" t="n">
        <v>94100</v>
      </c>
      <c r="AG303" s="3" t="n">
        <v>2</v>
      </c>
      <c r="AH303" s="4" t="n">
        <v>66700</v>
      </c>
      <c r="AI303" s="3" t="n">
        <v>728</v>
      </c>
      <c r="AJ303" s="7" t="n">
        <f aca="false">ROUND(AB303/I303,4)</f>
        <v>0.2203</v>
      </c>
      <c r="AK303" s="2" t="str">
        <f aca="false">IF(AND(AI303&gt;=750,AJ303&lt;=0.35),"Low",IF(AND(AI303&gt;=600,AJ303&lt;=0.5),"Medium","High"))</f>
        <v>Medium</v>
      </c>
      <c r="AL303" s="3" t="n">
        <v>6</v>
      </c>
      <c r="AM303" s="2" t="s">
        <v>233</v>
      </c>
      <c r="AN303" s="2" t="s">
        <v>59</v>
      </c>
      <c r="AO303" s="2" t="s">
        <v>60</v>
      </c>
      <c r="AP303" s="7" t="n">
        <v>0.405</v>
      </c>
    </row>
    <row r="304" customFormat="false" ht="15" hidden="false" customHeight="false" outlineLevel="0" collapsed="false">
      <c r="A304" s="2" t="s">
        <v>1337</v>
      </c>
      <c r="B304" s="2" t="s">
        <v>1338</v>
      </c>
      <c r="C304" s="2" t="s">
        <v>1339</v>
      </c>
      <c r="D304" s="2" t="s">
        <v>45</v>
      </c>
      <c r="E304" s="3" t="n">
        <v>53</v>
      </c>
      <c r="F304" s="2" t="s">
        <v>64</v>
      </c>
      <c r="G304" s="2" t="s">
        <v>145</v>
      </c>
      <c r="H304" s="2" t="s">
        <v>111</v>
      </c>
      <c r="I304" s="4" t="n">
        <v>26000</v>
      </c>
      <c r="J304" s="2" t="s">
        <v>145</v>
      </c>
      <c r="K304" s="3" t="n">
        <v>24</v>
      </c>
      <c r="L304" s="2" t="s">
        <v>188</v>
      </c>
      <c r="M304" s="2" t="s">
        <v>51</v>
      </c>
      <c r="N304" s="2"/>
      <c r="O304" s="3" t="n">
        <v>3</v>
      </c>
      <c r="P304" s="2" t="s">
        <v>189</v>
      </c>
      <c r="Q304" s="2" t="s">
        <v>190</v>
      </c>
      <c r="R304" s="2" t="s">
        <v>188</v>
      </c>
      <c r="S304" s="2" t="s">
        <v>51</v>
      </c>
      <c r="T304" s="2" t="s">
        <v>1340</v>
      </c>
      <c r="U304" s="2" t="s">
        <v>192</v>
      </c>
      <c r="V304" s="4" t="n">
        <v>406000</v>
      </c>
      <c r="W304" s="5" t="n">
        <v>11.3</v>
      </c>
      <c r="X304" s="3" t="n">
        <v>84</v>
      </c>
      <c r="Y304" s="6" t="n">
        <v>46199</v>
      </c>
      <c r="Z304" s="6"/>
      <c r="AA304" s="6"/>
      <c r="AB304" s="4" t="n">
        <f aca="false">ROUND(PMT(W304/1200,X304,-V304),2)</f>
        <v>7015.92</v>
      </c>
      <c r="AC304" s="4" t="n">
        <v>579000</v>
      </c>
      <c r="AD304" s="3" t="n">
        <v>1</v>
      </c>
      <c r="AE304" s="4" t="n">
        <v>82400</v>
      </c>
      <c r="AF304" s="4" t="n">
        <v>14200</v>
      </c>
      <c r="AG304" s="3" t="n">
        <v>42</v>
      </c>
      <c r="AH304" s="4"/>
      <c r="AI304" s="3" t="n">
        <v>639</v>
      </c>
      <c r="AJ304" s="7" t="n">
        <f aca="false">ROUND(AB304/I304,4)</f>
        <v>0.2698</v>
      </c>
      <c r="AK304" s="2" t="str">
        <f aca="false">IF(AND(AI304&gt;=750,AJ304&lt;=0.35),"Low",IF(AND(AI304&gt;=600,AJ304&lt;=0.5),"Medium","High"))</f>
        <v>Medium</v>
      </c>
      <c r="AL304" s="3" t="n">
        <v>2</v>
      </c>
      <c r="AM304" s="2" t="s">
        <v>58</v>
      </c>
      <c r="AN304" s="2"/>
      <c r="AO304" s="2" t="s">
        <v>127</v>
      </c>
      <c r="AP304" s="7" t="n">
        <v>0.297</v>
      </c>
    </row>
    <row r="305" customFormat="false" ht="15" hidden="false" customHeight="false" outlineLevel="0" collapsed="false">
      <c r="A305" s="2" t="s">
        <v>1341</v>
      </c>
      <c r="B305" s="2" t="s">
        <v>1342</v>
      </c>
      <c r="C305" s="2" t="s">
        <v>1064</v>
      </c>
      <c r="D305" s="2" t="s">
        <v>45</v>
      </c>
      <c r="E305" s="3" t="n">
        <v>38</v>
      </c>
      <c r="F305" s="2" t="s">
        <v>64</v>
      </c>
      <c r="G305" s="2" t="s">
        <v>76</v>
      </c>
      <c r="H305" s="2" t="s">
        <v>101</v>
      </c>
      <c r="I305" s="4" t="n">
        <v>56000</v>
      </c>
      <c r="J305" s="2" t="s">
        <v>78</v>
      </c>
      <c r="K305" s="3" t="n">
        <v>17</v>
      </c>
      <c r="L305" s="2" t="s">
        <v>416</v>
      </c>
      <c r="M305" s="2" t="s">
        <v>147</v>
      </c>
      <c r="N305" s="2" t="s">
        <v>140</v>
      </c>
      <c r="O305" s="3" t="n">
        <v>2</v>
      </c>
      <c r="P305" s="2" t="s">
        <v>209</v>
      </c>
      <c r="Q305" s="2" t="s">
        <v>210</v>
      </c>
      <c r="R305" s="2" t="s">
        <v>211</v>
      </c>
      <c r="S305" s="2" t="s">
        <v>147</v>
      </c>
      <c r="T305" s="2" t="s">
        <v>1343</v>
      </c>
      <c r="U305" s="2" t="s">
        <v>85</v>
      </c>
      <c r="V305" s="4" t="n">
        <v>648000</v>
      </c>
      <c r="W305" s="5" t="n">
        <v>8.23</v>
      </c>
      <c r="X305" s="3" t="n">
        <v>24</v>
      </c>
      <c r="Y305" s="6" t="n">
        <v>46188</v>
      </c>
      <c r="Z305" s="6"/>
      <c r="AA305" s="6"/>
      <c r="AB305" s="4" t="n">
        <f aca="false">ROUND(PMT(W305/1200,X305,-V305),2)</f>
        <v>29375.31</v>
      </c>
      <c r="AC305" s="4" t="n">
        <v>0</v>
      </c>
      <c r="AD305" s="3" t="n">
        <v>0</v>
      </c>
      <c r="AE305" s="4" t="n">
        <v>78600</v>
      </c>
      <c r="AF305" s="4" t="n">
        <v>41900</v>
      </c>
      <c r="AG305" s="3" t="n">
        <v>44</v>
      </c>
      <c r="AH305" s="4" t="n">
        <v>46800</v>
      </c>
      <c r="AI305" s="3" t="n">
        <v>692</v>
      </c>
      <c r="AJ305" s="7" t="n">
        <f aca="false">ROUND(AB305/I305,4)</f>
        <v>0.5246</v>
      </c>
      <c r="AK305" s="2" t="str">
        <f aca="false">IF(AND(AI305&gt;=750,AJ305&lt;=0.35),"Low",IF(AND(AI305&gt;=600,AJ305&lt;=0.5),"Medium","High"))</f>
        <v>High</v>
      </c>
      <c r="AL305" s="3" t="n">
        <v>4</v>
      </c>
      <c r="AM305" s="2" t="s">
        <v>233</v>
      </c>
      <c r="AN305" s="2"/>
      <c r="AO305" s="2" t="s">
        <v>127</v>
      </c>
      <c r="AP305" s="7" t="n">
        <v>0.376</v>
      </c>
    </row>
    <row r="306" customFormat="false" ht="15" hidden="false" customHeight="false" outlineLevel="0" collapsed="false">
      <c r="A306" s="2" t="s">
        <v>1344</v>
      </c>
      <c r="B306" s="2" t="s">
        <v>1345</v>
      </c>
      <c r="C306" s="2" t="s">
        <v>1346</v>
      </c>
      <c r="D306" s="2" t="s">
        <v>109</v>
      </c>
      <c r="E306" s="3" t="n">
        <v>30</v>
      </c>
      <c r="F306" s="2" t="s">
        <v>46</v>
      </c>
      <c r="G306" s="2" t="s">
        <v>145</v>
      </c>
      <c r="H306" s="2" t="s">
        <v>111</v>
      </c>
      <c r="I306" s="4" t="n">
        <v>9500</v>
      </c>
      <c r="J306" s="2" t="s">
        <v>145</v>
      </c>
      <c r="K306" s="3" t="n">
        <v>4</v>
      </c>
      <c r="L306" s="2" t="s">
        <v>288</v>
      </c>
      <c r="M306" s="2" t="s">
        <v>147</v>
      </c>
      <c r="N306" s="2" t="s">
        <v>52</v>
      </c>
      <c r="O306" s="3" t="n">
        <v>0</v>
      </c>
      <c r="P306" s="2" t="s">
        <v>169</v>
      </c>
      <c r="Q306" s="2" t="s">
        <v>170</v>
      </c>
      <c r="R306" s="2" t="s">
        <v>92</v>
      </c>
      <c r="S306" s="2" t="s">
        <v>92</v>
      </c>
      <c r="T306" s="2" t="s">
        <v>1347</v>
      </c>
      <c r="U306" s="2" t="s">
        <v>180</v>
      </c>
      <c r="V306" s="4" t="n">
        <v>300000</v>
      </c>
      <c r="W306" s="5" t="n">
        <v>11.35</v>
      </c>
      <c r="X306" s="3" t="n">
        <v>54</v>
      </c>
      <c r="Y306" s="6" t="n">
        <v>46192</v>
      </c>
      <c r="Z306" s="6" t="n">
        <v>46199</v>
      </c>
      <c r="AA306" s="6" t="n">
        <v>46200</v>
      </c>
      <c r="AB306" s="4" t="n">
        <f aca="false">ROUND(PMT(W306/1200,X306,-V306),2)</f>
        <v>7120.23</v>
      </c>
      <c r="AC306" s="4"/>
      <c r="AD306" s="3" t="n">
        <v>1</v>
      </c>
      <c r="AE306" s="4" t="n">
        <v>20200</v>
      </c>
      <c r="AF306" s="4" t="n">
        <v>4500</v>
      </c>
      <c r="AG306" s="3" t="n">
        <v>27</v>
      </c>
      <c r="AH306" s="4" t="n">
        <v>9800</v>
      </c>
      <c r="AI306" s="3" t="n">
        <v>681</v>
      </c>
      <c r="AJ306" s="7" t="n">
        <f aca="false">ROUND(AB306/I306,4)</f>
        <v>0.7495</v>
      </c>
      <c r="AK306" s="2" t="str">
        <f aca="false">IF(AND(AI306&gt;=750,AJ306&lt;=0.35),"Low",IF(AND(AI306&gt;=600,AJ306&lt;=0.5),"Medium","High"))</f>
        <v>High</v>
      </c>
      <c r="AL306" s="3" t="n">
        <v>3</v>
      </c>
      <c r="AM306" s="2" t="s">
        <v>58</v>
      </c>
      <c r="AN306" s="2" t="s">
        <v>258</v>
      </c>
      <c r="AO306" s="2" t="s">
        <v>60</v>
      </c>
      <c r="AP306" s="7" t="n">
        <v>0.228</v>
      </c>
    </row>
    <row r="307" customFormat="false" ht="15" hidden="false" customHeight="false" outlineLevel="0" collapsed="false">
      <c r="A307" s="2" t="s">
        <v>1348</v>
      </c>
      <c r="B307" s="2" t="s">
        <v>576</v>
      </c>
      <c r="C307" s="2" t="s">
        <v>1349</v>
      </c>
      <c r="D307" s="2" t="s">
        <v>45</v>
      </c>
      <c r="E307" s="3" t="n">
        <v>42</v>
      </c>
      <c r="F307" s="2" t="s">
        <v>64</v>
      </c>
      <c r="G307" s="2" t="s">
        <v>154</v>
      </c>
      <c r="H307" s="2" t="s">
        <v>77</v>
      </c>
      <c r="I307" s="4" t="n">
        <v>33000</v>
      </c>
      <c r="J307" s="2" t="s">
        <v>145</v>
      </c>
      <c r="K307" s="3" t="n">
        <v>18</v>
      </c>
      <c r="L307" s="2" t="s">
        <v>92</v>
      </c>
      <c r="M307" s="2" t="s">
        <v>92</v>
      </c>
      <c r="N307" s="2" t="s">
        <v>52</v>
      </c>
      <c r="O307" s="3" t="n">
        <v>2</v>
      </c>
      <c r="P307" s="2" t="s">
        <v>124</v>
      </c>
      <c r="Q307" s="2" t="s">
        <v>125</v>
      </c>
      <c r="R307" s="2" t="s">
        <v>91</v>
      </c>
      <c r="S307" s="2" t="s">
        <v>92</v>
      </c>
      <c r="T307" s="2" t="s">
        <v>1350</v>
      </c>
      <c r="U307" s="2" t="s">
        <v>192</v>
      </c>
      <c r="V307" s="4" t="n">
        <v>359000</v>
      </c>
      <c r="W307" s="5" t="n">
        <v>11.29</v>
      </c>
      <c r="X307" s="3" t="n">
        <v>42</v>
      </c>
      <c r="Y307" s="6" t="n">
        <v>46195</v>
      </c>
      <c r="Z307" s="6"/>
      <c r="AA307" s="6"/>
      <c r="AB307" s="4" t="n">
        <f aca="false">ROUND(PMT(W307/1200,X307,-V307),2)</f>
        <v>10386.98</v>
      </c>
      <c r="AC307" s="4" t="n">
        <v>525000</v>
      </c>
      <c r="AD307" s="3" t="n">
        <v>0</v>
      </c>
      <c r="AE307" s="4" t="n">
        <v>76200</v>
      </c>
      <c r="AF307" s="4" t="n">
        <v>10800</v>
      </c>
      <c r="AG307" s="3" t="n">
        <v>51</v>
      </c>
      <c r="AH307" s="4" t="n">
        <v>35900</v>
      </c>
      <c r="AI307" s="3" t="n">
        <v>648</v>
      </c>
      <c r="AJ307" s="7" t="n">
        <f aca="false">ROUND(AB307/I307,4)</f>
        <v>0.3148</v>
      </c>
      <c r="AK307" s="2" t="str">
        <f aca="false">IF(AND(AI307&gt;=750,AJ307&lt;=0.35),"Low",IF(AND(AI307&gt;=600,AJ307&lt;=0.5),"Medium","High"))</f>
        <v>Medium</v>
      </c>
      <c r="AL307" s="3" t="n">
        <v>3</v>
      </c>
      <c r="AM307" s="2" t="s">
        <v>58</v>
      </c>
      <c r="AN307" s="2"/>
      <c r="AO307" s="2" t="s">
        <v>134</v>
      </c>
      <c r="AP307" s="7" t="n">
        <v>0.288</v>
      </c>
    </row>
    <row r="308" customFormat="false" ht="15" hidden="false" customHeight="false" outlineLevel="0" collapsed="false">
      <c r="A308" s="2" t="s">
        <v>1351</v>
      </c>
      <c r="B308" s="2" t="s">
        <v>1352</v>
      </c>
      <c r="C308" s="2" t="s">
        <v>1353</v>
      </c>
      <c r="D308" s="2" t="s">
        <v>109</v>
      </c>
      <c r="E308" s="3" t="n">
        <v>24</v>
      </c>
      <c r="F308" s="2" t="s">
        <v>64</v>
      </c>
      <c r="G308" s="2" t="s">
        <v>76</v>
      </c>
      <c r="H308" s="2" t="s">
        <v>101</v>
      </c>
      <c r="I308" s="4" t="n">
        <v>69000</v>
      </c>
      <c r="J308" s="2" t="s">
        <v>78</v>
      </c>
      <c r="K308" s="3" t="n">
        <v>4</v>
      </c>
      <c r="L308" s="2" t="s">
        <v>504</v>
      </c>
      <c r="M308" s="2" t="s">
        <v>51</v>
      </c>
      <c r="N308" s="2" t="s">
        <v>52</v>
      </c>
      <c r="O308" s="3" t="n">
        <v>1</v>
      </c>
      <c r="P308" s="2" t="s">
        <v>189</v>
      </c>
      <c r="Q308" s="2" t="s">
        <v>190</v>
      </c>
      <c r="R308" s="2" t="s">
        <v>188</v>
      </c>
      <c r="S308" s="2" t="s">
        <v>51</v>
      </c>
      <c r="T308" s="2" t="s">
        <v>1354</v>
      </c>
      <c r="U308" s="2" t="s">
        <v>97</v>
      </c>
      <c r="V308" s="4" t="n">
        <v>622000</v>
      </c>
      <c r="W308" s="5" t="n">
        <v>13.4</v>
      </c>
      <c r="X308" s="3" t="n">
        <v>24</v>
      </c>
      <c r="Y308" s="6" t="n">
        <v>46199</v>
      </c>
      <c r="Z308" s="6" t="n">
        <v>46209</v>
      </c>
      <c r="AA308" s="6" t="n">
        <v>46211</v>
      </c>
      <c r="AB308" s="4" t="n">
        <f aca="false">ROUND(PMT(W308/1200,X308,-V308),2)</f>
        <v>29688.01</v>
      </c>
      <c r="AC308" s="4" t="n">
        <v>0</v>
      </c>
      <c r="AD308" s="3" t="n">
        <v>1</v>
      </c>
      <c r="AE308" s="4" t="n">
        <v>85700</v>
      </c>
      <c r="AF308" s="4" t="n">
        <v>18800</v>
      </c>
      <c r="AG308" s="3" t="n">
        <v>43</v>
      </c>
      <c r="AH308" s="4" t="n">
        <v>36200</v>
      </c>
      <c r="AI308" s="3" t="n">
        <v>601</v>
      </c>
      <c r="AJ308" s="7" t="n">
        <f aca="false">ROUND(AB308/I308,4)</f>
        <v>0.4303</v>
      </c>
      <c r="AK308" s="2" t="str">
        <f aca="false">IF(AND(AI308&gt;=750,AJ308&lt;=0.35),"Low",IF(AND(AI308&gt;=600,AJ308&lt;=0.5),"Medium","High"))</f>
        <v>Medium</v>
      </c>
      <c r="AL308" s="3" t="n">
        <v>5</v>
      </c>
      <c r="AM308" s="2" t="s">
        <v>58</v>
      </c>
      <c r="AN308" s="2" t="s">
        <v>119</v>
      </c>
      <c r="AO308" s="2" t="s">
        <v>60</v>
      </c>
      <c r="AP308" s="7" t="n">
        <v>0.421</v>
      </c>
    </row>
    <row r="309" customFormat="false" ht="15" hidden="false" customHeight="false" outlineLevel="0" collapsed="false">
      <c r="A309" s="2" t="s">
        <v>1355</v>
      </c>
      <c r="B309" s="2" t="s">
        <v>1356</v>
      </c>
      <c r="C309" s="2" t="s">
        <v>596</v>
      </c>
      <c r="D309" s="2" t="s">
        <v>109</v>
      </c>
      <c r="E309" s="3" t="n">
        <v>22</v>
      </c>
      <c r="F309" s="2" t="s">
        <v>64</v>
      </c>
      <c r="G309" s="2" t="s">
        <v>90</v>
      </c>
      <c r="H309" s="2" t="s">
        <v>101</v>
      </c>
      <c r="I309" s="4" t="n">
        <v>26500</v>
      </c>
      <c r="J309" s="2" t="s">
        <v>90</v>
      </c>
      <c r="K309" s="3" t="n">
        <v>0</v>
      </c>
      <c r="L309" s="2" t="s">
        <v>95</v>
      </c>
      <c r="M309" s="2" t="s">
        <v>92</v>
      </c>
      <c r="N309" s="2" t="s">
        <v>102</v>
      </c>
      <c r="O309" s="3" t="n">
        <v>0</v>
      </c>
      <c r="P309" s="2" t="s">
        <v>93</v>
      </c>
      <c r="Q309" s="2" t="s">
        <v>94</v>
      </c>
      <c r="R309" s="2" t="s">
        <v>95</v>
      </c>
      <c r="S309" s="2" t="s">
        <v>92</v>
      </c>
      <c r="T309" s="2" t="s">
        <v>1357</v>
      </c>
      <c r="U309" s="2" t="s">
        <v>118</v>
      </c>
      <c r="V309" s="4" t="n">
        <v>537000</v>
      </c>
      <c r="W309" s="5" t="n">
        <v>7.78</v>
      </c>
      <c r="X309" s="3" t="n">
        <v>66</v>
      </c>
      <c r="Y309" s="6" t="n">
        <v>46200</v>
      </c>
      <c r="Z309" s="6"/>
      <c r="AA309" s="6"/>
      <c r="AB309" s="4" t="n">
        <f aca="false">ROUND(PMT(W309/1200,X309,-V309),2)</f>
        <v>10026.86</v>
      </c>
      <c r="AC309" s="4" t="n">
        <v>0</v>
      </c>
      <c r="AD309" s="3" t="n">
        <v>2</v>
      </c>
      <c r="AE309" s="4" t="n">
        <v>71000</v>
      </c>
      <c r="AF309" s="4" t="n">
        <v>18100</v>
      </c>
      <c r="AG309" s="3" t="n">
        <v>29</v>
      </c>
      <c r="AH309" s="4" t="n">
        <v>15800</v>
      </c>
      <c r="AI309" s="3" t="n">
        <v>779</v>
      </c>
      <c r="AJ309" s="7" t="n">
        <f aca="false">ROUND(AB309/I309,4)</f>
        <v>0.3784</v>
      </c>
      <c r="AK309" s="2" t="str">
        <f aca="false">IF(AND(AI309&gt;=750,AJ309&lt;=0.35),"Low",IF(AND(AI309&gt;=600,AJ309&lt;=0.5),"Medium","High"))</f>
        <v>Medium</v>
      </c>
      <c r="AL309" s="3" t="n">
        <v>0</v>
      </c>
      <c r="AM309" s="2" t="s">
        <v>58</v>
      </c>
      <c r="AN309" s="2"/>
      <c r="AO309" s="2" t="s">
        <v>134</v>
      </c>
      <c r="AP309" s="7" t="n">
        <v>0.132</v>
      </c>
    </row>
    <row r="310" customFormat="false" ht="15" hidden="false" customHeight="false" outlineLevel="0" collapsed="false">
      <c r="A310" s="2" t="s">
        <v>1358</v>
      </c>
      <c r="B310" s="2" t="s">
        <v>1359</v>
      </c>
      <c r="C310" s="2" t="s">
        <v>1266</v>
      </c>
      <c r="D310" s="2" t="s">
        <v>109</v>
      </c>
      <c r="E310" s="3" t="n">
        <v>45</v>
      </c>
      <c r="F310" s="2" t="s">
        <v>64</v>
      </c>
      <c r="G310" s="2" t="s">
        <v>207</v>
      </c>
      <c r="H310" s="2" t="s">
        <v>77</v>
      </c>
      <c r="I310" s="4" t="n">
        <v>59500</v>
      </c>
      <c r="J310" s="2" t="s">
        <v>49</v>
      </c>
      <c r="K310" s="3" t="n">
        <v>26</v>
      </c>
      <c r="L310" s="2" t="s">
        <v>139</v>
      </c>
      <c r="M310" s="2" t="s">
        <v>139</v>
      </c>
      <c r="N310" s="2" t="s">
        <v>52</v>
      </c>
      <c r="O310" s="3" t="n">
        <v>2</v>
      </c>
      <c r="P310" s="2" t="s">
        <v>197</v>
      </c>
      <c r="Q310" s="2" t="s">
        <v>198</v>
      </c>
      <c r="R310" s="2" t="s">
        <v>139</v>
      </c>
      <c r="S310" s="2" t="s">
        <v>139</v>
      </c>
      <c r="T310" s="2" t="s">
        <v>1360</v>
      </c>
      <c r="U310" s="2" t="s">
        <v>72</v>
      </c>
      <c r="V310" s="4" t="n">
        <v>1063000</v>
      </c>
      <c r="W310" s="5" t="n">
        <v>15.34</v>
      </c>
      <c r="X310" s="3" t="n">
        <v>72</v>
      </c>
      <c r="Y310" s="6" t="n">
        <v>46198</v>
      </c>
      <c r="Z310" s="6" t="n">
        <v>46206</v>
      </c>
      <c r="AA310" s="6" t="n">
        <v>46207</v>
      </c>
      <c r="AB310" s="4" t="n">
        <f aca="false">ROUND(PMT(W310/1200,X310,-V310),2)</f>
        <v>22673.89</v>
      </c>
      <c r="AC310" s="4" t="n">
        <v>1217000</v>
      </c>
      <c r="AD310" s="3" t="n">
        <v>1</v>
      </c>
      <c r="AE310" s="4" t="n">
        <v>149700</v>
      </c>
      <c r="AF310" s="4" t="n">
        <v>63300</v>
      </c>
      <c r="AG310" s="3" t="n">
        <v>11</v>
      </c>
      <c r="AH310" s="4" t="n">
        <v>18700</v>
      </c>
      <c r="AI310" s="3" t="n">
        <v>774</v>
      </c>
      <c r="AJ310" s="7" t="n">
        <f aca="false">ROUND(AB310/I310,4)</f>
        <v>0.3811</v>
      </c>
      <c r="AK310" s="2" t="str">
        <f aca="false">IF(AND(AI310&gt;=750,AJ310&lt;=0.35),"Low",IF(AND(AI310&gt;=600,AJ310&lt;=0.5),"Medium","High"))</f>
        <v>Medium</v>
      </c>
      <c r="AL310" s="3" t="n">
        <v>0</v>
      </c>
      <c r="AM310" s="2" t="s">
        <v>58</v>
      </c>
      <c r="AN310" s="2" t="s">
        <v>59</v>
      </c>
      <c r="AO310" s="2" t="s">
        <v>60</v>
      </c>
      <c r="AP310" s="7" t="n">
        <v>0.161</v>
      </c>
    </row>
    <row r="311" customFormat="false" ht="15" hidden="false" customHeight="false" outlineLevel="0" collapsed="false">
      <c r="A311" s="2" t="s">
        <v>1361</v>
      </c>
      <c r="B311" s="2" t="s">
        <v>1362</v>
      </c>
      <c r="C311" s="2" t="s">
        <v>1363</v>
      </c>
      <c r="D311" s="2" t="s">
        <v>109</v>
      </c>
      <c r="E311" s="3" t="n">
        <v>45</v>
      </c>
      <c r="F311" s="2" t="s">
        <v>64</v>
      </c>
      <c r="G311" s="2" t="s">
        <v>246</v>
      </c>
      <c r="H311" s="2" t="s">
        <v>123</v>
      </c>
      <c r="I311" s="4" t="n">
        <v>19000</v>
      </c>
      <c r="J311" s="2" t="s">
        <v>145</v>
      </c>
      <c r="K311" s="3" t="n">
        <v>23</v>
      </c>
      <c r="L311" s="2" t="s">
        <v>252</v>
      </c>
      <c r="M311" s="2" t="s">
        <v>114</v>
      </c>
      <c r="N311" s="2" t="s">
        <v>140</v>
      </c>
      <c r="O311" s="3" t="n">
        <v>2</v>
      </c>
      <c r="P311" s="2" t="s">
        <v>115</v>
      </c>
      <c r="Q311" s="2" t="s">
        <v>116</v>
      </c>
      <c r="R311" s="2" t="s">
        <v>114</v>
      </c>
      <c r="S311" s="2" t="s">
        <v>114</v>
      </c>
      <c r="T311" s="2" t="s">
        <v>1364</v>
      </c>
      <c r="U311" s="2" t="s">
        <v>97</v>
      </c>
      <c r="V311" s="4" t="n">
        <v>221000</v>
      </c>
      <c r="W311" s="5" t="n">
        <v>12.39</v>
      </c>
      <c r="X311" s="3" t="n">
        <v>42</v>
      </c>
      <c r="Y311" s="6" t="n">
        <v>46189</v>
      </c>
      <c r="Z311" s="6" t="n">
        <v>46191</v>
      </c>
      <c r="AA311" s="6" t="n">
        <v>46197</v>
      </c>
      <c r="AB311" s="4" t="n">
        <f aca="false">ROUND(PMT(W311/1200,X311,-V311),2)</f>
        <v>6511.72</v>
      </c>
      <c r="AC311" s="4" t="n">
        <v>0</v>
      </c>
      <c r="AD311" s="3" t="n">
        <v>1</v>
      </c>
      <c r="AE311" s="4" t="n">
        <v>50300</v>
      </c>
      <c r="AF311" s="4" t="n">
        <v>9000</v>
      </c>
      <c r="AG311" s="3" t="n">
        <v>26</v>
      </c>
      <c r="AH311" s="4" t="n">
        <v>20300</v>
      </c>
      <c r="AI311" s="3" t="n">
        <v>642</v>
      </c>
      <c r="AJ311" s="7" t="n">
        <f aca="false">ROUND(AB311/I311,4)</f>
        <v>0.3427</v>
      </c>
      <c r="AK311" s="2" t="str">
        <f aca="false">IF(AND(AI311&gt;=750,AJ311&lt;=0.35),"Low",IF(AND(AI311&gt;=600,AJ311&lt;=0.5),"Medium","High"))</f>
        <v>Medium</v>
      </c>
      <c r="AL311" s="3" t="n">
        <v>3</v>
      </c>
      <c r="AM311" s="2" t="s">
        <v>58</v>
      </c>
      <c r="AN311" s="2" t="s">
        <v>119</v>
      </c>
      <c r="AO311" s="2" t="s">
        <v>60</v>
      </c>
      <c r="AP311" s="7" t="n">
        <v>0.325</v>
      </c>
    </row>
    <row r="312" customFormat="false" ht="15" hidden="false" customHeight="false" outlineLevel="0" collapsed="false">
      <c r="A312" s="2" t="s">
        <v>1365</v>
      </c>
      <c r="B312" s="2" t="s">
        <v>1366</v>
      </c>
      <c r="C312" s="2" t="s">
        <v>1238</v>
      </c>
      <c r="D312" s="2" t="s">
        <v>45</v>
      </c>
      <c r="E312" s="3" t="n">
        <v>29</v>
      </c>
      <c r="F312" s="2"/>
      <c r="G312" s="2" t="s">
        <v>145</v>
      </c>
      <c r="H312" s="2" t="s">
        <v>123</v>
      </c>
      <c r="I312" s="4" t="n">
        <v>27500</v>
      </c>
      <c r="J312" s="2" t="s">
        <v>145</v>
      </c>
      <c r="K312" s="3" t="n">
        <v>3</v>
      </c>
      <c r="L312" s="2" t="s">
        <v>231</v>
      </c>
      <c r="M312" s="2" t="s">
        <v>92</v>
      </c>
      <c r="N312" s="2" t="s">
        <v>52</v>
      </c>
      <c r="O312" s="3" t="n">
        <v>1</v>
      </c>
      <c r="P312" s="2" t="s">
        <v>229</v>
      </c>
      <c r="Q312" s="2" t="s">
        <v>230</v>
      </c>
      <c r="R312" s="2" t="s">
        <v>231</v>
      </c>
      <c r="S312" s="2" t="s">
        <v>92</v>
      </c>
      <c r="T312" s="2" t="s">
        <v>1367</v>
      </c>
      <c r="U312" s="2" t="s">
        <v>180</v>
      </c>
      <c r="V312" s="4" t="n">
        <v>300000</v>
      </c>
      <c r="W312" s="5" t="n">
        <v>11.37</v>
      </c>
      <c r="X312" s="3" t="n">
        <v>42</v>
      </c>
      <c r="Y312" s="6" t="n">
        <v>46195</v>
      </c>
      <c r="Z312" s="6"/>
      <c r="AA312" s="6"/>
      <c r="AB312" s="4" t="n">
        <f aca="false">ROUND(PMT(W312/1200,X312,-V312),2)</f>
        <v>8691.47</v>
      </c>
      <c r="AC312" s="4" t="n">
        <v>313000</v>
      </c>
      <c r="AD312" s="3" t="n">
        <v>3</v>
      </c>
      <c r="AE312" s="4" t="n">
        <v>96200</v>
      </c>
      <c r="AF312" s="4" t="n">
        <v>14400</v>
      </c>
      <c r="AG312" s="3" t="n">
        <v>24</v>
      </c>
      <c r="AH312" s="4" t="n">
        <v>10200</v>
      </c>
      <c r="AI312" s="3" t="n">
        <v>826</v>
      </c>
      <c r="AJ312" s="7" t="n">
        <f aca="false">ROUND(AB312/I312,4)</f>
        <v>0.3161</v>
      </c>
      <c r="AK312" s="2" t="str">
        <f aca="false">IF(AND(AI312&gt;=750,AJ312&lt;=0.35),"Low",IF(AND(AI312&gt;=600,AJ312&lt;=0.5),"Medium","High"))</f>
        <v>Low</v>
      </c>
      <c r="AL312" s="3" t="n">
        <v>0</v>
      </c>
      <c r="AM312" s="2" t="s">
        <v>58</v>
      </c>
      <c r="AN312" s="2"/>
      <c r="AO312" s="2" t="s">
        <v>127</v>
      </c>
      <c r="AP312" s="7" t="n">
        <v>0.152</v>
      </c>
    </row>
    <row r="313" customFormat="false" ht="15" hidden="false" customHeight="false" outlineLevel="0" collapsed="false">
      <c r="A313" s="2" t="s">
        <v>1368</v>
      </c>
      <c r="B313" s="2" t="s">
        <v>1369</v>
      </c>
      <c r="C313" s="2" t="s">
        <v>1370</v>
      </c>
      <c r="D313" s="2" t="s">
        <v>109</v>
      </c>
      <c r="E313" s="3" t="n">
        <v>44</v>
      </c>
      <c r="F313" s="2" t="s">
        <v>64</v>
      </c>
      <c r="G313" s="2" t="s">
        <v>145</v>
      </c>
      <c r="H313" s="2" t="s">
        <v>48</v>
      </c>
      <c r="I313" s="4" t="n">
        <v>50000</v>
      </c>
      <c r="J313" s="2" t="s">
        <v>145</v>
      </c>
      <c r="K313" s="3" t="n">
        <v>26</v>
      </c>
      <c r="L313" s="2" t="s">
        <v>67</v>
      </c>
      <c r="M313" s="2" t="s">
        <v>67</v>
      </c>
      <c r="N313" s="2" t="s">
        <v>140</v>
      </c>
      <c r="O313" s="3" t="n">
        <v>0</v>
      </c>
      <c r="P313" s="2" t="s">
        <v>103</v>
      </c>
      <c r="Q313" s="2" t="s">
        <v>104</v>
      </c>
      <c r="R313" s="2" t="s">
        <v>67</v>
      </c>
      <c r="S313" s="2" t="s">
        <v>67</v>
      </c>
      <c r="T313" s="2" t="s">
        <v>1371</v>
      </c>
      <c r="U313" s="2" t="s">
        <v>85</v>
      </c>
      <c r="V313" s="4" t="n">
        <v>653000</v>
      </c>
      <c r="W313" s="5" t="n">
        <v>9.93</v>
      </c>
      <c r="X313" s="3" t="n">
        <v>30</v>
      </c>
      <c r="Y313" s="6" t="n">
        <v>46199</v>
      </c>
      <c r="Z313" s="6" t="n">
        <v>46208</v>
      </c>
      <c r="AA313" s="6" t="n">
        <v>46209</v>
      </c>
      <c r="AB313" s="4" t="n">
        <f aca="false">ROUND(PMT(W313/1200,X313,-V313),2)</f>
        <v>24669.6</v>
      </c>
      <c r="AC313" s="4" t="n">
        <v>0</v>
      </c>
      <c r="AD313" s="3" t="n">
        <v>1</v>
      </c>
      <c r="AE313" s="4" t="n">
        <v>99800</v>
      </c>
      <c r="AF313" s="4" t="n">
        <v>18000</v>
      </c>
      <c r="AG313" s="3" t="n">
        <v>31</v>
      </c>
      <c r="AH313" s="4" t="n">
        <v>43000</v>
      </c>
      <c r="AI313" s="3" t="n">
        <v>584</v>
      </c>
      <c r="AJ313" s="7" t="n">
        <f aca="false">ROUND(AB313/I313,4)</f>
        <v>0.4934</v>
      </c>
      <c r="AK313" s="2" t="str">
        <f aca="false">IF(AND(AI313&gt;=750,AJ313&lt;=0.35),"Low",IF(AND(AI313&gt;=600,AJ313&lt;=0.5),"Medium","High"))</f>
        <v>High</v>
      </c>
      <c r="AL313" s="3" t="n">
        <v>3</v>
      </c>
      <c r="AM313" s="2" t="s">
        <v>233</v>
      </c>
      <c r="AN313" s="2" t="s">
        <v>59</v>
      </c>
      <c r="AO313" s="2" t="s">
        <v>60</v>
      </c>
      <c r="AP313" s="7" t="n">
        <v>0.433</v>
      </c>
    </row>
    <row r="314" customFormat="false" ht="15" hidden="false" customHeight="false" outlineLevel="0" collapsed="false">
      <c r="A314" s="2" t="s">
        <v>1372</v>
      </c>
      <c r="B314" s="2" t="s">
        <v>1373</v>
      </c>
      <c r="C314" s="2" t="s">
        <v>902</v>
      </c>
      <c r="D314" s="2" t="s">
        <v>45</v>
      </c>
      <c r="E314" s="3" t="n">
        <v>33</v>
      </c>
      <c r="F314" s="2" t="s">
        <v>64</v>
      </c>
      <c r="G314" s="2" t="s">
        <v>176</v>
      </c>
      <c r="H314" s="2" t="s">
        <v>123</v>
      </c>
      <c r="I314" s="4" t="n">
        <v>54500</v>
      </c>
      <c r="J314" s="2" t="s">
        <v>177</v>
      </c>
      <c r="K314" s="3" t="n">
        <v>8</v>
      </c>
      <c r="L314" s="2" t="s">
        <v>533</v>
      </c>
      <c r="M314" s="2" t="s">
        <v>114</v>
      </c>
      <c r="N314" s="2" t="s">
        <v>52</v>
      </c>
      <c r="O314" s="3" t="n">
        <v>3</v>
      </c>
      <c r="P314" s="2" t="s">
        <v>115</v>
      </c>
      <c r="Q314" s="2" t="s">
        <v>116</v>
      </c>
      <c r="R314" s="2" t="s">
        <v>114</v>
      </c>
      <c r="S314" s="2" t="s">
        <v>114</v>
      </c>
      <c r="T314" s="2" t="s">
        <v>1374</v>
      </c>
      <c r="U314" s="2" t="s">
        <v>118</v>
      </c>
      <c r="V314" s="4" t="n">
        <v>1373000</v>
      </c>
      <c r="W314" s="5" t="n">
        <v>10.07</v>
      </c>
      <c r="X314" s="3" t="n">
        <v>72</v>
      </c>
      <c r="Y314" s="6" t="n">
        <v>46189</v>
      </c>
      <c r="Z314" s="6" t="n">
        <v>46196</v>
      </c>
      <c r="AA314" s="6" t="n">
        <v>46198</v>
      </c>
      <c r="AB314" s="4" t="n">
        <f aca="false">ROUND(PMT(W314/1200,X314,-V314),2)</f>
        <v>25484.47</v>
      </c>
      <c r="AC314" s="4" t="n">
        <v>0</v>
      </c>
      <c r="AD314" s="3" t="n">
        <v>2</v>
      </c>
      <c r="AE314" s="4" t="n">
        <v>121100</v>
      </c>
      <c r="AF314" s="4"/>
      <c r="AG314" s="3" t="n">
        <v>14</v>
      </c>
      <c r="AH314" s="4" t="n">
        <v>26700</v>
      </c>
      <c r="AI314" s="3" t="n">
        <v>689</v>
      </c>
      <c r="AJ314" s="7" t="n">
        <f aca="false">ROUND(AB314/I314,4)</f>
        <v>0.4676</v>
      </c>
      <c r="AK314" s="2" t="str">
        <f aca="false">IF(AND(AI314&gt;=750,AJ314&lt;=0.35),"Low",IF(AND(AI314&gt;=600,AJ314&lt;=0.5),"Medium","High"))</f>
        <v>Medium</v>
      </c>
      <c r="AL314" s="3" t="n">
        <v>1</v>
      </c>
      <c r="AM314" s="2" t="s">
        <v>58</v>
      </c>
      <c r="AN314" s="2" t="s">
        <v>59</v>
      </c>
      <c r="AO314" s="2" t="s">
        <v>60</v>
      </c>
      <c r="AP314" s="7" t="n">
        <v>0.18</v>
      </c>
    </row>
    <row r="315" customFormat="false" ht="15" hidden="false" customHeight="false" outlineLevel="0" collapsed="false">
      <c r="A315" s="2" t="s">
        <v>1375</v>
      </c>
      <c r="B315" s="2" t="s">
        <v>1376</v>
      </c>
      <c r="C315" s="2" t="s">
        <v>1377</v>
      </c>
      <c r="D315" s="2" t="s">
        <v>45</v>
      </c>
      <c r="E315" s="3" t="n">
        <v>37</v>
      </c>
      <c r="F315" s="2" t="s">
        <v>64</v>
      </c>
      <c r="G315" s="2" t="s">
        <v>145</v>
      </c>
      <c r="H315" s="2" t="s">
        <v>111</v>
      </c>
      <c r="I315" s="4" t="n">
        <v>41000</v>
      </c>
      <c r="J315" s="2" t="s">
        <v>145</v>
      </c>
      <c r="K315" s="3" t="n">
        <v>17</v>
      </c>
      <c r="L315" s="2" t="s">
        <v>1378</v>
      </c>
      <c r="M315" s="2" t="s">
        <v>139</v>
      </c>
      <c r="N315" s="2" t="s">
        <v>52</v>
      </c>
      <c r="O315" s="3" t="n">
        <v>1</v>
      </c>
      <c r="P315" s="2" t="s">
        <v>197</v>
      </c>
      <c r="Q315" s="2" t="s">
        <v>198</v>
      </c>
      <c r="R315" s="2" t="s">
        <v>139</v>
      </c>
      <c r="S315" s="2" t="s">
        <v>139</v>
      </c>
      <c r="T315" s="2" t="s">
        <v>1379</v>
      </c>
      <c r="U315" s="2" t="s">
        <v>85</v>
      </c>
      <c r="V315" s="4" t="n">
        <v>169000</v>
      </c>
      <c r="W315" s="5" t="n">
        <v>8.85</v>
      </c>
      <c r="X315" s="3" t="n">
        <v>12</v>
      </c>
      <c r="Y315" s="6" t="n">
        <v>46179</v>
      </c>
      <c r="Z315" s="6"/>
      <c r="AA315" s="6"/>
      <c r="AB315" s="4" t="n">
        <f aca="false">ROUND(PMT(W315/1200,X315,-V315),2)</f>
        <v>14767.55</v>
      </c>
      <c r="AC315" s="4" t="n">
        <v>0</v>
      </c>
      <c r="AD315" s="3" t="n">
        <v>0</v>
      </c>
      <c r="AE315" s="4" t="n">
        <v>98600</v>
      </c>
      <c r="AF315" s="4" t="n">
        <v>37100</v>
      </c>
      <c r="AG315" s="3" t="n">
        <v>26</v>
      </c>
      <c r="AH315" s="4" t="n">
        <v>24000</v>
      </c>
      <c r="AI315" s="3" t="n">
        <v>713</v>
      </c>
      <c r="AJ315" s="7" t="n">
        <f aca="false">ROUND(AB315/I315,4)</f>
        <v>0.3602</v>
      </c>
      <c r="AK315" s="2" t="str">
        <f aca="false">IF(AND(AI315&gt;=750,AJ315&lt;=0.35),"Low",IF(AND(AI315&gt;=600,AJ315&lt;=0.5),"Medium","High"))</f>
        <v>Medium</v>
      </c>
      <c r="AL315" s="3" t="n">
        <v>0</v>
      </c>
      <c r="AM315" s="2" t="s">
        <v>58</v>
      </c>
      <c r="AN315" s="2"/>
      <c r="AO315" s="2" t="s">
        <v>127</v>
      </c>
      <c r="AP315" s="7" t="n">
        <v>0.209</v>
      </c>
    </row>
    <row r="316" customFormat="false" ht="15" hidden="false" customHeight="false" outlineLevel="0" collapsed="false">
      <c r="A316" s="2" t="s">
        <v>1380</v>
      </c>
      <c r="B316" s="2" t="s">
        <v>1381</v>
      </c>
      <c r="C316" s="2" t="s">
        <v>1382</v>
      </c>
      <c r="D316" s="2" t="s">
        <v>45</v>
      </c>
      <c r="E316" s="3" t="n">
        <v>43</v>
      </c>
      <c r="F316" s="2" t="s">
        <v>64</v>
      </c>
      <c r="G316" s="2" t="s">
        <v>176</v>
      </c>
      <c r="H316" s="2" t="s">
        <v>77</v>
      </c>
      <c r="I316" s="4" t="n">
        <v>64000</v>
      </c>
      <c r="J316" s="2" t="s">
        <v>177</v>
      </c>
      <c r="K316" s="3" t="n">
        <v>14</v>
      </c>
      <c r="L316" s="2" t="s">
        <v>476</v>
      </c>
      <c r="M316" s="2" t="s">
        <v>67</v>
      </c>
      <c r="N316" s="2" t="s">
        <v>81</v>
      </c>
      <c r="O316" s="3" t="n">
        <v>1</v>
      </c>
      <c r="P316" s="2" t="s">
        <v>68</v>
      </c>
      <c r="Q316" s="2" t="s">
        <v>69</v>
      </c>
      <c r="R316" s="2" t="s">
        <v>70</v>
      </c>
      <c r="S316" s="2" t="s">
        <v>67</v>
      </c>
      <c r="T316" s="2" t="s">
        <v>1383</v>
      </c>
      <c r="U316" s="2" t="s">
        <v>118</v>
      </c>
      <c r="V316" s="4" t="n">
        <v>202000</v>
      </c>
      <c r="W316" s="5" t="n">
        <v>9.21</v>
      </c>
      <c r="X316" s="3" t="n">
        <v>12</v>
      </c>
      <c r="Y316" s="6" t="n">
        <v>46188</v>
      </c>
      <c r="Z316" s="6" t="n">
        <v>46195</v>
      </c>
      <c r="AA316" s="6" t="n">
        <v>46201</v>
      </c>
      <c r="AB316" s="4" t="n">
        <f aca="false">ROUND(PMT(W316/1200,X316,-V316),2)</f>
        <v>17684.88</v>
      </c>
      <c r="AC316" s="4"/>
      <c r="AD316" s="3" t="n">
        <v>0</v>
      </c>
      <c r="AE316" s="4" t="n">
        <v>107900</v>
      </c>
      <c r="AF316" s="4" t="n">
        <v>41200</v>
      </c>
      <c r="AG316" s="3" t="n">
        <v>22</v>
      </c>
      <c r="AH316" s="4" t="n">
        <v>29700</v>
      </c>
      <c r="AI316" s="3" t="n">
        <v>868</v>
      </c>
      <c r="AJ316" s="7" t="n">
        <f aca="false">ROUND(AB316/I316,4)</f>
        <v>0.2763</v>
      </c>
      <c r="AK316" s="2" t="str">
        <f aca="false">IF(AND(AI316&gt;=750,AJ316&lt;=0.35),"Low",IF(AND(AI316&gt;=600,AJ316&lt;=0.5),"Medium","High"))</f>
        <v>Low</v>
      </c>
      <c r="AL316" s="3" t="n">
        <v>0</v>
      </c>
      <c r="AM316" s="2" t="s">
        <v>58</v>
      </c>
      <c r="AN316" s="2" t="s">
        <v>119</v>
      </c>
      <c r="AO316" s="2" t="s">
        <v>60</v>
      </c>
      <c r="AP316" s="7" t="n">
        <v>0.126</v>
      </c>
    </row>
    <row r="317" customFormat="false" ht="15" hidden="false" customHeight="false" outlineLevel="0" collapsed="false">
      <c r="A317" s="2" t="s">
        <v>1384</v>
      </c>
      <c r="B317" s="2" t="s">
        <v>1385</v>
      </c>
      <c r="C317" s="2" t="s">
        <v>1386</v>
      </c>
      <c r="D317" s="2" t="s">
        <v>45</v>
      </c>
      <c r="E317" s="3" t="n">
        <v>34</v>
      </c>
      <c r="F317" s="2" t="s">
        <v>64</v>
      </c>
      <c r="G317" s="2" t="s">
        <v>90</v>
      </c>
      <c r="H317" s="2" t="s">
        <v>123</v>
      </c>
      <c r="I317" s="4" t="n">
        <v>20500</v>
      </c>
      <c r="J317" s="2" t="s">
        <v>90</v>
      </c>
      <c r="K317" s="3" t="n">
        <v>7</v>
      </c>
      <c r="L317" s="2" t="s">
        <v>67</v>
      </c>
      <c r="M317" s="2" t="s">
        <v>67</v>
      </c>
      <c r="N317" s="2" t="s">
        <v>140</v>
      </c>
      <c r="O317" s="3" t="n">
        <v>3</v>
      </c>
      <c r="P317" s="2" t="s">
        <v>189</v>
      </c>
      <c r="Q317" s="2" t="s">
        <v>190</v>
      </c>
      <c r="R317" s="2" t="s">
        <v>188</v>
      </c>
      <c r="S317" s="2" t="s">
        <v>51</v>
      </c>
      <c r="T317" s="2" t="s">
        <v>1387</v>
      </c>
      <c r="U317" s="2" t="s">
        <v>72</v>
      </c>
      <c r="V317" s="4" t="n">
        <v>300000</v>
      </c>
      <c r="W317" s="5" t="n">
        <v>12.49</v>
      </c>
      <c r="X317" s="3" t="n">
        <v>78</v>
      </c>
      <c r="Y317" s="6" t="n">
        <v>46188</v>
      </c>
      <c r="Z317" s="6" t="n">
        <v>46190</v>
      </c>
      <c r="AA317" s="6" t="n">
        <v>46195</v>
      </c>
      <c r="AB317" s="4" t="n">
        <f aca="false">ROUND(PMT(W317/1200,X317,-V317),2)</f>
        <v>5635.29</v>
      </c>
      <c r="AC317" s="4" t="n">
        <v>446000</v>
      </c>
      <c r="AD317" s="3" t="n">
        <v>1</v>
      </c>
      <c r="AE317" s="4" t="n">
        <v>49300</v>
      </c>
      <c r="AF317" s="4" t="n">
        <v>11600</v>
      </c>
      <c r="AG317" s="3" t="n">
        <v>25</v>
      </c>
      <c r="AH317" s="4" t="n">
        <v>17700</v>
      </c>
      <c r="AI317" s="3" t="n">
        <v>695</v>
      </c>
      <c r="AJ317" s="7" t="n">
        <f aca="false">ROUND(AB317/I317,4)</f>
        <v>0.2749</v>
      </c>
      <c r="AK317" s="2" t="str">
        <f aca="false">IF(AND(AI317&gt;=750,AJ317&lt;=0.35),"Low",IF(AND(AI317&gt;=600,AJ317&lt;=0.5),"Medium","High"))</f>
        <v>Medium</v>
      </c>
      <c r="AL317" s="3" t="n">
        <v>0</v>
      </c>
      <c r="AM317" s="2" t="s">
        <v>58</v>
      </c>
      <c r="AN317" s="2" t="s">
        <v>119</v>
      </c>
      <c r="AO317" s="2" t="s">
        <v>60</v>
      </c>
      <c r="AP317" s="7" t="n">
        <v>0.255</v>
      </c>
    </row>
    <row r="318" customFormat="false" ht="15" hidden="false" customHeight="false" outlineLevel="0" collapsed="false">
      <c r="A318" s="2" t="s">
        <v>1388</v>
      </c>
      <c r="B318" s="2" t="s">
        <v>1389</v>
      </c>
      <c r="C318" s="2" t="s">
        <v>1390</v>
      </c>
      <c r="D318" s="2" t="s">
        <v>45</v>
      </c>
      <c r="E318" s="3" t="n">
        <v>47</v>
      </c>
      <c r="F318" s="2" t="s">
        <v>46</v>
      </c>
      <c r="G318" s="2" t="s">
        <v>207</v>
      </c>
      <c r="H318" s="2" t="s">
        <v>48</v>
      </c>
      <c r="I318" s="4" t="n">
        <v>45000</v>
      </c>
      <c r="J318" s="2" t="s">
        <v>49</v>
      </c>
      <c r="K318" s="3" t="n">
        <v>26</v>
      </c>
      <c r="L318" s="2" t="s">
        <v>139</v>
      </c>
      <c r="M318" s="2" t="s">
        <v>139</v>
      </c>
      <c r="N318" s="2" t="s">
        <v>140</v>
      </c>
      <c r="O318" s="3" t="n">
        <v>0</v>
      </c>
      <c r="P318" s="2" t="s">
        <v>197</v>
      </c>
      <c r="Q318" s="2" t="s">
        <v>198</v>
      </c>
      <c r="R318" s="2" t="s">
        <v>139</v>
      </c>
      <c r="S318" s="2" t="s">
        <v>139</v>
      </c>
      <c r="T318" s="2" t="s">
        <v>1391</v>
      </c>
      <c r="U318" s="2" t="s">
        <v>97</v>
      </c>
      <c r="V318" s="4" t="n">
        <v>371000</v>
      </c>
      <c r="W318" s="5" t="n">
        <v>12.05</v>
      </c>
      <c r="X318" s="3" t="n">
        <v>24</v>
      </c>
      <c r="Y318" s="6" t="n">
        <v>46179</v>
      </c>
      <c r="Z318" s="6"/>
      <c r="AA318" s="6"/>
      <c r="AB318" s="4" t="n">
        <f aca="false">ROUND(PMT(W318/1200,X318,-V318),2)</f>
        <v>17472.92</v>
      </c>
      <c r="AC318" s="4" t="n">
        <v>0</v>
      </c>
      <c r="AD318" s="3" t="n">
        <v>0</v>
      </c>
      <c r="AE318" s="4" t="n">
        <v>107500</v>
      </c>
      <c r="AF318" s="4" t="n">
        <v>14900</v>
      </c>
      <c r="AG318" s="3" t="n">
        <v>18</v>
      </c>
      <c r="AH318" s="4" t="n">
        <v>14100</v>
      </c>
      <c r="AI318" s="3" t="n">
        <v>782</v>
      </c>
      <c r="AJ318" s="7" t="n">
        <f aca="false">ROUND(AB318/I318,4)</f>
        <v>0.3883</v>
      </c>
      <c r="AK318" s="2" t="str">
        <f aca="false">IF(AND(AI318&gt;=750,AJ318&lt;=0.35),"Low",IF(AND(AI318&gt;=600,AJ318&lt;=0.5),"Medium","High"))</f>
        <v>Medium</v>
      </c>
      <c r="AL318" s="3" t="n">
        <v>1</v>
      </c>
      <c r="AM318" s="2" t="s">
        <v>58</v>
      </c>
      <c r="AN318" s="2"/>
      <c r="AO318" s="2" t="s">
        <v>127</v>
      </c>
      <c r="AP318" s="7" t="n">
        <v>0.216</v>
      </c>
    </row>
    <row r="319" customFormat="false" ht="15" hidden="false" customHeight="false" outlineLevel="0" collapsed="false">
      <c r="A319" s="2" t="s">
        <v>1392</v>
      </c>
      <c r="B319" s="2" t="s">
        <v>1393</v>
      </c>
      <c r="C319" s="2" t="s">
        <v>1394</v>
      </c>
      <c r="D319" s="2" t="s">
        <v>109</v>
      </c>
      <c r="E319" s="3" t="n">
        <v>35</v>
      </c>
      <c r="F319" s="2" t="s">
        <v>64</v>
      </c>
      <c r="G319" s="2" t="s">
        <v>65</v>
      </c>
      <c r="H319" s="2" t="s">
        <v>48</v>
      </c>
      <c r="I319" s="4" t="n">
        <v>32000</v>
      </c>
      <c r="J319" s="2" t="s">
        <v>49</v>
      </c>
      <c r="K319" s="3" t="n">
        <v>14</v>
      </c>
      <c r="L319" s="2" t="s">
        <v>91</v>
      </c>
      <c r="M319" s="2" t="s">
        <v>92</v>
      </c>
      <c r="N319" s="2" t="s">
        <v>140</v>
      </c>
      <c r="O319" s="3" t="n">
        <v>4</v>
      </c>
      <c r="P319" s="2" t="s">
        <v>124</v>
      </c>
      <c r="Q319" s="2" t="s">
        <v>125</v>
      </c>
      <c r="R319" s="2" t="s">
        <v>91</v>
      </c>
      <c r="S319" s="2" t="s">
        <v>92</v>
      </c>
      <c r="T319" s="2" t="s">
        <v>1395</v>
      </c>
      <c r="U319" s="2" t="s">
        <v>97</v>
      </c>
      <c r="V319" s="4" t="n">
        <v>346000</v>
      </c>
      <c r="W319" s="5" t="n">
        <v>13.95</v>
      </c>
      <c r="X319" s="3" t="n">
        <v>36</v>
      </c>
      <c r="Y319" s="6" t="n">
        <v>46195</v>
      </c>
      <c r="Z319" s="6" t="n">
        <v>46196</v>
      </c>
      <c r="AA319" s="6" t="n">
        <v>46197</v>
      </c>
      <c r="AB319" s="4" t="n">
        <f aca="false">ROUND(PMT(W319/1200,X319,-V319),2)</f>
        <v>11817.06</v>
      </c>
      <c r="AC319" s="4" t="n">
        <v>0</v>
      </c>
      <c r="AD319" s="3" t="n">
        <v>0</v>
      </c>
      <c r="AE319" s="4" t="n">
        <v>80900</v>
      </c>
      <c r="AF319" s="4" t="n">
        <v>29900</v>
      </c>
      <c r="AG319" s="3" t="n">
        <v>30</v>
      </c>
      <c r="AH319" s="4" t="n">
        <v>10900</v>
      </c>
      <c r="AI319" s="3" t="n">
        <v>746</v>
      </c>
      <c r="AJ319" s="7" t="n">
        <f aca="false">ROUND(AB319/I319,4)</f>
        <v>0.3693</v>
      </c>
      <c r="AK319" s="2" t="str">
        <f aca="false">IF(AND(AI319&gt;=750,AJ319&lt;=0.35),"Low",IF(AND(AI319&gt;=600,AJ319&lt;=0.5),"Medium","High"))</f>
        <v>Medium</v>
      </c>
      <c r="AL319" s="3" t="n">
        <v>0</v>
      </c>
      <c r="AM319" s="2" t="s">
        <v>58</v>
      </c>
      <c r="AN319" s="2" t="s">
        <v>59</v>
      </c>
      <c r="AO319" s="2" t="s">
        <v>60</v>
      </c>
      <c r="AP319" s="7" t="n">
        <v>0.202</v>
      </c>
    </row>
    <row r="320" customFormat="false" ht="15" hidden="false" customHeight="false" outlineLevel="0" collapsed="false">
      <c r="A320" s="2" t="s">
        <v>1396</v>
      </c>
      <c r="B320" s="2" t="s">
        <v>1397</v>
      </c>
      <c r="C320" s="2" t="s">
        <v>960</v>
      </c>
      <c r="D320" s="2" t="s">
        <v>45</v>
      </c>
      <c r="E320" s="3" t="n">
        <v>30</v>
      </c>
      <c r="F320" s="2" t="s">
        <v>64</v>
      </c>
      <c r="G320" s="2" t="s">
        <v>246</v>
      </c>
      <c r="H320" s="2" t="s">
        <v>77</v>
      </c>
      <c r="I320" s="4" t="n">
        <v>19500</v>
      </c>
      <c r="J320" s="2" t="s">
        <v>145</v>
      </c>
      <c r="K320" s="3" t="n">
        <v>4</v>
      </c>
      <c r="L320" s="2" t="s">
        <v>348</v>
      </c>
      <c r="M320" s="2" t="s">
        <v>67</v>
      </c>
      <c r="N320" s="2" t="s">
        <v>81</v>
      </c>
      <c r="O320" s="3"/>
      <c r="P320" s="2" t="s">
        <v>103</v>
      </c>
      <c r="Q320" s="2" t="s">
        <v>104</v>
      </c>
      <c r="R320" s="2" t="s">
        <v>67</v>
      </c>
      <c r="S320" s="2" t="s">
        <v>67</v>
      </c>
      <c r="T320" s="2" t="s">
        <v>1398</v>
      </c>
      <c r="U320" s="2" t="s">
        <v>85</v>
      </c>
      <c r="V320" s="4" t="n">
        <v>120000</v>
      </c>
      <c r="W320" s="5" t="n">
        <v>8.87</v>
      </c>
      <c r="X320" s="3" t="n">
        <v>36</v>
      </c>
      <c r="Y320" s="6" t="n">
        <v>46202</v>
      </c>
      <c r="Z320" s="6" t="n">
        <v>46209</v>
      </c>
      <c r="AA320" s="6" t="n">
        <v>46212</v>
      </c>
      <c r="AB320" s="4" t="n">
        <f aca="false">ROUND(PMT(W320/1200,X320,-V320),2)</f>
        <v>3808.71</v>
      </c>
      <c r="AC320" s="4" t="n">
        <v>0</v>
      </c>
      <c r="AD320" s="3" t="n">
        <v>0</v>
      </c>
      <c r="AE320" s="4" t="n">
        <v>13500</v>
      </c>
      <c r="AF320" s="4" t="n">
        <v>7000</v>
      </c>
      <c r="AG320" s="3" t="n">
        <v>20</v>
      </c>
      <c r="AH320" s="4" t="n">
        <v>13800</v>
      </c>
      <c r="AI320" s="3" t="n">
        <v>641</v>
      </c>
      <c r="AJ320" s="7" t="n">
        <f aca="false">ROUND(AB320/I320,4)</f>
        <v>0.1953</v>
      </c>
      <c r="AK320" s="2" t="str">
        <f aca="false">IF(AND(AI320&gt;=750,AJ320&lt;=0.35),"Low",IF(AND(AI320&gt;=600,AJ320&lt;=0.5),"Medium","High"))</f>
        <v>Medium</v>
      </c>
      <c r="AL320" s="3" t="n">
        <v>1</v>
      </c>
      <c r="AM320" s="2" t="s">
        <v>58</v>
      </c>
      <c r="AN320" s="2" t="s">
        <v>59</v>
      </c>
      <c r="AO320" s="2" t="s">
        <v>60</v>
      </c>
      <c r="AP320" s="7" t="n">
        <v>0.298</v>
      </c>
    </row>
    <row r="321" customFormat="false" ht="15" hidden="false" customHeight="false" outlineLevel="0" collapsed="false">
      <c r="A321" s="2" t="s">
        <v>1399</v>
      </c>
      <c r="B321" s="2" t="s">
        <v>1400</v>
      </c>
      <c r="C321" s="2" t="s">
        <v>1401</v>
      </c>
      <c r="D321" s="2" t="s">
        <v>109</v>
      </c>
      <c r="E321" s="3" t="n">
        <v>66</v>
      </c>
      <c r="F321" s="2" t="s">
        <v>46</v>
      </c>
      <c r="G321" s="2" t="s">
        <v>176</v>
      </c>
      <c r="H321" s="2" t="s">
        <v>48</v>
      </c>
      <c r="I321" s="4" t="n">
        <v>140500</v>
      </c>
      <c r="J321" s="2" t="s">
        <v>177</v>
      </c>
      <c r="K321" s="3" t="n">
        <v>43</v>
      </c>
      <c r="L321" s="2" t="s">
        <v>231</v>
      </c>
      <c r="M321" s="2" t="s">
        <v>92</v>
      </c>
      <c r="N321" s="2" t="s">
        <v>52</v>
      </c>
      <c r="O321" s="3" t="n">
        <v>0</v>
      </c>
      <c r="P321" s="2" t="s">
        <v>229</v>
      </c>
      <c r="Q321" s="2" t="s">
        <v>230</v>
      </c>
      <c r="R321" s="2" t="s">
        <v>231</v>
      </c>
      <c r="S321" s="2" t="s">
        <v>92</v>
      </c>
      <c r="T321" s="2" t="s">
        <v>1402</v>
      </c>
      <c r="U321" s="2" t="s">
        <v>72</v>
      </c>
      <c r="V321" s="4" t="n">
        <v>1002000</v>
      </c>
      <c r="W321" s="5" t="n">
        <v>11.73</v>
      </c>
      <c r="X321" s="3" t="n">
        <v>84</v>
      </c>
      <c r="Y321" s="6" t="n">
        <v>46186</v>
      </c>
      <c r="Z321" s="6"/>
      <c r="AA321" s="6"/>
      <c r="AB321" s="4" t="n">
        <f aca="false">ROUND(PMT(W321/1200,X321,-V321),2)</f>
        <v>17543.68</v>
      </c>
      <c r="AC321" s="4" t="n">
        <v>1013000</v>
      </c>
      <c r="AD321" s="3" t="n">
        <v>0</v>
      </c>
      <c r="AE321" s="4"/>
      <c r="AF321" s="4" t="n">
        <v>36300</v>
      </c>
      <c r="AG321" s="3" t="n">
        <v>36</v>
      </c>
      <c r="AH321" s="4" t="n">
        <v>58500</v>
      </c>
      <c r="AI321" s="3" t="n">
        <v>840</v>
      </c>
      <c r="AJ321" s="7" t="n">
        <f aca="false">ROUND(AB321/I321,4)</f>
        <v>0.1249</v>
      </c>
      <c r="AK321" s="2" t="str">
        <f aca="false">IF(AND(AI321&gt;=750,AJ321&lt;=0.35),"Low",IF(AND(AI321&gt;=600,AJ321&lt;=0.5),"Medium","High"))</f>
        <v>Low</v>
      </c>
      <c r="AL321" s="3" t="n">
        <v>0</v>
      </c>
      <c r="AM321" s="2" t="s">
        <v>58</v>
      </c>
      <c r="AN321" s="2"/>
      <c r="AO321" s="2" t="s">
        <v>134</v>
      </c>
      <c r="AP321" s="7" t="n">
        <v>0.118</v>
      </c>
    </row>
    <row r="322" customFormat="false" ht="15" hidden="false" customHeight="false" outlineLevel="0" collapsed="false">
      <c r="A322" s="2" t="s">
        <v>1403</v>
      </c>
      <c r="B322" s="2" t="s">
        <v>1404</v>
      </c>
      <c r="C322" s="2" t="s">
        <v>1405</v>
      </c>
      <c r="D322" s="2" t="s">
        <v>45</v>
      </c>
      <c r="E322" s="3" t="n">
        <v>48</v>
      </c>
      <c r="F322" s="2" t="s">
        <v>64</v>
      </c>
      <c r="G322" s="2" t="s">
        <v>90</v>
      </c>
      <c r="H322" s="2" t="s">
        <v>123</v>
      </c>
      <c r="I322" s="4" t="n">
        <v>33500</v>
      </c>
      <c r="J322" s="2" t="s">
        <v>90</v>
      </c>
      <c r="K322" s="3" t="n">
        <v>23</v>
      </c>
      <c r="L322" s="2" t="s">
        <v>80</v>
      </c>
      <c r="M322" s="2" t="s">
        <v>80</v>
      </c>
      <c r="N322" s="2" t="s">
        <v>102</v>
      </c>
      <c r="O322" s="3" t="n">
        <v>3</v>
      </c>
      <c r="P322" s="2" t="s">
        <v>82</v>
      </c>
      <c r="Q322" s="2" t="s">
        <v>83</v>
      </c>
      <c r="R322" s="2" t="s">
        <v>80</v>
      </c>
      <c r="S322" s="2" t="s">
        <v>80</v>
      </c>
      <c r="T322" s="2" t="s">
        <v>1406</v>
      </c>
      <c r="U322" s="2" t="s">
        <v>118</v>
      </c>
      <c r="V322" s="4" t="n">
        <v>774000</v>
      </c>
      <c r="W322" s="5" t="n">
        <v>8.72</v>
      </c>
      <c r="X322" s="3" t="n">
        <v>78</v>
      </c>
      <c r="Y322" s="6" t="n">
        <v>46185</v>
      </c>
      <c r="Z322" s="6" t="n">
        <v>46186</v>
      </c>
      <c r="AA322" s="6" t="n">
        <v>46189</v>
      </c>
      <c r="AB322" s="4" t="n">
        <f aca="false">ROUND(PMT(W322/1200,X322,-V322),2)</f>
        <v>13034.59</v>
      </c>
      <c r="AC322" s="4" t="n">
        <v>0</v>
      </c>
      <c r="AD322" s="3" t="n">
        <v>0</v>
      </c>
      <c r="AE322" s="4" t="n">
        <v>127900</v>
      </c>
      <c r="AF322" s="4"/>
      <c r="AG322" s="3" t="n">
        <v>31</v>
      </c>
      <c r="AH322" s="4" t="n">
        <v>19100</v>
      </c>
      <c r="AI322" s="3" t="n">
        <v>696</v>
      </c>
      <c r="AJ322" s="7" t="n">
        <f aca="false">ROUND(AB322/I322,4)</f>
        <v>0.3891</v>
      </c>
      <c r="AK322" s="2" t="str">
        <f aca="false">IF(AND(AI322&gt;=750,AJ322&lt;=0.35),"Low",IF(AND(AI322&gt;=600,AJ322&lt;=0.5),"Medium","High"))</f>
        <v>Medium</v>
      </c>
      <c r="AL322" s="3" t="n">
        <v>1</v>
      </c>
      <c r="AM322" s="2" t="s">
        <v>233</v>
      </c>
      <c r="AN322" s="2" t="s">
        <v>59</v>
      </c>
      <c r="AO322" s="2" t="s">
        <v>60</v>
      </c>
      <c r="AP322" s="7" t="n">
        <v>0.314</v>
      </c>
    </row>
    <row r="323" customFormat="false" ht="15" hidden="false" customHeight="false" outlineLevel="0" collapsed="false">
      <c r="A323" s="2" t="s">
        <v>1407</v>
      </c>
      <c r="B323" s="2" t="s">
        <v>1408</v>
      </c>
      <c r="C323" s="2" t="s">
        <v>1409</v>
      </c>
      <c r="D323" s="2" t="s">
        <v>45</v>
      </c>
      <c r="E323" s="3" t="n">
        <v>31</v>
      </c>
      <c r="F323" s="2" t="s">
        <v>46</v>
      </c>
      <c r="G323" s="2" t="s">
        <v>166</v>
      </c>
      <c r="H323" s="2" t="s">
        <v>167</v>
      </c>
      <c r="I323" s="4" t="n">
        <v>172000</v>
      </c>
      <c r="J323" s="2" t="s">
        <v>145</v>
      </c>
      <c r="K323" s="3" t="n">
        <v>3</v>
      </c>
      <c r="L323" s="2" t="s">
        <v>463</v>
      </c>
      <c r="M323" s="2" t="s">
        <v>51</v>
      </c>
      <c r="N323" s="2" t="s">
        <v>52</v>
      </c>
      <c r="O323" s="3" t="n">
        <v>0</v>
      </c>
      <c r="P323" s="2" t="s">
        <v>53</v>
      </c>
      <c r="Q323" s="2" t="s">
        <v>54</v>
      </c>
      <c r="R323" s="2" t="s">
        <v>55</v>
      </c>
      <c r="S323" s="2" t="s">
        <v>51</v>
      </c>
      <c r="T323" s="2" t="s">
        <v>1410</v>
      </c>
      <c r="U323" s="2" t="s">
        <v>57</v>
      </c>
      <c r="V323" s="4" t="n">
        <v>3434000</v>
      </c>
      <c r="W323" s="5" t="n">
        <v>9.94</v>
      </c>
      <c r="X323" s="3" t="n">
        <v>150</v>
      </c>
      <c r="Y323" s="6" t="n">
        <v>46179</v>
      </c>
      <c r="Z323" s="6"/>
      <c r="AA323" s="6"/>
      <c r="AB323" s="4" t="n">
        <f aca="false">ROUND(PMT(W323/1200,X323,-V323),2)</f>
        <v>40071.39</v>
      </c>
      <c r="AC323" s="4" t="n">
        <v>3694000</v>
      </c>
      <c r="AD323" s="3"/>
      <c r="AE323" s="4" t="n">
        <v>200600</v>
      </c>
      <c r="AF323" s="4" t="n">
        <v>56800</v>
      </c>
      <c r="AG323" s="3" t="n">
        <v>40</v>
      </c>
      <c r="AH323" s="4" t="n">
        <v>66200</v>
      </c>
      <c r="AI323" s="3" t="n">
        <v>563</v>
      </c>
      <c r="AJ323" s="7" t="n">
        <f aca="false">ROUND(AB323/I323,4)</f>
        <v>0.233</v>
      </c>
      <c r="AK323" s="2" t="str">
        <f aca="false">IF(AND(AI323&gt;=750,AJ323&lt;=0.35),"Low",IF(AND(AI323&gt;=600,AJ323&lt;=0.5),"Medium","High"))</f>
        <v>High</v>
      </c>
      <c r="AL323" s="3" t="n">
        <v>2</v>
      </c>
      <c r="AM323" s="2" t="s">
        <v>58</v>
      </c>
      <c r="AN323" s="2"/>
      <c r="AO323" s="2" t="s">
        <v>127</v>
      </c>
      <c r="AP323" s="7" t="n">
        <v>0.403</v>
      </c>
    </row>
    <row r="324" customFormat="false" ht="15" hidden="false" customHeight="false" outlineLevel="0" collapsed="false">
      <c r="A324" s="2" t="s">
        <v>1411</v>
      </c>
      <c r="B324" s="2" t="s">
        <v>1412</v>
      </c>
      <c r="C324" s="2" t="s">
        <v>1413</v>
      </c>
      <c r="D324" s="2" t="s">
        <v>45</v>
      </c>
      <c r="E324" s="3" t="n">
        <v>28</v>
      </c>
      <c r="F324" s="2" t="s">
        <v>175</v>
      </c>
      <c r="G324" s="2" t="s">
        <v>47</v>
      </c>
      <c r="H324" s="2" t="s">
        <v>48</v>
      </c>
      <c r="I324" s="4" t="n">
        <v>88000</v>
      </c>
      <c r="J324" s="2" t="s">
        <v>49</v>
      </c>
      <c r="K324" s="3" t="n">
        <v>0</v>
      </c>
      <c r="L324" s="2" t="s">
        <v>70</v>
      </c>
      <c r="M324" s="2" t="s">
        <v>67</v>
      </c>
      <c r="N324" s="2" t="s">
        <v>52</v>
      </c>
      <c r="O324" s="3" t="n">
        <v>2</v>
      </c>
      <c r="P324" s="2" t="s">
        <v>68</v>
      </c>
      <c r="Q324" s="2" t="s">
        <v>69</v>
      </c>
      <c r="R324" s="2" t="s">
        <v>70</v>
      </c>
      <c r="S324" s="2" t="s">
        <v>67</v>
      </c>
      <c r="T324" s="2" t="s">
        <v>1414</v>
      </c>
      <c r="U324" s="2" t="s">
        <v>57</v>
      </c>
      <c r="V324" s="4" t="n">
        <v>1946000</v>
      </c>
      <c r="W324" s="5" t="n">
        <v>10.26</v>
      </c>
      <c r="X324" s="3" t="n">
        <v>240</v>
      </c>
      <c r="Y324" s="6" t="n">
        <v>46202</v>
      </c>
      <c r="Z324" s="6" t="n">
        <v>46205</v>
      </c>
      <c r="AA324" s="6" t="n">
        <v>46207</v>
      </c>
      <c r="AB324" s="4" t="n">
        <f aca="false">ROUND(PMT(W324/1200,X324,-V324),2)</f>
        <v>19115.77</v>
      </c>
      <c r="AC324" s="4" t="n">
        <v>2682000</v>
      </c>
      <c r="AD324" s="3" t="n">
        <v>2</v>
      </c>
      <c r="AE324" s="4" t="n">
        <v>289600</v>
      </c>
      <c r="AF324" s="4" t="n">
        <v>133200</v>
      </c>
      <c r="AG324" s="3" t="n">
        <v>33</v>
      </c>
      <c r="AH324" s="4" t="n">
        <v>32500</v>
      </c>
      <c r="AI324" s="3" t="n">
        <v>650</v>
      </c>
      <c r="AJ324" s="7" t="n">
        <f aca="false">ROUND(AB324/I324,4)</f>
        <v>0.2172</v>
      </c>
      <c r="AK324" s="2" t="str">
        <f aca="false">IF(AND(AI324&gt;=750,AJ324&lt;=0.35),"Low",IF(AND(AI324&gt;=600,AJ324&lt;=0.5),"Medium","High"))</f>
        <v>Medium</v>
      </c>
      <c r="AL324" s="3" t="n">
        <v>6</v>
      </c>
      <c r="AM324" s="2" t="s">
        <v>58</v>
      </c>
      <c r="AN324" s="2" t="s">
        <v>59</v>
      </c>
      <c r="AO324" s="2" t="s">
        <v>86</v>
      </c>
      <c r="AP324" s="7" t="n">
        <v>0.309</v>
      </c>
    </row>
    <row r="325" customFormat="false" ht="15" hidden="false" customHeight="false" outlineLevel="0" collapsed="false">
      <c r="A325" s="2" t="s">
        <v>1415</v>
      </c>
      <c r="B325" s="2" t="s">
        <v>1416</v>
      </c>
      <c r="C325" s="2" t="s">
        <v>1417</v>
      </c>
      <c r="D325" s="2" t="s">
        <v>45</v>
      </c>
      <c r="E325" s="3" t="n">
        <v>23</v>
      </c>
      <c r="F325" s="2" t="s">
        <v>64</v>
      </c>
      <c r="G325" s="2" t="s">
        <v>176</v>
      </c>
      <c r="H325" s="2" t="s">
        <v>77</v>
      </c>
      <c r="I325" s="4" t="n">
        <v>52500</v>
      </c>
      <c r="J325" s="2" t="s">
        <v>177</v>
      </c>
      <c r="K325" s="3" t="n">
        <v>1</v>
      </c>
      <c r="L325" s="2" t="s">
        <v>159</v>
      </c>
      <c r="M325" s="2" t="s">
        <v>159</v>
      </c>
      <c r="N325" s="2" t="s">
        <v>140</v>
      </c>
      <c r="O325" s="3" t="n">
        <v>1</v>
      </c>
      <c r="P325" s="2" t="s">
        <v>160</v>
      </c>
      <c r="Q325" s="2" t="s">
        <v>161</v>
      </c>
      <c r="R325" s="2" t="s">
        <v>159</v>
      </c>
      <c r="S325" s="2" t="s">
        <v>159</v>
      </c>
      <c r="T325" s="2" t="s">
        <v>1418</v>
      </c>
      <c r="U325" s="2" t="s">
        <v>85</v>
      </c>
      <c r="V325" s="4" t="n">
        <v>239000</v>
      </c>
      <c r="W325" s="5" t="n">
        <v>9.51</v>
      </c>
      <c r="X325" s="3" t="n">
        <v>12</v>
      </c>
      <c r="Y325" s="6" t="n">
        <v>46177</v>
      </c>
      <c r="Z325" s="6"/>
      <c r="AA325" s="6"/>
      <c r="AB325" s="4" t="n">
        <f aca="false">ROUND(PMT(W325/1200,X325,-V325),2)</f>
        <v>20957.47</v>
      </c>
      <c r="AC325" s="4" t="n">
        <v>0</v>
      </c>
      <c r="AD325" s="3" t="n">
        <v>0</v>
      </c>
      <c r="AE325" s="4" t="n">
        <v>206600</v>
      </c>
      <c r="AF325" s="4" t="n">
        <v>30700</v>
      </c>
      <c r="AG325" s="3" t="n">
        <v>45</v>
      </c>
      <c r="AH325" s="4" t="n">
        <v>28500</v>
      </c>
      <c r="AI325" s="3" t="n">
        <v>900</v>
      </c>
      <c r="AJ325" s="7" t="n">
        <f aca="false">ROUND(AB325/I325,4)</f>
        <v>0.3992</v>
      </c>
      <c r="AK325" s="2" t="str">
        <f aca="false">IF(AND(AI325&gt;=750,AJ325&lt;=0.35),"Low",IF(AND(AI325&gt;=600,AJ325&lt;=0.5),"Medium","High"))</f>
        <v>Medium</v>
      </c>
      <c r="AL325" s="3" t="n">
        <v>0</v>
      </c>
      <c r="AM325" s="2" t="s">
        <v>58</v>
      </c>
      <c r="AN325" s="2"/>
      <c r="AO325" s="2" t="s">
        <v>134</v>
      </c>
      <c r="AP325" s="7" t="n">
        <v>0.04</v>
      </c>
    </row>
    <row r="326" customFormat="false" ht="15" hidden="false" customHeight="false" outlineLevel="0" collapsed="false">
      <c r="A326" s="2" t="s">
        <v>1419</v>
      </c>
      <c r="B326" s="2" t="s">
        <v>1420</v>
      </c>
      <c r="C326" s="2" t="s">
        <v>1421</v>
      </c>
      <c r="D326" s="2" t="s">
        <v>109</v>
      </c>
      <c r="E326" s="3" t="n">
        <v>22</v>
      </c>
      <c r="F326" s="2" t="s">
        <v>64</v>
      </c>
      <c r="G326" s="2" t="s">
        <v>47</v>
      </c>
      <c r="H326" s="2" t="s">
        <v>101</v>
      </c>
      <c r="I326" s="4" t="n">
        <v>144000</v>
      </c>
      <c r="J326" s="2" t="s">
        <v>49</v>
      </c>
      <c r="K326" s="3" t="n">
        <v>0</v>
      </c>
      <c r="L326" s="2" t="s">
        <v>67</v>
      </c>
      <c r="M326" s="2" t="s">
        <v>67</v>
      </c>
      <c r="N326" s="2" t="s">
        <v>102</v>
      </c>
      <c r="O326" s="3" t="n">
        <v>1</v>
      </c>
      <c r="P326" s="2" t="s">
        <v>160</v>
      </c>
      <c r="Q326" s="2" t="s">
        <v>161</v>
      </c>
      <c r="R326" s="2" t="s">
        <v>159</v>
      </c>
      <c r="S326" s="2" t="s">
        <v>159</v>
      </c>
      <c r="T326" s="2" t="s">
        <v>1422</v>
      </c>
      <c r="U326" s="2" t="s">
        <v>192</v>
      </c>
      <c r="V326" s="4" t="n">
        <v>2507000</v>
      </c>
      <c r="W326" s="5" t="n">
        <v>14.06</v>
      </c>
      <c r="X326" s="3" t="n">
        <v>54</v>
      </c>
      <c r="Y326" s="6" t="n">
        <v>46195</v>
      </c>
      <c r="Z326" s="6" t="n">
        <v>46205</v>
      </c>
      <c r="AA326" s="6" t="n">
        <v>46211</v>
      </c>
      <c r="AB326" s="4" t="n">
        <f aca="false">ROUND(PMT(W326/1200,X326,-V326),2)</f>
        <v>62913.88</v>
      </c>
      <c r="AC326" s="4" t="n">
        <v>3462000</v>
      </c>
      <c r="AD326" s="3" t="n">
        <v>1</v>
      </c>
      <c r="AE326" s="4" t="n">
        <v>358700</v>
      </c>
      <c r="AF326" s="4" t="n">
        <v>191500</v>
      </c>
      <c r="AG326" s="3" t="n">
        <v>37</v>
      </c>
      <c r="AH326" s="4" t="n">
        <v>93000</v>
      </c>
      <c r="AI326" s="3" t="n">
        <v>598</v>
      </c>
      <c r="AJ326" s="7" t="n">
        <f aca="false">ROUND(AB326/I326,4)</f>
        <v>0.4369</v>
      </c>
      <c r="AK326" s="2" t="str">
        <f aca="false">IF(AND(AI326&gt;=750,AJ326&lt;=0.35),"Low",IF(AND(AI326&gt;=600,AJ326&lt;=0.5),"Medium","High"))</f>
        <v>High</v>
      </c>
      <c r="AL326" s="3" t="n">
        <v>2</v>
      </c>
      <c r="AM326" s="2" t="s">
        <v>58</v>
      </c>
      <c r="AN326" s="2" t="s">
        <v>258</v>
      </c>
      <c r="AO326" s="2" t="s">
        <v>60</v>
      </c>
      <c r="AP326" s="7" t="n">
        <v>0.309</v>
      </c>
    </row>
    <row r="327" customFormat="false" ht="15" hidden="false" customHeight="false" outlineLevel="0" collapsed="false">
      <c r="A327" s="2" t="s">
        <v>1423</v>
      </c>
      <c r="B327" s="2" t="s">
        <v>1424</v>
      </c>
      <c r="C327" s="2" t="s">
        <v>769</v>
      </c>
      <c r="D327" s="2" t="s">
        <v>109</v>
      </c>
      <c r="E327" s="3" t="n">
        <v>37</v>
      </c>
      <c r="F327" s="2" t="s">
        <v>64</v>
      </c>
      <c r="G327" s="2" t="s">
        <v>110</v>
      </c>
      <c r="H327" s="2" t="s">
        <v>123</v>
      </c>
      <c r="I327" s="4" t="n">
        <v>15000</v>
      </c>
      <c r="J327" s="2" t="s">
        <v>112</v>
      </c>
      <c r="K327" s="3" t="n">
        <v>10</v>
      </c>
      <c r="L327" s="2" t="s">
        <v>211</v>
      </c>
      <c r="M327" s="2" t="s">
        <v>147</v>
      </c>
      <c r="N327" s="2" t="s">
        <v>52</v>
      </c>
      <c r="O327" s="3" t="n">
        <v>0</v>
      </c>
      <c r="P327" s="2" t="s">
        <v>209</v>
      </c>
      <c r="Q327" s="2" t="s">
        <v>210</v>
      </c>
      <c r="R327" s="2" t="s">
        <v>211</v>
      </c>
      <c r="S327" s="2" t="s">
        <v>147</v>
      </c>
      <c r="T327" s="2" t="s">
        <v>1425</v>
      </c>
      <c r="U327" s="2" t="s">
        <v>97</v>
      </c>
      <c r="V327" s="4" t="n">
        <v>114000</v>
      </c>
      <c r="W327" s="5" t="n">
        <v>15.12</v>
      </c>
      <c r="X327" s="3" t="n">
        <v>24</v>
      </c>
      <c r="Y327" s="6" t="n">
        <v>46192</v>
      </c>
      <c r="Z327" s="6" t="n">
        <v>46197</v>
      </c>
      <c r="AA327" s="6" t="n">
        <v>46199</v>
      </c>
      <c r="AB327" s="4" t="n">
        <f aca="false">ROUND(PMT(W327/1200,X327,-V327),2)</f>
        <v>5533.98</v>
      </c>
      <c r="AC327" s="4" t="n">
        <v>0</v>
      </c>
      <c r="AD327" s="3" t="n">
        <v>0</v>
      </c>
      <c r="AE327" s="4" t="n">
        <v>33000</v>
      </c>
      <c r="AF327" s="4" t="n">
        <v>16100</v>
      </c>
      <c r="AG327" s="3" t="n">
        <v>48</v>
      </c>
      <c r="AH327" s="4" t="n">
        <v>9100</v>
      </c>
      <c r="AI327" s="3" t="n">
        <v>700</v>
      </c>
      <c r="AJ327" s="7" t="n">
        <f aca="false">ROUND(AB327/I327,4)</f>
        <v>0.3689</v>
      </c>
      <c r="AK327" s="2" t="str">
        <f aca="false">IF(AND(AI327&gt;=750,AJ327&lt;=0.35),"Low",IF(AND(AI327&gt;=600,AJ327&lt;=0.5),"Medium","High"))</f>
        <v>Medium</v>
      </c>
      <c r="AL327" s="3" t="n">
        <v>3</v>
      </c>
      <c r="AM327" s="2" t="s">
        <v>58</v>
      </c>
      <c r="AN327" s="2" t="s">
        <v>59</v>
      </c>
      <c r="AO327" s="2" t="s">
        <v>60</v>
      </c>
      <c r="AP327" s="7" t="n">
        <v>0.254</v>
      </c>
    </row>
    <row r="328" customFormat="false" ht="15" hidden="false" customHeight="false" outlineLevel="0" collapsed="false">
      <c r="A328" s="2" t="s">
        <v>1426</v>
      </c>
      <c r="B328" s="2" t="s">
        <v>1427</v>
      </c>
      <c r="C328" s="2" t="s">
        <v>1012</v>
      </c>
      <c r="D328" s="2" t="s">
        <v>45</v>
      </c>
      <c r="E328" s="3" t="n">
        <v>21</v>
      </c>
      <c r="F328" s="2" t="s">
        <v>175</v>
      </c>
      <c r="G328" s="2" t="s">
        <v>154</v>
      </c>
      <c r="H328" s="2" t="s">
        <v>48</v>
      </c>
      <c r="I328" s="4" t="n">
        <v>26000</v>
      </c>
      <c r="J328" s="2" t="s">
        <v>145</v>
      </c>
      <c r="K328" s="3" t="n">
        <v>0</v>
      </c>
      <c r="L328" s="2" t="s">
        <v>178</v>
      </c>
      <c r="M328" s="2" t="s">
        <v>92</v>
      </c>
      <c r="N328" s="2" t="s">
        <v>140</v>
      </c>
      <c r="O328" s="3" t="n">
        <v>0</v>
      </c>
      <c r="P328" s="2" t="s">
        <v>229</v>
      </c>
      <c r="Q328" s="2" t="s">
        <v>230</v>
      </c>
      <c r="R328" s="2" t="s">
        <v>231</v>
      </c>
      <c r="S328" s="2" t="s">
        <v>92</v>
      </c>
      <c r="T328" s="2" t="s">
        <v>1428</v>
      </c>
      <c r="U328" s="2" t="s">
        <v>118</v>
      </c>
      <c r="V328" s="4" t="n">
        <v>133000</v>
      </c>
      <c r="W328" s="5" t="n">
        <v>8.27</v>
      </c>
      <c r="X328" s="3" t="n">
        <v>78</v>
      </c>
      <c r="Y328" s="6" t="n">
        <v>46174</v>
      </c>
      <c r="Z328" s="6" t="n">
        <v>46180</v>
      </c>
      <c r="AA328" s="6" t="n">
        <v>46183</v>
      </c>
      <c r="AB328" s="4" t="n">
        <f aca="false">ROUND(PMT(W328/1200,X328,-V328),2)</f>
        <v>2210.02</v>
      </c>
      <c r="AC328" s="4" t="n">
        <v>0</v>
      </c>
      <c r="AD328" s="3" t="n">
        <v>1</v>
      </c>
      <c r="AE328" s="4" t="n">
        <v>71900</v>
      </c>
      <c r="AF328" s="4" t="n">
        <v>8200</v>
      </c>
      <c r="AG328" s="3" t="n">
        <v>50</v>
      </c>
      <c r="AH328" s="4" t="n">
        <v>20700</v>
      </c>
      <c r="AI328" s="3" t="n">
        <v>725</v>
      </c>
      <c r="AJ328" s="7" t="n">
        <f aca="false">ROUND(AB328/I328,4)</f>
        <v>0.085</v>
      </c>
      <c r="AK328" s="2" t="str">
        <f aca="false">IF(AND(AI328&gt;=750,AJ328&lt;=0.35),"Low",IF(AND(AI328&gt;=600,AJ328&lt;=0.5),"Medium","High"))</f>
        <v>Medium</v>
      </c>
      <c r="AL328" s="3"/>
      <c r="AM328" s="2" t="s">
        <v>58</v>
      </c>
      <c r="AN328" s="2" t="s">
        <v>258</v>
      </c>
      <c r="AO328" s="2" t="s">
        <v>60</v>
      </c>
      <c r="AP328" s="7" t="n">
        <v>0.237</v>
      </c>
    </row>
    <row r="329" customFormat="false" ht="15" hidden="false" customHeight="false" outlineLevel="0" collapsed="false">
      <c r="A329" s="2" t="s">
        <v>1429</v>
      </c>
      <c r="B329" s="2" t="s">
        <v>1430</v>
      </c>
      <c r="C329" s="2" t="s">
        <v>1431</v>
      </c>
      <c r="D329" s="2" t="s">
        <v>45</v>
      </c>
      <c r="E329" s="3" t="n">
        <v>70</v>
      </c>
      <c r="F329" s="2" t="s">
        <v>46</v>
      </c>
      <c r="G329" s="2"/>
      <c r="H329" s="2" t="s">
        <v>101</v>
      </c>
      <c r="I329" s="4" t="n">
        <v>54000</v>
      </c>
      <c r="J329" s="2" t="s">
        <v>90</v>
      </c>
      <c r="K329" s="3" t="n">
        <v>45</v>
      </c>
      <c r="L329" s="2" t="s">
        <v>252</v>
      </c>
      <c r="M329" s="2" t="s">
        <v>114</v>
      </c>
      <c r="N329" s="2" t="s">
        <v>81</v>
      </c>
      <c r="O329" s="3" t="n">
        <v>0</v>
      </c>
      <c r="P329" s="2" t="s">
        <v>209</v>
      </c>
      <c r="Q329" s="2" t="s">
        <v>210</v>
      </c>
      <c r="R329" s="2" t="s">
        <v>211</v>
      </c>
      <c r="S329" s="2" t="s">
        <v>147</v>
      </c>
      <c r="T329" s="2" t="s">
        <v>1432</v>
      </c>
      <c r="U329" s="2" t="s">
        <v>72</v>
      </c>
      <c r="V329" s="4" t="n">
        <v>300000</v>
      </c>
      <c r="W329" s="5" t="n">
        <v>11.75</v>
      </c>
      <c r="X329" s="3" t="n">
        <v>60</v>
      </c>
      <c r="Y329" s="6" t="n">
        <v>46183</v>
      </c>
      <c r="Z329" s="6" t="n">
        <v>46192</v>
      </c>
      <c r="AA329" s="6" t="n">
        <v>46195</v>
      </c>
      <c r="AB329" s="4" t="n">
        <f aca="false">ROUND(PMT(W329/1200,X329,-V329),2)</f>
        <v>6635.5</v>
      </c>
      <c r="AC329" s="4" t="n">
        <v>381000</v>
      </c>
      <c r="AD329" s="3" t="n">
        <v>0</v>
      </c>
      <c r="AE329" s="4" t="n">
        <v>167800</v>
      </c>
      <c r="AF329" s="4" t="n">
        <v>30900</v>
      </c>
      <c r="AG329" s="3" t="n">
        <v>28</v>
      </c>
      <c r="AH329" s="4" t="n">
        <v>24400</v>
      </c>
      <c r="AI329" s="3" t="n">
        <v>677</v>
      </c>
      <c r="AJ329" s="7" t="n">
        <f aca="false">ROUND(AB329/I329,4)</f>
        <v>0.1229</v>
      </c>
      <c r="AK329" s="2" t="str">
        <f aca="false">IF(AND(AI329&gt;=750,AJ329&lt;=0.35),"Low",IF(AND(AI329&gt;=600,AJ329&lt;=0.5),"Medium","High"))</f>
        <v>Medium</v>
      </c>
      <c r="AL329" s="3" t="n">
        <v>0</v>
      </c>
      <c r="AM329" s="2" t="s">
        <v>233</v>
      </c>
      <c r="AN329" s="2" t="s">
        <v>59</v>
      </c>
      <c r="AO329" s="2" t="s">
        <v>60</v>
      </c>
      <c r="AP329" s="7" t="n">
        <v>0.279</v>
      </c>
    </row>
    <row r="330" customFormat="false" ht="15" hidden="false" customHeight="false" outlineLevel="0" collapsed="false">
      <c r="A330" s="2" t="s">
        <v>1433</v>
      </c>
      <c r="B330" s="2" t="s">
        <v>1434</v>
      </c>
      <c r="C330" s="2" t="s">
        <v>1435</v>
      </c>
      <c r="D330" s="2" t="s">
        <v>45</v>
      </c>
      <c r="E330" s="3" t="n">
        <v>21</v>
      </c>
      <c r="F330" s="2"/>
      <c r="G330" s="2" t="s">
        <v>166</v>
      </c>
      <c r="H330" s="2" t="s">
        <v>48</v>
      </c>
      <c r="I330" s="4" t="n">
        <v>99000</v>
      </c>
      <c r="J330" s="2" t="s">
        <v>145</v>
      </c>
      <c r="K330" s="3" t="n">
        <v>0</v>
      </c>
      <c r="L330" s="2" t="s">
        <v>114</v>
      </c>
      <c r="M330" s="2" t="s">
        <v>114</v>
      </c>
      <c r="N330" s="2" t="s">
        <v>81</v>
      </c>
      <c r="O330" s="3" t="n">
        <v>1</v>
      </c>
      <c r="P330" s="2" t="s">
        <v>115</v>
      </c>
      <c r="Q330" s="2" t="s">
        <v>116</v>
      </c>
      <c r="R330" s="2" t="s">
        <v>114</v>
      </c>
      <c r="S330" s="2" t="s">
        <v>114</v>
      </c>
      <c r="T330" s="2" t="s">
        <v>1436</v>
      </c>
      <c r="U330" s="2" t="s">
        <v>180</v>
      </c>
      <c r="V330" s="4" t="n">
        <v>338000</v>
      </c>
      <c r="W330" s="5" t="n">
        <v>11.65</v>
      </c>
      <c r="X330" s="3" t="n">
        <v>12</v>
      </c>
      <c r="Y330" s="6" t="n">
        <v>46200</v>
      </c>
      <c r="Z330" s="6"/>
      <c r="AA330" s="6"/>
      <c r="AB330" s="4" t="n">
        <f aca="false">ROUND(PMT(W330/1200,X330,-V330),2)</f>
        <v>29975.58</v>
      </c>
      <c r="AC330" s="4" t="n">
        <v>434000</v>
      </c>
      <c r="AD330" s="3" t="n">
        <v>2</v>
      </c>
      <c r="AE330" s="4" t="n">
        <v>376900</v>
      </c>
      <c r="AF330" s="4" t="n">
        <v>164600</v>
      </c>
      <c r="AG330" s="3" t="n">
        <v>56</v>
      </c>
      <c r="AH330" s="4" t="n">
        <v>34800</v>
      </c>
      <c r="AI330" s="3" t="n">
        <v>668</v>
      </c>
      <c r="AJ330" s="7" t="n">
        <f aca="false">ROUND(AB330/I330,4)</f>
        <v>0.3028</v>
      </c>
      <c r="AK330" s="2" t="str">
        <f aca="false">IF(AND(AI330&gt;=750,AJ330&lt;=0.35),"Low",IF(AND(AI330&gt;=600,AJ330&lt;=0.5),"Medium","High"))</f>
        <v>Medium</v>
      </c>
      <c r="AL330" s="3" t="n">
        <v>3</v>
      </c>
      <c r="AM330" s="2" t="s">
        <v>58</v>
      </c>
      <c r="AN330" s="2"/>
      <c r="AO330" s="2" t="s">
        <v>127</v>
      </c>
      <c r="AP330" s="7" t="n">
        <v>0.211</v>
      </c>
    </row>
    <row r="331" customFormat="false" ht="15" hidden="false" customHeight="false" outlineLevel="0" collapsed="false">
      <c r="A331" s="2" t="s">
        <v>1437</v>
      </c>
      <c r="B331" s="2" t="s">
        <v>1438</v>
      </c>
      <c r="C331" s="2" t="s">
        <v>1439</v>
      </c>
      <c r="D331" s="2" t="s">
        <v>45</v>
      </c>
      <c r="E331" s="3" t="n">
        <v>21</v>
      </c>
      <c r="F331" s="2" t="s">
        <v>64</v>
      </c>
      <c r="G331" s="2" t="s">
        <v>90</v>
      </c>
      <c r="H331" s="2" t="s">
        <v>101</v>
      </c>
      <c r="I331" s="4" t="n">
        <v>29000</v>
      </c>
      <c r="J331" s="2" t="s">
        <v>90</v>
      </c>
      <c r="K331" s="3" t="n">
        <v>0</v>
      </c>
      <c r="L331" s="2" t="s">
        <v>211</v>
      </c>
      <c r="M331" s="2" t="s">
        <v>147</v>
      </c>
      <c r="N331" s="2" t="s">
        <v>52</v>
      </c>
      <c r="O331" s="3" t="n">
        <v>2</v>
      </c>
      <c r="P331" s="2" t="s">
        <v>209</v>
      </c>
      <c r="Q331" s="2" t="s">
        <v>210</v>
      </c>
      <c r="R331" s="2" t="s">
        <v>211</v>
      </c>
      <c r="S331" s="2" t="s">
        <v>147</v>
      </c>
      <c r="T331" s="2" t="s">
        <v>1440</v>
      </c>
      <c r="U331" s="2" t="s">
        <v>118</v>
      </c>
      <c r="V331" s="4" t="n">
        <v>317000</v>
      </c>
      <c r="W331" s="5" t="n">
        <v>10.28</v>
      </c>
      <c r="X331" s="3" t="n">
        <v>78</v>
      </c>
      <c r="Y331" s="6" t="n">
        <v>46181</v>
      </c>
      <c r="Z331" s="6" t="n">
        <v>46186</v>
      </c>
      <c r="AA331" s="6" t="n">
        <v>46190</v>
      </c>
      <c r="AB331" s="4" t="n">
        <f aca="false">ROUND(PMT(W331/1200,X331,-V331),2)</f>
        <v>5588.77</v>
      </c>
      <c r="AC331" s="4" t="n">
        <v>0</v>
      </c>
      <c r="AD331" s="3" t="n">
        <v>0</v>
      </c>
      <c r="AE331" s="4" t="n">
        <v>112700</v>
      </c>
      <c r="AF331" s="4" t="n">
        <v>61400</v>
      </c>
      <c r="AG331" s="3" t="n">
        <v>35</v>
      </c>
      <c r="AH331" s="4" t="n">
        <v>22600</v>
      </c>
      <c r="AI331" s="3" t="n">
        <v>709</v>
      </c>
      <c r="AJ331" s="7" t="n">
        <f aca="false">ROUND(AB331/I331,4)</f>
        <v>0.1927</v>
      </c>
      <c r="AK331" s="2" t="str">
        <f aca="false">IF(AND(AI331&gt;=750,AJ331&lt;=0.35),"Low",IF(AND(AI331&gt;=600,AJ331&lt;=0.5),"Medium","High"))</f>
        <v>Medium</v>
      </c>
      <c r="AL331" s="3" t="n">
        <v>2</v>
      </c>
      <c r="AM331" s="2" t="s">
        <v>58</v>
      </c>
      <c r="AN331" s="2" t="s">
        <v>258</v>
      </c>
      <c r="AO331" s="2" t="s">
        <v>60</v>
      </c>
      <c r="AP331" s="7" t="n">
        <v>0.273</v>
      </c>
    </row>
    <row r="332" customFormat="false" ht="15" hidden="false" customHeight="false" outlineLevel="0" collapsed="false">
      <c r="A332" s="2" t="s">
        <v>1441</v>
      </c>
      <c r="B332" s="2" t="s">
        <v>1442</v>
      </c>
      <c r="C332" s="2" t="s">
        <v>1443</v>
      </c>
      <c r="D332" s="2" t="s">
        <v>109</v>
      </c>
      <c r="E332" s="3" t="n">
        <v>32</v>
      </c>
      <c r="F332" s="2" t="s">
        <v>434</v>
      </c>
      <c r="G332" s="2" t="s">
        <v>145</v>
      </c>
      <c r="H332" s="2" t="s">
        <v>111</v>
      </c>
      <c r="I332" s="4" t="n">
        <v>24000</v>
      </c>
      <c r="J332" s="2" t="s">
        <v>145</v>
      </c>
      <c r="K332" s="3" t="n">
        <v>9</v>
      </c>
      <c r="L332" s="2" t="s">
        <v>95</v>
      </c>
      <c r="M332" s="2" t="s">
        <v>92</v>
      </c>
      <c r="N332" s="2" t="s">
        <v>140</v>
      </c>
      <c r="O332" s="3"/>
      <c r="P332" s="2" t="s">
        <v>93</v>
      </c>
      <c r="Q332" s="2" t="s">
        <v>94</v>
      </c>
      <c r="R332" s="2" t="s">
        <v>95</v>
      </c>
      <c r="S332" s="2" t="s">
        <v>92</v>
      </c>
      <c r="T332" s="2" t="s">
        <v>1444</v>
      </c>
      <c r="U332" s="2" t="s">
        <v>57</v>
      </c>
      <c r="V332" s="4" t="n">
        <v>800000</v>
      </c>
      <c r="W332" s="5" t="n">
        <v>9.97</v>
      </c>
      <c r="X332" s="3" t="n">
        <v>84</v>
      </c>
      <c r="Y332" s="6" t="n">
        <v>46196</v>
      </c>
      <c r="Z332" s="6" t="n">
        <v>46199</v>
      </c>
      <c r="AA332" s="6" t="n">
        <v>46200</v>
      </c>
      <c r="AB332" s="4" t="n">
        <f aca="false">ROUND(PMT(W332/1200,X332,-V332),2)</f>
        <v>13268.55</v>
      </c>
      <c r="AC332" s="4" t="n">
        <v>965000</v>
      </c>
      <c r="AD332" s="3" t="n">
        <v>0</v>
      </c>
      <c r="AE332" s="4" t="n">
        <v>95200</v>
      </c>
      <c r="AF332" s="4" t="n">
        <v>22700</v>
      </c>
      <c r="AG332" s="3" t="n">
        <v>42</v>
      </c>
      <c r="AH332" s="4" t="n">
        <v>16800</v>
      </c>
      <c r="AI332" s="3" t="n">
        <v>790</v>
      </c>
      <c r="AJ332" s="7" t="n">
        <f aca="false">ROUND(AB332/I332,4)</f>
        <v>0.5529</v>
      </c>
      <c r="AK332" s="2" t="str">
        <f aca="false">IF(AND(AI332&gt;=750,AJ332&lt;=0.35),"Low",IF(AND(AI332&gt;=600,AJ332&lt;=0.5),"Medium","High"))</f>
        <v>High</v>
      </c>
      <c r="AL332" s="3" t="n">
        <v>1</v>
      </c>
      <c r="AM332" s="2" t="s">
        <v>58</v>
      </c>
      <c r="AN332" s="2" t="s">
        <v>59</v>
      </c>
      <c r="AO332" s="2" t="s">
        <v>60</v>
      </c>
      <c r="AP332" s="7" t="n">
        <v>0.188</v>
      </c>
    </row>
    <row r="333" customFormat="false" ht="15" hidden="false" customHeight="false" outlineLevel="0" collapsed="false">
      <c r="A333" s="2" t="s">
        <v>1445</v>
      </c>
      <c r="B333" s="2" t="s">
        <v>1446</v>
      </c>
      <c r="C333" s="2" t="s">
        <v>1447</v>
      </c>
      <c r="D333" s="2" t="s">
        <v>109</v>
      </c>
      <c r="E333" s="3" t="n">
        <v>30</v>
      </c>
      <c r="F333" s="2" t="s">
        <v>64</v>
      </c>
      <c r="G333" s="2" t="s">
        <v>110</v>
      </c>
      <c r="H333" s="2" t="s">
        <v>123</v>
      </c>
      <c r="I333" s="4" t="n">
        <v>8000</v>
      </c>
      <c r="J333" s="2" t="s">
        <v>112</v>
      </c>
      <c r="K333" s="3" t="n">
        <v>2</v>
      </c>
      <c r="L333" s="2" t="s">
        <v>247</v>
      </c>
      <c r="M333" s="2" t="s">
        <v>80</v>
      </c>
      <c r="N333" s="2"/>
      <c r="O333" s="3" t="n">
        <v>3</v>
      </c>
      <c r="P333" s="2" t="s">
        <v>82</v>
      </c>
      <c r="Q333" s="2" t="s">
        <v>83</v>
      </c>
      <c r="R333" s="2" t="s">
        <v>80</v>
      </c>
      <c r="S333" s="2" t="s">
        <v>80</v>
      </c>
      <c r="T333" s="2" t="s">
        <v>1448</v>
      </c>
      <c r="U333" s="2" t="s">
        <v>85</v>
      </c>
      <c r="V333" s="4" t="n">
        <v>50000</v>
      </c>
      <c r="W333" s="5" t="n">
        <v>10.44</v>
      </c>
      <c r="X333" s="3" t="n">
        <v>6</v>
      </c>
      <c r="Y333" s="6" t="n">
        <v>46183</v>
      </c>
      <c r="Z333" s="6" t="n">
        <v>46189</v>
      </c>
      <c r="AA333" s="6" t="n">
        <v>46190</v>
      </c>
      <c r="AB333" s="4" t="n">
        <f aca="false">ROUND(PMT(W333/1200,X333,-V333),2)</f>
        <v>8588.91</v>
      </c>
      <c r="AC333" s="4" t="n">
        <v>0</v>
      </c>
      <c r="AD333" s="3" t="n">
        <v>1</v>
      </c>
      <c r="AE333" s="4" t="n">
        <v>15100</v>
      </c>
      <c r="AF333" s="4" t="n">
        <v>3000</v>
      </c>
      <c r="AG333" s="3" t="n">
        <v>22</v>
      </c>
      <c r="AH333" s="4" t="n">
        <v>5100</v>
      </c>
      <c r="AI333" s="3" t="n">
        <v>651</v>
      </c>
      <c r="AJ333" s="7" t="n">
        <f aca="false">ROUND(AB333/I333,4)</f>
        <v>1.0736</v>
      </c>
      <c r="AK333" s="2" t="str">
        <f aca="false">IF(AND(AI333&gt;=750,AJ333&lt;=0.35),"Low",IF(AND(AI333&gt;=600,AJ333&lt;=0.5),"Medium","High"))</f>
        <v>High</v>
      </c>
      <c r="AL333" s="3" t="n">
        <v>1</v>
      </c>
      <c r="AM333" s="2" t="s">
        <v>58</v>
      </c>
      <c r="AN333" s="2" t="s">
        <v>119</v>
      </c>
      <c r="AO333" s="2" t="s">
        <v>60</v>
      </c>
      <c r="AP333" s="7" t="n">
        <v>0.32</v>
      </c>
    </row>
    <row r="334" customFormat="false" ht="15" hidden="false" customHeight="false" outlineLevel="0" collapsed="false">
      <c r="A334" s="2" t="s">
        <v>1449</v>
      </c>
      <c r="B334" s="2" t="s">
        <v>1071</v>
      </c>
      <c r="C334" s="2" t="s">
        <v>1450</v>
      </c>
      <c r="D334" s="2" t="s">
        <v>45</v>
      </c>
      <c r="E334" s="3" t="n">
        <v>46</v>
      </c>
      <c r="F334" s="2" t="s">
        <v>175</v>
      </c>
      <c r="G334" s="2" t="s">
        <v>76</v>
      </c>
      <c r="H334" s="2" t="s">
        <v>77</v>
      </c>
      <c r="I334" s="4" t="n">
        <v>38000</v>
      </c>
      <c r="J334" s="2" t="s">
        <v>78</v>
      </c>
      <c r="K334" s="3" t="n">
        <v>19</v>
      </c>
      <c r="L334" s="2" t="s">
        <v>327</v>
      </c>
      <c r="M334" s="2" t="s">
        <v>92</v>
      </c>
      <c r="N334" s="2" t="s">
        <v>81</v>
      </c>
      <c r="O334" s="3" t="n">
        <v>1</v>
      </c>
      <c r="P334" s="2" t="s">
        <v>229</v>
      </c>
      <c r="Q334" s="2" t="s">
        <v>230</v>
      </c>
      <c r="R334" s="2" t="s">
        <v>231</v>
      </c>
      <c r="S334" s="2" t="s">
        <v>92</v>
      </c>
      <c r="T334" s="2" t="s">
        <v>1451</v>
      </c>
      <c r="U334" s="2" t="s">
        <v>72</v>
      </c>
      <c r="V334" s="4" t="n">
        <v>608000</v>
      </c>
      <c r="W334" s="5" t="n">
        <v>15.35</v>
      </c>
      <c r="X334" s="3" t="n">
        <v>78</v>
      </c>
      <c r="Y334" s="6" t="n">
        <v>46196</v>
      </c>
      <c r="Z334" s="6"/>
      <c r="AA334" s="6"/>
      <c r="AB334" s="4" t="n">
        <f aca="false">ROUND(PMT(W334/1200,X334,-V334),2)</f>
        <v>12365.55</v>
      </c>
      <c r="AC334" s="4" t="n">
        <v>876000</v>
      </c>
      <c r="AD334" s="3" t="n">
        <v>1</v>
      </c>
      <c r="AE334" s="4" t="n">
        <v>93800</v>
      </c>
      <c r="AF334" s="4" t="n">
        <v>35300</v>
      </c>
      <c r="AG334" s="3" t="n">
        <v>29</v>
      </c>
      <c r="AH334" s="4" t="n">
        <v>14900</v>
      </c>
      <c r="AI334" s="3" t="n">
        <v>604</v>
      </c>
      <c r="AJ334" s="7" t="n">
        <f aca="false">ROUND(AB334/I334,4)</f>
        <v>0.3254</v>
      </c>
      <c r="AK334" s="2" t="str">
        <f aca="false">IF(AND(AI334&gt;=750,AJ334&lt;=0.35),"Low",IF(AND(AI334&gt;=600,AJ334&lt;=0.5),"Medium","High"))</f>
        <v>Medium</v>
      </c>
      <c r="AL334" s="3" t="n">
        <v>3</v>
      </c>
      <c r="AM334" s="2" t="s">
        <v>58</v>
      </c>
      <c r="AN334" s="2"/>
      <c r="AO334" s="2" t="s">
        <v>127</v>
      </c>
      <c r="AP334" s="7" t="n">
        <v>0.416</v>
      </c>
    </row>
    <row r="335" customFormat="false" ht="15" hidden="false" customHeight="false" outlineLevel="0" collapsed="false">
      <c r="A335" s="2" t="s">
        <v>1452</v>
      </c>
      <c r="B335" s="2" t="s">
        <v>1453</v>
      </c>
      <c r="C335" s="2" t="s">
        <v>1454</v>
      </c>
      <c r="D335" s="2" t="s">
        <v>45</v>
      </c>
      <c r="E335" s="3" t="n">
        <v>38</v>
      </c>
      <c r="F335" s="2" t="s">
        <v>64</v>
      </c>
      <c r="G335" s="2" t="s">
        <v>154</v>
      </c>
      <c r="H335" s="2" t="s">
        <v>77</v>
      </c>
      <c r="I335" s="4" t="n">
        <v>23000</v>
      </c>
      <c r="J335" s="2" t="s">
        <v>145</v>
      </c>
      <c r="K335" s="3" t="n">
        <v>11</v>
      </c>
      <c r="L335" s="2" t="s">
        <v>211</v>
      </c>
      <c r="M335" s="2" t="s">
        <v>147</v>
      </c>
      <c r="N335" s="2" t="s">
        <v>52</v>
      </c>
      <c r="O335" s="3" t="n">
        <v>1</v>
      </c>
      <c r="P335" s="2" t="s">
        <v>209</v>
      </c>
      <c r="Q335" s="2" t="s">
        <v>210</v>
      </c>
      <c r="R335" s="2" t="s">
        <v>211</v>
      </c>
      <c r="S335" s="2" t="s">
        <v>147</v>
      </c>
      <c r="T335" s="2" t="s">
        <v>1455</v>
      </c>
      <c r="U335" s="2" t="s">
        <v>180</v>
      </c>
      <c r="V335" s="4" t="n">
        <v>601000</v>
      </c>
      <c r="W335" s="5" t="n">
        <v>11.48</v>
      </c>
      <c r="X335" s="3" t="n">
        <v>60</v>
      </c>
      <c r="Y335" s="6" t="n">
        <v>46202</v>
      </c>
      <c r="Z335" s="6"/>
      <c r="AA335" s="6"/>
      <c r="AB335" s="4" t="n">
        <f aca="false">ROUND(PMT(W335/1200,X335,-V335),2)</f>
        <v>13211.52</v>
      </c>
      <c r="AC335" s="4" t="n">
        <v>901000</v>
      </c>
      <c r="AD335" s="3" t="n">
        <v>1</v>
      </c>
      <c r="AE335" s="4" t="n">
        <v>84500</v>
      </c>
      <c r="AF335" s="4" t="n">
        <v>16500</v>
      </c>
      <c r="AG335" s="3" t="n">
        <v>18</v>
      </c>
      <c r="AH335" s="4" t="n">
        <v>18200</v>
      </c>
      <c r="AI335" s="3" t="n">
        <v>790</v>
      </c>
      <c r="AJ335" s="7" t="n">
        <f aca="false">ROUND(AB335/I335,4)</f>
        <v>0.5744</v>
      </c>
      <c r="AK335" s="2" t="str">
        <f aca="false">IF(AND(AI335&gt;=750,AJ335&lt;=0.35),"Low",IF(AND(AI335&gt;=600,AJ335&lt;=0.5),"Medium","High"))</f>
        <v>High</v>
      </c>
      <c r="AL335" s="3" t="n">
        <v>2</v>
      </c>
      <c r="AM335" s="2" t="s">
        <v>58</v>
      </c>
      <c r="AN335" s="2"/>
      <c r="AO335" s="2" t="s">
        <v>134</v>
      </c>
      <c r="AP335" s="7" t="n">
        <v>0.097</v>
      </c>
    </row>
    <row r="336" customFormat="false" ht="15" hidden="false" customHeight="false" outlineLevel="0" collapsed="false">
      <c r="A336" s="2" t="s">
        <v>1456</v>
      </c>
      <c r="B336" s="2" t="s">
        <v>1457</v>
      </c>
      <c r="C336" s="2" t="s">
        <v>1458</v>
      </c>
      <c r="D336" s="2" t="s">
        <v>45</v>
      </c>
      <c r="E336" s="3" t="n">
        <v>32</v>
      </c>
      <c r="F336" s="2" t="s">
        <v>46</v>
      </c>
      <c r="G336" s="2" t="s">
        <v>65</v>
      </c>
      <c r="H336" s="2" t="s">
        <v>101</v>
      </c>
      <c r="I336" s="4" t="n">
        <v>47500</v>
      </c>
      <c r="J336" s="2" t="s">
        <v>49</v>
      </c>
      <c r="K336" s="3" t="n">
        <v>11</v>
      </c>
      <c r="L336" s="2" t="s">
        <v>92</v>
      </c>
      <c r="M336" s="2" t="s">
        <v>92</v>
      </c>
      <c r="N336" s="2" t="s">
        <v>52</v>
      </c>
      <c r="O336" s="3" t="n">
        <v>0</v>
      </c>
      <c r="P336" s="2" t="s">
        <v>169</v>
      </c>
      <c r="Q336" s="2" t="s">
        <v>170</v>
      </c>
      <c r="R336" s="2" t="s">
        <v>92</v>
      </c>
      <c r="S336" s="2" t="s">
        <v>92</v>
      </c>
      <c r="T336" s="2" t="s">
        <v>1459</v>
      </c>
      <c r="U336" s="2" t="s">
        <v>97</v>
      </c>
      <c r="V336" s="4" t="n">
        <v>178000</v>
      </c>
      <c r="W336" s="5" t="n">
        <v>15.41</v>
      </c>
      <c r="X336" s="3" t="n">
        <v>12</v>
      </c>
      <c r="Y336" s="6" t="n">
        <v>46199</v>
      </c>
      <c r="Z336" s="6" t="n">
        <v>46200</v>
      </c>
      <c r="AA336" s="6" t="n">
        <v>46204</v>
      </c>
      <c r="AB336" s="4" t="n">
        <f aca="false">ROUND(PMT(W336/1200,X336,-V336),2)</f>
        <v>16100.44</v>
      </c>
      <c r="AC336" s="4" t="n">
        <v>0</v>
      </c>
      <c r="AD336" s="3" t="n">
        <v>0</v>
      </c>
      <c r="AE336" s="4" t="n">
        <v>179000</v>
      </c>
      <c r="AF336" s="4" t="n">
        <v>86500</v>
      </c>
      <c r="AG336" s="3"/>
      <c r="AH336" s="4" t="n">
        <v>39300</v>
      </c>
      <c r="AI336" s="3" t="n">
        <v>757</v>
      </c>
      <c r="AJ336" s="7" t="n">
        <f aca="false">ROUND(AB336/I336,4)</f>
        <v>0.339</v>
      </c>
      <c r="AK336" s="2" t="str">
        <f aca="false">IF(AND(AI336&gt;=750,AJ336&lt;=0.35),"Low",IF(AND(AI336&gt;=600,AJ336&lt;=0.5),"Medium","High"))</f>
        <v>Low</v>
      </c>
      <c r="AL336" s="3" t="n">
        <v>0</v>
      </c>
      <c r="AM336" s="2" t="s">
        <v>58</v>
      </c>
      <c r="AN336" s="2" t="s">
        <v>59</v>
      </c>
      <c r="AO336" s="2" t="s">
        <v>60</v>
      </c>
      <c r="AP336" s="7" t="n">
        <v>0.14</v>
      </c>
    </row>
    <row r="337" customFormat="false" ht="15" hidden="false" customHeight="false" outlineLevel="0" collapsed="false">
      <c r="A337" s="2" t="s">
        <v>1460</v>
      </c>
      <c r="B337" s="2" t="s">
        <v>1461</v>
      </c>
      <c r="C337" s="2" t="s">
        <v>1462</v>
      </c>
      <c r="D337" s="2" t="s">
        <v>45</v>
      </c>
      <c r="E337" s="3" t="n">
        <v>43</v>
      </c>
      <c r="F337" s="2" t="s">
        <v>64</v>
      </c>
      <c r="G337" s="2" t="s">
        <v>76</v>
      </c>
      <c r="H337" s="2" t="s">
        <v>101</v>
      </c>
      <c r="I337" s="4" t="n">
        <v>92500</v>
      </c>
      <c r="J337" s="2" t="s">
        <v>78</v>
      </c>
      <c r="K337" s="3" t="n">
        <v>25</v>
      </c>
      <c r="L337" s="2" t="s">
        <v>302</v>
      </c>
      <c r="M337" s="2" t="s">
        <v>67</v>
      </c>
      <c r="N337" s="2" t="s">
        <v>81</v>
      </c>
      <c r="O337" s="3" t="n">
        <v>4</v>
      </c>
      <c r="P337" s="2" t="s">
        <v>68</v>
      </c>
      <c r="Q337" s="2" t="s">
        <v>69</v>
      </c>
      <c r="R337" s="2" t="s">
        <v>70</v>
      </c>
      <c r="S337" s="2" t="s">
        <v>67</v>
      </c>
      <c r="T337" s="2" t="s">
        <v>1463</v>
      </c>
      <c r="U337" s="2" t="s">
        <v>85</v>
      </c>
      <c r="V337" s="4" t="n">
        <v>800000</v>
      </c>
      <c r="W337" s="5" t="n">
        <v>8.06</v>
      </c>
      <c r="X337" s="3" t="n">
        <v>18</v>
      </c>
      <c r="Y337" s="6" t="n">
        <v>46202</v>
      </c>
      <c r="Z337" s="6" t="n">
        <v>46208</v>
      </c>
      <c r="AA337" s="6" t="n">
        <v>46209</v>
      </c>
      <c r="AB337" s="4" t="n">
        <f aca="false">ROUND(PMT(W337/1200,X337,-V337),2)</f>
        <v>47334.15</v>
      </c>
      <c r="AC337" s="4" t="n">
        <v>0</v>
      </c>
      <c r="AD337" s="3" t="n">
        <v>1</v>
      </c>
      <c r="AE337" s="4" t="n">
        <v>183600</v>
      </c>
      <c r="AF337" s="4" t="n">
        <v>84000</v>
      </c>
      <c r="AG337" s="3" t="n">
        <v>35</v>
      </c>
      <c r="AH337" s="4" t="n">
        <v>72400</v>
      </c>
      <c r="AI337" s="3" t="n">
        <v>711</v>
      </c>
      <c r="AJ337" s="7" t="n">
        <f aca="false">ROUND(AB337/I337,4)</f>
        <v>0.5117</v>
      </c>
      <c r="AK337" s="2" t="str">
        <f aca="false">IF(AND(AI337&gt;=750,AJ337&lt;=0.35),"Low",IF(AND(AI337&gt;=600,AJ337&lt;=0.5),"Medium","High"))</f>
        <v>High</v>
      </c>
      <c r="AL337" s="3" t="n">
        <v>1</v>
      </c>
      <c r="AM337" s="2" t="s">
        <v>58</v>
      </c>
      <c r="AN337" s="2" t="s">
        <v>59</v>
      </c>
      <c r="AO337" s="2" t="s">
        <v>60</v>
      </c>
      <c r="AP337" s="7" t="n">
        <v>0.222</v>
      </c>
    </row>
    <row r="338" customFormat="false" ht="15" hidden="false" customHeight="false" outlineLevel="0" collapsed="false">
      <c r="A338" s="2" t="s">
        <v>1464</v>
      </c>
      <c r="B338" s="2" t="s">
        <v>1465</v>
      </c>
      <c r="C338" s="2" t="s">
        <v>817</v>
      </c>
      <c r="D338" s="2" t="s">
        <v>109</v>
      </c>
      <c r="E338" s="3" t="n">
        <v>29</v>
      </c>
      <c r="F338" s="2" t="s">
        <v>64</v>
      </c>
      <c r="G338" s="2" t="s">
        <v>110</v>
      </c>
      <c r="H338" s="2" t="s">
        <v>111</v>
      </c>
      <c r="I338" s="4" t="n">
        <v>8000</v>
      </c>
      <c r="J338" s="2" t="s">
        <v>112</v>
      </c>
      <c r="K338" s="3" t="n">
        <v>2</v>
      </c>
      <c r="L338" s="2" t="s">
        <v>1378</v>
      </c>
      <c r="M338" s="2" t="s">
        <v>139</v>
      </c>
      <c r="N338" s="2" t="s">
        <v>140</v>
      </c>
      <c r="O338" s="3" t="n">
        <v>2</v>
      </c>
      <c r="P338" s="2" t="s">
        <v>197</v>
      </c>
      <c r="Q338" s="2" t="s">
        <v>198</v>
      </c>
      <c r="R338" s="2" t="s">
        <v>139</v>
      </c>
      <c r="S338" s="2" t="s">
        <v>139</v>
      </c>
      <c r="T338" s="2" t="s">
        <v>1466</v>
      </c>
      <c r="U338" s="2" t="s">
        <v>85</v>
      </c>
      <c r="V338" s="4" t="n">
        <v>50000</v>
      </c>
      <c r="W338" s="5" t="n">
        <v>7.71</v>
      </c>
      <c r="X338" s="3" t="n">
        <v>6</v>
      </c>
      <c r="Y338" s="6" t="n">
        <v>46198</v>
      </c>
      <c r="Z338" s="6" t="n">
        <v>46200</v>
      </c>
      <c r="AA338" s="6" t="n">
        <v>46202</v>
      </c>
      <c r="AB338" s="4" t="n">
        <f aca="false">ROUND(PMT(W338/1200,X338,-V338),2)</f>
        <v>8521.73</v>
      </c>
      <c r="AC338" s="4"/>
      <c r="AD338" s="3" t="n">
        <v>0</v>
      </c>
      <c r="AE338" s="4" t="n">
        <v>29600</v>
      </c>
      <c r="AF338" s="4" t="n">
        <v>15600</v>
      </c>
      <c r="AG338" s="3" t="n">
        <v>37</v>
      </c>
      <c r="AH338" s="4" t="n">
        <v>6800</v>
      </c>
      <c r="AI338" s="3" t="n">
        <v>628</v>
      </c>
      <c r="AJ338" s="7" t="n">
        <f aca="false">ROUND(AB338/I338,4)</f>
        <v>1.0652</v>
      </c>
      <c r="AK338" s="2" t="str">
        <f aca="false">IF(AND(AI338&gt;=750,AJ338&lt;=0.35),"Low",IF(AND(AI338&gt;=600,AJ338&lt;=0.5),"Medium","High"))</f>
        <v>High</v>
      </c>
      <c r="AL338" s="3"/>
      <c r="AM338" s="2" t="s">
        <v>233</v>
      </c>
      <c r="AN338" s="2" t="s">
        <v>258</v>
      </c>
      <c r="AO338" s="2" t="s">
        <v>86</v>
      </c>
      <c r="AP338" s="7" t="n">
        <v>0.427</v>
      </c>
    </row>
    <row r="339" customFormat="false" ht="15" hidden="false" customHeight="false" outlineLevel="0" collapsed="false">
      <c r="A339" s="2" t="s">
        <v>1467</v>
      </c>
      <c r="B339" s="2" t="s">
        <v>496</v>
      </c>
      <c r="C339" s="2" t="s">
        <v>1468</v>
      </c>
      <c r="D339" s="2" t="s">
        <v>109</v>
      </c>
      <c r="E339" s="3" t="n">
        <v>42</v>
      </c>
      <c r="F339" s="2" t="s">
        <v>434</v>
      </c>
      <c r="G339" s="2" t="s">
        <v>166</v>
      </c>
      <c r="H339" s="2" t="s">
        <v>101</v>
      </c>
      <c r="I339" s="4" t="n">
        <v>200500</v>
      </c>
      <c r="J339" s="2" t="s">
        <v>145</v>
      </c>
      <c r="K339" s="3" t="n">
        <v>21</v>
      </c>
      <c r="L339" s="2" t="s">
        <v>159</v>
      </c>
      <c r="M339" s="2" t="s">
        <v>159</v>
      </c>
      <c r="N339" s="2" t="s">
        <v>52</v>
      </c>
      <c r="O339" s="3" t="n">
        <v>0</v>
      </c>
      <c r="P339" s="2" t="s">
        <v>160</v>
      </c>
      <c r="Q339" s="2" t="s">
        <v>161</v>
      </c>
      <c r="R339" s="2" t="s">
        <v>159</v>
      </c>
      <c r="S339" s="2" t="s">
        <v>159</v>
      </c>
      <c r="T339" s="2" t="s">
        <v>1469</v>
      </c>
      <c r="U339" s="2" t="s">
        <v>97</v>
      </c>
      <c r="V339" s="4" t="n">
        <v>1500000</v>
      </c>
      <c r="W339" s="5" t="n">
        <v>12.39</v>
      </c>
      <c r="X339" s="3" t="n">
        <v>24</v>
      </c>
      <c r="Y339" s="6" t="n">
        <v>46198</v>
      </c>
      <c r="Z339" s="6" t="n">
        <v>46203</v>
      </c>
      <c r="AA339" s="6" t="n">
        <v>46208</v>
      </c>
      <c r="AB339" s="4" t="n">
        <f aca="false">ROUND(PMT(W339/1200,X339,-V339),2)</f>
        <v>70883.71</v>
      </c>
      <c r="AC339" s="4"/>
      <c r="AD339" s="3" t="n">
        <v>0</v>
      </c>
      <c r="AE339" s="4" t="n">
        <v>147000</v>
      </c>
      <c r="AF339" s="4" t="n">
        <v>88100</v>
      </c>
      <c r="AG339" s="3" t="n">
        <v>35</v>
      </c>
      <c r="AH339" s="4"/>
      <c r="AI339" s="3" t="n">
        <v>797</v>
      </c>
      <c r="AJ339" s="7" t="n">
        <f aca="false">ROUND(AB339/I339,4)</f>
        <v>0.3535</v>
      </c>
      <c r="AK339" s="2" t="str">
        <f aca="false">IF(AND(AI339&gt;=750,AJ339&lt;=0.35),"Low",IF(AND(AI339&gt;=600,AJ339&lt;=0.5),"Medium","High"))</f>
        <v>Medium</v>
      </c>
      <c r="AL339" s="3" t="n">
        <v>1</v>
      </c>
      <c r="AM339" s="2" t="s">
        <v>58</v>
      </c>
      <c r="AN339" s="2" t="s">
        <v>119</v>
      </c>
      <c r="AO339" s="2" t="s">
        <v>60</v>
      </c>
      <c r="AP339" s="7" t="n">
        <v>0.126</v>
      </c>
    </row>
    <row r="340" customFormat="false" ht="15" hidden="false" customHeight="false" outlineLevel="0" collapsed="false">
      <c r="A340" s="2" t="s">
        <v>1470</v>
      </c>
      <c r="B340" s="2" t="s">
        <v>1471</v>
      </c>
      <c r="C340" s="2" t="s">
        <v>1472</v>
      </c>
      <c r="D340" s="2" t="s">
        <v>109</v>
      </c>
      <c r="E340" s="3" t="n">
        <v>33</v>
      </c>
      <c r="F340" s="2" t="s">
        <v>46</v>
      </c>
      <c r="G340" s="2" t="s">
        <v>145</v>
      </c>
      <c r="H340" s="2" t="s">
        <v>48</v>
      </c>
      <c r="I340" s="4" t="n">
        <v>65000</v>
      </c>
      <c r="J340" s="2" t="s">
        <v>145</v>
      </c>
      <c r="K340" s="3" t="n">
        <v>12</v>
      </c>
      <c r="L340" s="2" t="s">
        <v>113</v>
      </c>
      <c r="M340" s="2" t="s">
        <v>114</v>
      </c>
      <c r="N340" s="2" t="s">
        <v>81</v>
      </c>
      <c r="O340" s="3" t="n">
        <v>1</v>
      </c>
      <c r="P340" s="2" t="s">
        <v>115</v>
      </c>
      <c r="Q340" s="2" t="s">
        <v>116</v>
      </c>
      <c r="R340" s="2" t="s">
        <v>114</v>
      </c>
      <c r="S340" s="2" t="s">
        <v>114</v>
      </c>
      <c r="T340" s="2" t="s">
        <v>1473</v>
      </c>
      <c r="U340" s="2" t="s">
        <v>85</v>
      </c>
      <c r="V340" s="4" t="n">
        <v>544000</v>
      </c>
      <c r="W340" s="5" t="n">
        <v>8.05</v>
      </c>
      <c r="X340" s="3" t="n">
        <v>30</v>
      </c>
      <c r="Y340" s="6" t="n">
        <v>46185</v>
      </c>
      <c r="Z340" s="6" t="n">
        <v>46193</v>
      </c>
      <c r="AA340" s="6" t="n">
        <v>46199</v>
      </c>
      <c r="AB340" s="4" t="n">
        <f aca="false">ROUND(PMT(W340/1200,X340,-V340),2)</f>
        <v>20079.71</v>
      </c>
      <c r="AC340" s="4" t="n">
        <v>0</v>
      </c>
      <c r="AD340" s="3" t="n">
        <v>2</v>
      </c>
      <c r="AE340" s="4" t="n">
        <v>159700</v>
      </c>
      <c r="AF340" s="4" t="n">
        <v>56100</v>
      </c>
      <c r="AG340" s="3" t="n">
        <v>27</v>
      </c>
      <c r="AH340" s="4" t="n">
        <v>27000</v>
      </c>
      <c r="AI340" s="3" t="n">
        <v>708</v>
      </c>
      <c r="AJ340" s="7" t="n">
        <f aca="false">ROUND(AB340/I340,4)</f>
        <v>0.3089</v>
      </c>
      <c r="AK340" s="2" t="str">
        <f aca="false">IF(AND(AI340&gt;=750,AJ340&lt;=0.35),"Low",IF(AND(AI340&gt;=600,AJ340&lt;=0.5),"Medium","High"))</f>
        <v>Medium</v>
      </c>
      <c r="AL340" s="3" t="n">
        <v>3</v>
      </c>
      <c r="AM340" s="2" t="s">
        <v>58</v>
      </c>
      <c r="AN340" s="2" t="s">
        <v>59</v>
      </c>
      <c r="AO340" s="2" t="s">
        <v>60</v>
      </c>
      <c r="AP340" s="7" t="n">
        <v>0.224</v>
      </c>
    </row>
    <row r="341" customFormat="false" ht="15" hidden="false" customHeight="false" outlineLevel="0" collapsed="false">
      <c r="A341" s="2" t="s">
        <v>1474</v>
      </c>
      <c r="B341" s="2" t="s">
        <v>1475</v>
      </c>
      <c r="C341" s="2" t="s">
        <v>1476</v>
      </c>
      <c r="D341" s="2" t="s">
        <v>109</v>
      </c>
      <c r="E341" s="3" t="n">
        <v>21</v>
      </c>
      <c r="F341" s="2" t="s">
        <v>46</v>
      </c>
      <c r="G341" s="2" t="s">
        <v>110</v>
      </c>
      <c r="H341" s="2" t="s">
        <v>77</v>
      </c>
      <c r="I341" s="4" t="n">
        <v>11000</v>
      </c>
      <c r="J341" s="2" t="s">
        <v>112</v>
      </c>
      <c r="K341" s="3" t="n">
        <v>0</v>
      </c>
      <c r="L341" s="2" t="s">
        <v>55</v>
      </c>
      <c r="M341" s="2" t="s">
        <v>51</v>
      </c>
      <c r="N341" s="2" t="s">
        <v>52</v>
      </c>
      <c r="O341" s="3" t="n">
        <v>0</v>
      </c>
      <c r="P341" s="2" t="s">
        <v>131</v>
      </c>
      <c r="Q341" s="2" t="s">
        <v>132</v>
      </c>
      <c r="R341" s="2" t="s">
        <v>51</v>
      </c>
      <c r="S341" s="2" t="s">
        <v>51</v>
      </c>
      <c r="T341" s="2" t="s">
        <v>1477</v>
      </c>
      <c r="U341" s="2" t="s">
        <v>72</v>
      </c>
      <c r="V341" s="4" t="n">
        <v>300000</v>
      </c>
      <c r="W341" s="5" t="n">
        <v>15.12</v>
      </c>
      <c r="X341" s="3" t="n">
        <v>78</v>
      </c>
      <c r="Y341" s="6" t="n">
        <v>46181</v>
      </c>
      <c r="Z341" s="6"/>
      <c r="AA341" s="6"/>
      <c r="AB341" s="4" t="n">
        <f aca="false">ROUND(PMT(W341/1200,X341,-V341),2)</f>
        <v>6063.2</v>
      </c>
      <c r="AC341" s="4" t="n">
        <v>336000</v>
      </c>
      <c r="AD341" s="3" t="n">
        <v>1</v>
      </c>
      <c r="AE341" s="4" t="n">
        <v>27700</v>
      </c>
      <c r="AF341" s="4" t="n">
        <v>4900</v>
      </c>
      <c r="AG341" s="3" t="n">
        <v>20</v>
      </c>
      <c r="AH341" s="4" t="n">
        <v>6400</v>
      </c>
      <c r="AI341" s="3" t="n">
        <v>760</v>
      </c>
      <c r="AJ341" s="7" t="n">
        <f aca="false">ROUND(AB341/I341,4)</f>
        <v>0.5512</v>
      </c>
      <c r="AK341" s="2" t="str">
        <f aca="false">IF(AND(AI341&gt;=750,AJ341&lt;=0.35),"Low",IF(AND(AI341&gt;=600,AJ341&lt;=0.5),"Medium","High"))</f>
        <v>High</v>
      </c>
      <c r="AL341" s="3" t="n">
        <v>1</v>
      </c>
      <c r="AM341" s="2" t="s">
        <v>58</v>
      </c>
      <c r="AN341" s="2"/>
      <c r="AO341" s="2" t="s">
        <v>127</v>
      </c>
      <c r="AP341" s="7" t="n">
        <v>0.143</v>
      </c>
    </row>
    <row r="342" customFormat="false" ht="15" hidden="false" customHeight="false" outlineLevel="0" collapsed="false">
      <c r="A342" s="2" t="s">
        <v>1478</v>
      </c>
      <c r="B342" s="2" t="s">
        <v>1479</v>
      </c>
      <c r="C342" s="2" t="s">
        <v>1480</v>
      </c>
      <c r="D342" s="2" t="s">
        <v>45</v>
      </c>
      <c r="E342" s="3" t="n">
        <v>44</v>
      </c>
      <c r="F342" s="2" t="s">
        <v>46</v>
      </c>
      <c r="G342" s="2" t="s">
        <v>90</v>
      </c>
      <c r="H342" s="2" t="s">
        <v>101</v>
      </c>
      <c r="I342" s="4" t="n">
        <v>65500</v>
      </c>
      <c r="J342" s="2" t="s">
        <v>90</v>
      </c>
      <c r="K342" s="3" t="n">
        <v>16</v>
      </c>
      <c r="L342" s="2" t="s">
        <v>569</v>
      </c>
      <c r="M342" s="2" t="s">
        <v>67</v>
      </c>
      <c r="N342" s="2" t="s">
        <v>52</v>
      </c>
      <c r="O342" s="3" t="n">
        <v>0</v>
      </c>
      <c r="P342" s="2" t="s">
        <v>68</v>
      </c>
      <c r="Q342" s="2" t="s">
        <v>69</v>
      </c>
      <c r="R342" s="2" t="s">
        <v>70</v>
      </c>
      <c r="S342" s="2" t="s">
        <v>67</v>
      </c>
      <c r="T342" s="2" t="s">
        <v>1481</v>
      </c>
      <c r="U342" s="2" t="s">
        <v>192</v>
      </c>
      <c r="V342" s="4" t="n">
        <v>345000</v>
      </c>
      <c r="W342" s="5" t="n">
        <v>13.89</v>
      </c>
      <c r="X342" s="3" t="n">
        <v>18</v>
      </c>
      <c r="Y342" s="6" t="n">
        <v>46189</v>
      </c>
      <c r="Z342" s="6" t="n">
        <v>46192</v>
      </c>
      <c r="AA342" s="6" t="n">
        <v>46193</v>
      </c>
      <c r="AB342" s="4" t="n">
        <f aca="false">ROUND(PMT(W342/1200,X342,-V342),2)</f>
        <v>21342.96</v>
      </c>
      <c r="AC342" s="4" t="n">
        <v>467000</v>
      </c>
      <c r="AD342" s="3" t="n">
        <v>0</v>
      </c>
      <c r="AE342" s="4" t="n">
        <v>117700</v>
      </c>
      <c r="AF342" s="4" t="n">
        <v>45300</v>
      </c>
      <c r="AG342" s="3" t="n">
        <v>33</v>
      </c>
      <c r="AH342" s="4" t="n">
        <v>65900</v>
      </c>
      <c r="AI342" s="3" t="n">
        <v>756</v>
      </c>
      <c r="AJ342" s="7" t="n">
        <f aca="false">ROUND(AB342/I342,4)</f>
        <v>0.3258</v>
      </c>
      <c r="AK342" s="2" t="str">
        <f aca="false">IF(AND(AI342&gt;=750,AJ342&lt;=0.35),"Low",IF(AND(AI342&gt;=600,AJ342&lt;=0.5),"Medium","High"))</f>
        <v>Low</v>
      </c>
      <c r="AL342" s="3" t="n">
        <v>0</v>
      </c>
      <c r="AM342" s="2" t="s">
        <v>58</v>
      </c>
      <c r="AN342" s="2" t="s">
        <v>59</v>
      </c>
      <c r="AO342" s="2" t="s">
        <v>60</v>
      </c>
      <c r="AP342" s="7" t="n">
        <v>0.164</v>
      </c>
    </row>
    <row r="343" customFormat="false" ht="15" hidden="false" customHeight="false" outlineLevel="0" collapsed="false">
      <c r="A343" s="2" t="s">
        <v>1482</v>
      </c>
      <c r="B343" s="2" t="s">
        <v>1483</v>
      </c>
      <c r="C343" s="2" t="s">
        <v>462</v>
      </c>
      <c r="D343" s="2" t="s">
        <v>45</v>
      </c>
      <c r="E343" s="3" t="n">
        <v>40</v>
      </c>
      <c r="F343" s="2" t="s">
        <v>46</v>
      </c>
      <c r="G343" s="2" t="s">
        <v>47</v>
      </c>
      <c r="H343" s="2" t="s">
        <v>101</v>
      </c>
      <c r="I343" s="4" t="n">
        <v>98500</v>
      </c>
      <c r="J343" s="2" t="s">
        <v>49</v>
      </c>
      <c r="K343" s="3" t="n">
        <v>14</v>
      </c>
      <c r="L343" s="2" t="s">
        <v>476</v>
      </c>
      <c r="M343" s="2" t="s">
        <v>67</v>
      </c>
      <c r="N343" s="2" t="s">
        <v>52</v>
      </c>
      <c r="O343" s="3" t="n">
        <v>0</v>
      </c>
      <c r="P343" s="2" t="s">
        <v>103</v>
      </c>
      <c r="Q343" s="2" t="s">
        <v>104</v>
      </c>
      <c r="R343" s="2" t="s">
        <v>67</v>
      </c>
      <c r="S343" s="2" t="s">
        <v>67</v>
      </c>
      <c r="T343" s="2" t="s">
        <v>1484</v>
      </c>
      <c r="U343" s="2" t="s">
        <v>118</v>
      </c>
      <c r="V343" s="4" t="n">
        <v>1500000</v>
      </c>
      <c r="W343" s="5" t="n">
        <v>10.05</v>
      </c>
      <c r="X343" s="3" t="n">
        <v>66</v>
      </c>
      <c r="Y343" s="6" t="n">
        <v>46191</v>
      </c>
      <c r="Z343" s="6" t="n">
        <v>46200</v>
      </c>
      <c r="AA343" s="6" t="n">
        <v>46205</v>
      </c>
      <c r="AB343" s="4" t="n">
        <f aca="false">ROUND(PMT(W343/1200,X343,-V343),2)</f>
        <v>29676.92</v>
      </c>
      <c r="AC343" s="4" t="n">
        <v>0</v>
      </c>
      <c r="AD343" s="3" t="n">
        <v>0</v>
      </c>
      <c r="AE343" s="4" t="n">
        <v>136100</v>
      </c>
      <c r="AF343" s="4" t="n">
        <v>76300</v>
      </c>
      <c r="AG343" s="3" t="n">
        <v>23</v>
      </c>
      <c r="AH343" s="4" t="n">
        <v>75400</v>
      </c>
      <c r="AI343" s="3" t="n">
        <v>705</v>
      </c>
      <c r="AJ343" s="7" t="n">
        <f aca="false">ROUND(AB343/I343,4)</f>
        <v>0.3013</v>
      </c>
      <c r="AK343" s="2" t="str">
        <f aca="false">IF(AND(AI343&gt;=750,AJ343&lt;=0.35),"Low",IF(AND(AI343&gt;=600,AJ343&lt;=0.5),"Medium","High"))</f>
        <v>Medium</v>
      </c>
      <c r="AL343" s="3" t="n">
        <v>1</v>
      </c>
      <c r="AM343" s="2" t="s">
        <v>58</v>
      </c>
      <c r="AN343" s="2" t="s">
        <v>59</v>
      </c>
      <c r="AO343" s="2" t="s">
        <v>60</v>
      </c>
      <c r="AP343" s="7" t="n">
        <v>0.21</v>
      </c>
    </row>
    <row r="344" customFormat="false" ht="15" hidden="false" customHeight="false" outlineLevel="0" collapsed="false">
      <c r="A344" s="2" t="s">
        <v>1485</v>
      </c>
      <c r="B344" s="2" t="s">
        <v>1486</v>
      </c>
      <c r="C344" s="2" t="s">
        <v>1487</v>
      </c>
      <c r="D344" s="2" t="s">
        <v>45</v>
      </c>
      <c r="E344" s="3" t="n">
        <v>64</v>
      </c>
      <c r="F344" s="2" t="s">
        <v>64</v>
      </c>
      <c r="G344" s="2" t="s">
        <v>246</v>
      </c>
      <c r="H344" s="2" t="s">
        <v>123</v>
      </c>
      <c r="I344" s="4" t="n">
        <v>25000</v>
      </c>
      <c r="J344" s="2" t="s">
        <v>145</v>
      </c>
      <c r="K344" s="3" t="n">
        <v>41</v>
      </c>
      <c r="L344" s="2" t="s">
        <v>252</v>
      </c>
      <c r="M344" s="2" t="s">
        <v>114</v>
      </c>
      <c r="N344" s="2" t="s">
        <v>140</v>
      </c>
      <c r="O344" s="3" t="n">
        <v>2</v>
      </c>
      <c r="P344" s="2" t="s">
        <v>115</v>
      </c>
      <c r="Q344" s="2" t="s">
        <v>116</v>
      </c>
      <c r="R344" s="2" t="s">
        <v>114</v>
      </c>
      <c r="S344" s="2" t="s">
        <v>114</v>
      </c>
      <c r="T344" s="2" t="s">
        <v>1488</v>
      </c>
      <c r="U344" s="2" t="s">
        <v>85</v>
      </c>
      <c r="V344" s="4" t="n">
        <v>137000</v>
      </c>
      <c r="W344" s="5" t="n">
        <v>10</v>
      </c>
      <c r="X344" s="3" t="n">
        <v>30</v>
      </c>
      <c r="Y344" s="6" t="n">
        <v>46198</v>
      </c>
      <c r="Z344" s="6" t="n">
        <v>46206</v>
      </c>
      <c r="AA344" s="6" t="n">
        <v>46212</v>
      </c>
      <c r="AB344" s="4" t="n">
        <f aca="false">ROUND(PMT(W344/1200,X344,-V344),2)</f>
        <v>5180.16</v>
      </c>
      <c r="AC344" s="4" t="n">
        <v>0</v>
      </c>
      <c r="AD344" s="3" t="n">
        <v>0</v>
      </c>
      <c r="AE344" s="4" t="n">
        <v>30000</v>
      </c>
      <c r="AF344" s="4" t="n">
        <v>8600</v>
      </c>
      <c r="AG344" s="3" t="n">
        <v>20</v>
      </c>
      <c r="AH344" s="4" t="n">
        <v>17500</v>
      </c>
      <c r="AI344" s="3" t="n">
        <v>743</v>
      </c>
      <c r="AJ344" s="7" t="n">
        <f aca="false">ROUND(AB344/I344,4)</f>
        <v>0.2072</v>
      </c>
      <c r="AK344" s="2" t="str">
        <f aca="false">IF(AND(AI344&gt;=750,AJ344&lt;=0.35),"Low",IF(AND(AI344&gt;=600,AJ344&lt;=0.5),"Medium","High"))</f>
        <v>Medium</v>
      </c>
      <c r="AL344" s="3" t="n">
        <v>1</v>
      </c>
      <c r="AM344" s="2" t="s">
        <v>58</v>
      </c>
      <c r="AN344" s="2" t="s">
        <v>59</v>
      </c>
      <c r="AO344" s="2" t="s">
        <v>60</v>
      </c>
      <c r="AP344" s="7" t="n">
        <v>0.21</v>
      </c>
    </row>
    <row r="345" customFormat="false" ht="15" hidden="false" customHeight="false" outlineLevel="0" collapsed="false">
      <c r="A345" s="2" t="s">
        <v>1489</v>
      </c>
      <c r="B345" s="2" t="s">
        <v>1490</v>
      </c>
      <c r="C345" s="2" t="s">
        <v>1491</v>
      </c>
      <c r="D345" s="2" t="s">
        <v>45</v>
      </c>
      <c r="E345" s="3" t="n">
        <v>31</v>
      </c>
      <c r="F345" s="2" t="s">
        <v>434</v>
      </c>
      <c r="G345" s="2" t="s">
        <v>47</v>
      </c>
      <c r="H345" s="2" t="s">
        <v>101</v>
      </c>
      <c r="I345" s="4" t="n">
        <v>119500</v>
      </c>
      <c r="J345" s="2" t="s">
        <v>49</v>
      </c>
      <c r="K345" s="3" t="n">
        <v>7</v>
      </c>
      <c r="L345" s="2" t="s">
        <v>231</v>
      </c>
      <c r="M345" s="2" t="s">
        <v>92</v>
      </c>
      <c r="N345" s="2" t="s">
        <v>52</v>
      </c>
      <c r="O345" s="3" t="n">
        <v>0</v>
      </c>
      <c r="P345" s="2" t="s">
        <v>229</v>
      </c>
      <c r="Q345" s="2" t="s">
        <v>230</v>
      </c>
      <c r="R345" s="2" t="s">
        <v>231</v>
      </c>
      <c r="S345" s="2" t="s">
        <v>92</v>
      </c>
      <c r="T345" s="2" t="s">
        <v>1492</v>
      </c>
      <c r="U345" s="2" t="s">
        <v>118</v>
      </c>
      <c r="V345" s="4" t="n">
        <v>1500000</v>
      </c>
      <c r="W345" s="5" t="n">
        <v>9.55</v>
      </c>
      <c r="X345" s="3" t="n">
        <v>60</v>
      </c>
      <c r="Y345" s="6" t="n">
        <v>46185</v>
      </c>
      <c r="Z345" s="6" t="n">
        <v>46195</v>
      </c>
      <c r="AA345" s="6" t="n">
        <v>46196</v>
      </c>
      <c r="AB345" s="4" t="n">
        <f aca="false">ROUND(PMT(W345/1200,X345,-V345),2)</f>
        <v>31539.46</v>
      </c>
      <c r="AC345" s="4" t="n">
        <v>0</v>
      </c>
      <c r="AD345" s="3" t="n">
        <v>0</v>
      </c>
      <c r="AE345" s="4" t="n">
        <v>232100</v>
      </c>
      <c r="AF345" s="4" t="n">
        <v>39300</v>
      </c>
      <c r="AG345" s="3" t="n">
        <v>35</v>
      </c>
      <c r="AH345" s="4" t="n">
        <v>99500</v>
      </c>
      <c r="AI345" s="3" t="n">
        <v>851</v>
      </c>
      <c r="AJ345" s="7" t="n">
        <f aca="false">ROUND(AB345/I345,4)</f>
        <v>0.2639</v>
      </c>
      <c r="AK345" s="2" t="str">
        <f aca="false">IF(AND(AI345&gt;=750,AJ345&lt;=0.35),"Low",IF(AND(AI345&gt;=600,AJ345&lt;=0.5),"Medium","High"))</f>
        <v>Low</v>
      </c>
      <c r="AL345" s="3"/>
      <c r="AM345" s="2" t="s">
        <v>58</v>
      </c>
      <c r="AN345" s="2" t="s">
        <v>59</v>
      </c>
      <c r="AO345" s="2" t="s">
        <v>60</v>
      </c>
      <c r="AP345" s="7" t="n">
        <v>0.157</v>
      </c>
    </row>
    <row r="346" customFormat="false" ht="15" hidden="false" customHeight="false" outlineLevel="0" collapsed="false">
      <c r="A346" s="2" t="s">
        <v>1493</v>
      </c>
      <c r="B346" s="2" t="s">
        <v>1494</v>
      </c>
      <c r="C346" s="2" t="s">
        <v>1495</v>
      </c>
      <c r="D346" s="2" t="s">
        <v>45</v>
      </c>
      <c r="E346" s="3" t="n">
        <v>62</v>
      </c>
      <c r="F346" s="2" t="s">
        <v>46</v>
      </c>
      <c r="G346" s="2" t="s">
        <v>176</v>
      </c>
      <c r="H346" s="2" t="s">
        <v>48</v>
      </c>
      <c r="I346" s="4" t="n">
        <v>112500</v>
      </c>
      <c r="J346" s="2" t="s">
        <v>177</v>
      </c>
      <c r="K346" s="3" t="n">
        <v>40</v>
      </c>
      <c r="L346" s="2" t="s">
        <v>114</v>
      </c>
      <c r="M346" s="2" t="s">
        <v>114</v>
      </c>
      <c r="N346" s="2" t="s">
        <v>81</v>
      </c>
      <c r="O346" s="3" t="n">
        <v>0</v>
      </c>
      <c r="P346" s="2" t="s">
        <v>115</v>
      </c>
      <c r="Q346" s="2" t="s">
        <v>116</v>
      </c>
      <c r="R346" s="2" t="s">
        <v>114</v>
      </c>
      <c r="S346" s="2" t="s">
        <v>114</v>
      </c>
      <c r="T346" s="2" t="s">
        <v>1496</v>
      </c>
      <c r="U346" s="2" t="s">
        <v>97</v>
      </c>
      <c r="V346" s="4" t="n">
        <v>622000</v>
      </c>
      <c r="W346" s="5" t="n">
        <v>15.52</v>
      </c>
      <c r="X346" s="3" t="n">
        <v>24</v>
      </c>
      <c r="Y346" s="6" t="n">
        <v>46184</v>
      </c>
      <c r="Z346" s="6" t="n">
        <v>46193</v>
      </c>
      <c r="AA346" s="6" t="n">
        <v>46196</v>
      </c>
      <c r="AB346" s="4" t="n">
        <f aca="false">ROUND(PMT(W346/1200,X346,-V346),2)</f>
        <v>30312.59</v>
      </c>
      <c r="AC346" s="4" t="n">
        <v>0</v>
      </c>
      <c r="AD346" s="3"/>
      <c r="AE346" s="4" t="n">
        <v>409200</v>
      </c>
      <c r="AF346" s="4" t="n">
        <v>181200</v>
      </c>
      <c r="AG346" s="3" t="n">
        <v>25</v>
      </c>
      <c r="AH346" s="4" t="n">
        <v>111100</v>
      </c>
      <c r="AI346" s="3" t="n">
        <v>880</v>
      </c>
      <c r="AJ346" s="7" t="n">
        <f aca="false">ROUND(AB346/I346,4)</f>
        <v>0.2694</v>
      </c>
      <c r="AK346" s="2" t="str">
        <f aca="false">IF(AND(AI346&gt;=750,AJ346&lt;=0.35),"Low",IF(AND(AI346&gt;=600,AJ346&lt;=0.5),"Medium","High"))</f>
        <v>Low</v>
      </c>
      <c r="AL346" s="3" t="n">
        <v>1</v>
      </c>
      <c r="AM346" s="2" t="s">
        <v>58</v>
      </c>
      <c r="AN346" s="2" t="s">
        <v>59</v>
      </c>
      <c r="AO346" s="2" t="s">
        <v>60</v>
      </c>
      <c r="AP346" s="7" t="n">
        <v>0.108</v>
      </c>
    </row>
    <row r="347" customFormat="false" ht="15" hidden="false" customHeight="false" outlineLevel="0" collapsed="false">
      <c r="A347" s="2" t="s">
        <v>1497</v>
      </c>
      <c r="B347" s="2" t="s">
        <v>1498</v>
      </c>
      <c r="C347" s="2" t="s">
        <v>1499</v>
      </c>
      <c r="D347" s="2" t="s">
        <v>45</v>
      </c>
      <c r="E347" s="3" t="n">
        <v>27</v>
      </c>
      <c r="F347" s="2" t="s">
        <v>64</v>
      </c>
      <c r="G347" s="2"/>
      <c r="H347" s="2" t="s">
        <v>48</v>
      </c>
      <c r="I347" s="4" t="n">
        <v>59500</v>
      </c>
      <c r="J347" s="2" t="s">
        <v>177</v>
      </c>
      <c r="K347" s="3" t="n">
        <v>1</v>
      </c>
      <c r="L347" s="2" t="s">
        <v>188</v>
      </c>
      <c r="M347" s="2" t="s">
        <v>51</v>
      </c>
      <c r="N347" s="2" t="s">
        <v>140</v>
      </c>
      <c r="O347" s="3" t="n">
        <v>1</v>
      </c>
      <c r="P347" s="2" t="s">
        <v>189</v>
      </c>
      <c r="Q347" s="2" t="s">
        <v>190</v>
      </c>
      <c r="R347" s="2" t="s">
        <v>188</v>
      </c>
      <c r="S347" s="2" t="s">
        <v>51</v>
      </c>
      <c r="T347" s="2" t="s">
        <v>1500</v>
      </c>
      <c r="U347" s="2" t="s">
        <v>72</v>
      </c>
      <c r="V347" s="4" t="n">
        <v>882000</v>
      </c>
      <c r="W347" s="5" t="n">
        <v>15.42</v>
      </c>
      <c r="X347" s="3" t="n">
        <v>78</v>
      </c>
      <c r="Y347" s="6" t="n">
        <v>46195</v>
      </c>
      <c r="Z347" s="6" t="n">
        <v>46203</v>
      </c>
      <c r="AA347" s="6" t="n">
        <v>46208</v>
      </c>
      <c r="AB347" s="4" t="n">
        <f aca="false">ROUND(PMT(W347/1200,X347,-V347),2)</f>
        <v>17972.47</v>
      </c>
      <c r="AC347" s="4" t="n">
        <v>1216000</v>
      </c>
      <c r="AD347" s="3" t="n">
        <v>0</v>
      </c>
      <c r="AE347" s="4" t="n">
        <v>61400</v>
      </c>
      <c r="AF347" s="4" t="n">
        <v>10100</v>
      </c>
      <c r="AG347" s="3" t="n">
        <v>16</v>
      </c>
      <c r="AH347" s="4" t="n">
        <v>34300</v>
      </c>
      <c r="AI347" s="3" t="n">
        <v>623</v>
      </c>
      <c r="AJ347" s="7" t="n">
        <f aca="false">ROUND(AB347/I347,4)</f>
        <v>0.3021</v>
      </c>
      <c r="AK347" s="2" t="str">
        <f aca="false">IF(AND(AI347&gt;=750,AJ347&lt;=0.35),"Low",IF(AND(AI347&gt;=600,AJ347&lt;=0.5),"Medium","High"))</f>
        <v>Medium</v>
      </c>
      <c r="AL347" s="3" t="n">
        <v>3</v>
      </c>
      <c r="AM347" s="2" t="s">
        <v>233</v>
      </c>
      <c r="AN347" s="2" t="s">
        <v>119</v>
      </c>
      <c r="AO347" s="2" t="s">
        <v>60</v>
      </c>
      <c r="AP347" s="7" t="n">
        <v>0.484</v>
      </c>
    </row>
    <row r="348" customFormat="false" ht="15" hidden="false" customHeight="false" outlineLevel="0" collapsed="false">
      <c r="A348" s="2" t="s">
        <v>1501</v>
      </c>
      <c r="B348" s="2" t="s">
        <v>1502</v>
      </c>
      <c r="C348" s="2" t="s">
        <v>1503</v>
      </c>
      <c r="D348" s="2" t="s">
        <v>109</v>
      </c>
      <c r="E348" s="3" t="n">
        <v>31</v>
      </c>
      <c r="F348" s="2" t="s">
        <v>434</v>
      </c>
      <c r="G348" s="2" t="s">
        <v>110</v>
      </c>
      <c r="H348" s="2" t="s">
        <v>123</v>
      </c>
      <c r="I348" s="4" t="n">
        <v>15500</v>
      </c>
      <c r="J348" s="2" t="s">
        <v>112</v>
      </c>
      <c r="K348" s="3" t="n">
        <v>7</v>
      </c>
      <c r="L348" s="2" t="s">
        <v>146</v>
      </c>
      <c r="M348" s="2" t="s">
        <v>147</v>
      </c>
      <c r="N348" s="2" t="s">
        <v>52</v>
      </c>
      <c r="O348" s="3" t="n">
        <v>0</v>
      </c>
      <c r="P348" s="2" t="s">
        <v>197</v>
      </c>
      <c r="Q348" s="2" t="s">
        <v>198</v>
      </c>
      <c r="R348" s="2" t="s">
        <v>139</v>
      </c>
      <c r="S348" s="2" t="s">
        <v>139</v>
      </c>
      <c r="T348" s="2" t="s">
        <v>1504</v>
      </c>
      <c r="U348" s="2" t="s">
        <v>85</v>
      </c>
      <c r="V348" s="4" t="n">
        <v>147000</v>
      </c>
      <c r="W348" s="5" t="n">
        <v>9.06</v>
      </c>
      <c r="X348" s="3" t="n">
        <v>24</v>
      </c>
      <c r="Y348" s="6" t="n">
        <v>46181</v>
      </c>
      <c r="Z348" s="6" t="n">
        <v>46183</v>
      </c>
      <c r="AA348" s="6" t="n">
        <v>46189</v>
      </c>
      <c r="AB348" s="4" t="n">
        <f aca="false">ROUND(PMT(W348/1200,X348,-V348),2)</f>
        <v>6719.7</v>
      </c>
      <c r="AC348" s="4" t="n">
        <v>0</v>
      </c>
      <c r="AD348" s="3" t="n">
        <v>0</v>
      </c>
      <c r="AE348" s="4" t="n">
        <v>54600</v>
      </c>
      <c r="AF348" s="4" t="n">
        <v>13900</v>
      </c>
      <c r="AG348" s="3" t="n">
        <v>37</v>
      </c>
      <c r="AH348" s="4" t="n">
        <v>13300</v>
      </c>
      <c r="AI348" s="3" t="n">
        <v>743</v>
      </c>
      <c r="AJ348" s="7" t="n">
        <f aca="false">ROUND(AB348/I348,4)</f>
        <v>0.4335</v>
      </c>
      <c r="AK348" s="2" t="str">
        <f aca="false">IF(AND(AI348&gt;=750,AJ348&lt;=0.35),"Low",IF(AND(AI348&gt;=600,AJ348&lt;=0.5),"Medium","High"))</f>
        <v>Medium</v>
      </c>
      <c r="AL348" s="3" t="n">
        <v>0</v>
      </c>
      <c r="AM348" s="2" t="s">
        <v>58</v>
      </c>
      <c r="AN348" s="2" t="s">
        <v>119</v>
      </c>
      <c r="AO348" s="2" t="s">
        <v>60</v>
      </c>
      <c r="AP348" s="7" t="n">
        <v>0.136</v>
      </c>
    </row>
    <row r="349" customFormat="false" ht="15" hidden="false" customHeight="false" outlineLevel="0" collapsed="false">
      <c r="A349" s="2" t="s">
        <v>1505</v>
      </c>
      <c r="B349" s="2" t="s">
        <v>1506</v>
      </c>
      <c r="C349" s="2" t="s">
        <v>1507</v>
      </c>
      <c r="D349" s="2" t="s">
        <v>45</v>
      </c>
      <c r="E349" s="3" t="n">
        <v>44</v>
      </c>
      <c r="F349" s="2" t="s">
        <v>64</v>
      </c>
      <c r="G349" s="2" t="s">
        <v>154</v>
      </c>
      <c r="H349" s="2" t="s">
        <v>101</v>
      </c>
      <c r="I349" s="4" t="n">
        <v>29000</v>
      </c>
      <c r="J349" s="2" t="s">
        <v>145</v>
      </c>
      <c r="K349" s="3" t="n">
        <v>19</v>
      </c>
      <c r="L349" s="2" t="s">
        <v>91</v>
      </c>
      <c r="M349" s="2" t="s">
        <v>92</v>
      </c>
      <c r="N349" s="2" t="s">
        <v>140</v>
      </c>
      <c r="O349" s="3" t="n">
        <v>0</v>
      </c>
      <c r="P349" s="2" t="s">
        <v>93</v>
      </c>
      <c r="Q349" s="2" t="s">
        <v>94</v>
      </c>
      <c r="R349" s="2" t="s">
        <v>95</v>
      </c>
      <c r="S349" s="2" t="s">
        <v>92</v>
      </c>
      <c r="T349" s="2" t="s">
        <v>1508</v>
      </c>
      <c r="U349" s="2" t="s">
        <v>180</v>
      </c>
      <c r="V349" s="4" t="n">
        <v>333000</v>
      </c>
      <c r="W349" s="5" t="n">
        <v>11.87</v>
      </c>
      <c r="X349" s="3" t="n">
        <v>36</v>
      </c>
      <c r="Y349" s="6" t="n">
        <v>46182</v>
      </c>
      <c r="Z349" s="6" t="n">
        <v>46190</v>
      </c>
      <c r="AA349" s="6" t="n">
        <v>46196</v>
      </c>
      <c r="AB349" s="4" t="n">
        <f aca="false">ROUND(PMT(W349/1200,X349,-V349),2)</f>
        <v>11039.7</v>
      </c>
      <c r="AC349" s="4" t="n">
        <v>468000</v>
      </c>
      <c r="AD349" s="3" t="n">
        <v>1</v>
      </c>
      <c r="AE349" s="4" t="n">
        <v>90200</v>
      </c>
      <c r="AF349" s="4" t="n">
        <v>26100</v>
      </c>
      <c r="AG349" s="3" t="n">
        <v>3</v>
      </c>
      <c r="AH349" s="4" t="n">
        <v>15700</v>
      </c>
      <c r="AI349" s="3" t="n">
        <v>811</v>
      </c>
      <c r="AJ349" s="7" t="n">
        <f aca="false">ROUND(AB349/I349,4)</f>
        <v>0.3807</v>
      </c>
      <c r="AK349" s="2" t="str">
        <f aca="false">IF(AND(AI349&gt;=750,AJ349&lt;=0.35),"Low",IF(AND(AI349&gt;=600,AJ349&lt;=0.5),"Medium","High"))</f>
        <v>Medium</v>
      </c>
      <c r="AL349" s="3" t="n">
        <v>1</v>
      </c>
      <c r="AM349" s="2" t="s">
        <v>58</v>
      </c>
      <c r="AN349" s="2" t="s">
        <v>119</v>
      </c>
      <c r="AO349" s="2" t="s">
        <v>60</v>
      </c>
      <c r="AP349" s="7" t="n">
        <v>0.16</v>
      </c>
    </row>
    <row r="350" customFormat="false" ht="15" hidden="false" customHeight="false" outlineLevel="0" collapsed="false">
      <c r="A350" s="2" t="s">
        <v>1509</v>
      </c>
      <c r="B350" s="2" t="s">
        <v>656</v>
      </c>
      <c r="C350" s="2" t="s">
        <v>1510</v>
      </c>
      <c r="D350" s="2" t="s">
        <v>45</v>
      </c>
      <c r="E350" s="3" t="n">
        <v>52</v>
      </c>
      <c r="F350" s="2"/>
      <c r="G350" s="2" t="s">
        <v>154</v>
      </c>
      <c r="H350" s="2" t="s">
        <v>48</v>
      </c>
      <c r="I350" s="4" t="n">
        <v>47500</v>
      </c>
      <c r="J350" s="2" t="s">
        <v>145</v>
      </c>
      <c r="K350" s="3" t="n">
        <v>33</v>
      </c>
      <c r="L350" s="2" t="s">
        <v>241</v>
      </c>
      <c r="M350" s="2" t="s">
        <v>92</v>
      </c>
      <c r="N350" s="2" t="s">
        <v>52</v>
      </c>
      <c r="O350" s="3" t="n">
        <v>1</v>
      </c>
      <c r="P350" s="2" t="s">
        <v>124</v>
      </c>
      <c r="Q350" s="2" t="s">
        <v>125</v>
      </c>
      <c r="R350" s="2" t="s">
        <v>91</v>
      </c>
      <c r="S350" s="2" t="s">
        <v>92</v>
      </c>
      <c r="T350" s="2" t="s">
        <v>1511</v>
      </c>
      <c r="U350" s="2" t="s">
        <v>97</v>
      </c>
      <c r="V350" s="4" t="n">
        <v>301000</v>
      </c>
      <c r="W350" s="5" t="n">
        <v>11.71</v>
      </c>
      <c r="X350" s="3" t="n">
        <v>36</v>
      </c>
      <c r="Y350" s="6" t="n">
        <v>46195</v>
      </c>
      <c r="Z350" s="6" t="n">
        <v>46202</v>
      </c>
      <c r="AA350" s="6" t="n">
        <v>46206</v>
      </c>
      <c r="AB350" s="4" t="n">
        <f aca="false">ROUND(PMT(W350/1200,X350,-V350),2)</f>
        <v>9955.87</v>
      </c>
      <c r="AC350" s="4" t="n">
        <v>0</v>
      </c>
      <c r="AD350" s="3" t="n">
        <v>2</v>
      </c>
      <c r="AE350" s="4" t="n">
        <v>152100</v>
      </c>
      <c r="AF350" s="4"/>
      <c r="AG350" s="3" t="n">
        <v>14</v>
      </c>
      <c r="AH350" s="4" t="n">
        <v>45700</v>
      </c>
      <c r="AI350" s="3" t="n">
        <v>795</v>
      </c>
      <c r="AJ350" s="7" t="n">
        <f aca="false">ROUND(AB350/I350,4)</f>
        <v>0.2096</v>
      </c>
      <c r="AK350" s="2" t="str">
        <f aca="false">IF(AND(AI350&gt;=750,AJ350&lt;=0.35),"Low",IF(AND(AI350&gt;=600,AJ350&lt;=0.5),"Medium","High"))</f>
        <v>Low</v>
      </c>
      <c r="AL350" s="3" t="n">
        <v>2</v>
      </c>
      <c r="AM350" s="2" t="s">
        <v>58</v>
      </c>
      <c r="AN350" s="2" t="s">
        <v>59</v>
      </c>
      <c r="AO350" s="2" t="s">
        <v>86</v>
      </c>
      <c r="AP350" s="7" t="n">
        <v>0.134</v>
      </c>
    </row>
    <row r="351" customFormat="false" ht="15" hidden="false" customHeight="false" outlineLevel="0" collapsed="false">
      <c r="A351" s="2" t="s">
        <v>1512</v>
      </c>
      <c r="B351" s="2" t="s">
        <v>1457</v>
      </c>
      <c r="C351" s="2" t="s">
        <v>1513</v>
      </c>
      <c r="D351" s="2" t="s">
        <v>45</v>
      </c>
      <c r="E351" s="3" t="n">
        <v>58</v>
      </c>
      <c r="F351" s="2" t="s">
        <v>64</v>
      </c>
      <c r="G351" s="2" t="s">
        <v>145</v>
      </c>
      <c r="H351" s="2" t="s">
        <v>111</v>
      </c>
      <c r="I351" s="4" t="n">
        <v>20000</v>
      </c>
      <c r="J351" s="2" t="s">
        <v>145</v>
      </c>
      <c r="K351" s="3" t="n">
        <v>37</v>
      </c>
      <c r="L351" s="2" t="s">
        <v>95</v>
      </c>
      <c r="M351" s="2" t="s">
        <v>92</v>
      </c>
      <c r="N351" s="2" t="s">
        <v>52</v>
      </c>
      <c r="O351" s="3"/>
      <c r="P351" s="2" t="s">
        <v>124</v>
      </c>
      <c r="Q351" s="2" t="s">
        <v>125</v>
      </c>
      <c r="R351" s="2" t="s">
        <v>91</v>
      </c>
      <c r="S351" s="2" t="s">
        <v>92</v>
      </c>
      <c r="T351" s="2" t="s">
        <v>1514</v>
      </c>
      <c r="U351" s="2" t="s">
        <v>72</v>
      </c>
      <c r="V351" s="4" t="n">
        <v>300000</v>
      </c>
      <c r="W351" s="5" t="n">
        <v>16.18</v>
      </c>
      <c r="X351" s="3" t="n">
        <v>36</v>
      </c>
      <c r="Y351" s="6" t="n">
        <v>46189</v>
      </c>
      <c r="Z351" s="6" t="n">
        <v>46196</v>
      </c>
      <c r="AA351" s="6" t="n">
        <v>46200</v>
      </c>
      <c r="AB351" s="4" t="n">
        <f aca="false">ROUND(PMT(W351/1200,X351,-V351),2)</f>
        <v>10573.79</v>
      </c>
      <c r="AC351" s="4" t="n">
        <v>324000</v>
      </c>
      <c r="AD351" s="3" t="n">
        <v>0</v>
      </c>
      <c r="AE351" s="4"/>
      <c r="AF351" s="4" t="n">
        <v>2300</v>
      </c>
      <c r="AG351" s="3" t="n">
        <v>29</v>
      </c>
      <c r="AH351" s="4" t="n">
        <v>21000</v>
      </c>
      <c r="AI351" s="3" t="n">
        <v>696</v>
      </c>
      <c r="AJ351" s="7" t="n">
        <f aca="false">ROUND(AB351/I351,4)</f>
        <v>0.5287</v>
      </c>
      <c r="AK351" s="2" t="str">
        <f aca="false">IF(AND(AI351&gt;=750,AJ351&lt;=0.35),"Low",IF(AND(AI351&gt;=600,AJ351&lt;=0.5),"Medium","High"))</f>
        <v>High</v>
      </c>
      <c r="AL351" s="3" t="n">
        <v>0</v>
      </c>
      <c r="AM351" s="2" t="s">
        <v>58</v>
      </c>
      <c r="AN351" s="2" t="s">
        <v>119</v>
      </c>
      <c r="AO351" s="2" t="s">
        <v>86</v>
      </c>
      <c r="AP351" s="7" t="n">
        <v>0.253</v>
      </c>
    </row>
    <row r="352" customFormat="false" ht="15" hidden="false" customHeight="false" outlineLevel="0" collapsed="false">
      <c r="A352" s="2" t="s">
        <v>1515</v>
      </c>
      <c r="B352" s="2" t="s">
        <v>1516</v>
      </c>
      <c r="C352" s="2" t="s">
        <v>516</v>
      </c>
      <c r="D352" s="2" t="s">
        <v>109</v>
      </c>
      <c r="E352" s="3" t="n">
        <v>49</v>
      </c>
      <c r="F352" s="2" t="s">
        <v>64</v>
      </c>
      <c r="G352" s="2"/>
      <c r="H352" s="2" t="s">
        <v>101</v>
      </c>
      <c r="I352" s="4" t="n">
        <v>47500</v>
      </c>
      <c r="J352" s="2" t="s">
        <v>90</v>
      </c>
      <c r="K352" s="3" t="n">
        <v>31</v>
      </c>
      <c r="L352" s="2" t="s">
        <v>274</v>
      </c>
      <c r="M352" s="2" t="s">
        <v>67</v>
      </c>
      <c r="N352" s="2" t="s">
        <v>81</v>
      </c>
      <c r="O352" s="3" t="n">
        <v>3</v>
      </c>
      <c r="P352" s="2" t="s">
        <v>103</v>
      </c>
      <c r="Q352" s="2" t="s">
        <v>104</v>
      </c>
      <c r="R352" s="2" t="s">
        <v>67</v>
      </c>
      <c r="S352" s="2" t="s">
        <v>67</v>
      </c>
      <c r="T352" s="2" t="s">
        <v>1517</v>
      </c>
      <c r="U352" s="2" t="s">
        <v>97</v>
      </c>
      <c r="V352" s="4" t="n">
        <v>68000</v>
      </c>
      <c r="W352" s="5" t="n">
        <v>11.71</v>
      </c>
      <c r="X352" s="3" t="n">
        <v>12</v>
      </c>
      <c r="Y352" s="6" t="n">
        <v>46201</v>
      </c>
      <c r="Z352" s="6" t="n">
        <v>46208</v>
      </c>
      <c r="AA352" s="6" t="n">
        <v>46211</v>
      </c>
      <c r="AB352" s="4" t="n">
        <f aca="false">ROUND(PMT(W352/1200,X352,-V352),2)</f>
        <v>6032.5</v>
      </c>
      <c r="AC352" s="4" t="n">
        <v>0</v>
      </c>
      <c r="AD352" s="3" t="n">
        <v>1</v>
      </c>
      <c r="AE352" s="4" t="n">
        <v>118900</v>
      </c>
      <c r="AF352" s="4" t="n">
        <v>71300</v>
      </c>
      <c r="AG352" s="3" t="n">
        <v>25</v>
      </c>
      <c r="AH352" s="4" t="n">
        <v>25200</v>
      </c>
      <c r="AI352" s="3" t="n">
        <v>790</v>
      </c>
      <c r="AJ352" s="7" t="n">
        <f aca="false">ROUND(AB352/I352,4)</f>
        <v>0.127</v>
      </c>
      <c r="AK352" s="2" t="str">
        <f aca="false">IF(AND(AI352&gt;=750,AJ352&lt;=0.35),"Low",IF(AND(AI352&gt;=600,AJ352&lt;=0.5),"Medium","High"))</f>
        <v>Low</v>
      </c>
      <c r="AL352" s="3"/>
      <c r="AM352" s="2" t="s">
        <v>58</v>
      </c>
      <c r="AN352" s="2" t="s">
        <v>59</v>
      </c>
      <c r="AO352" s="2" t="s">
        <v>60</v>
      </c>
      <c r="AP352" s="7" t="n">
        <v>0.19</v>
      </c>
    </row>
    <row r="353" customFormat="false" ht="15" hidden="false" customHeight="false" outlineLevel="0" collapsed="false">
      <c r="A353" s="2" t="s">
        <v>1518</v>
      </c>
      <c r="B353" s="2" t="s">
        <v>1519</v>
      </c>
      <c r="C353" s="2" t="s">
        <v>1520</v>
      </c>
      <c r="D353" s="2" t="s">
        <v>45</v>
      </c>
      <c r="E353" s="3" t="n">
        <v>29</v>
      </c>
      <c r="F353" s="2"/>
      <c r="G353" s="2" t="s">
        <v>90</v>
      </c>
      <c r="H353" s="2" t="s">
        <v>48</v>
      </c>
      <c r="I353" s="4" t="n">
        <v>23000</v>
      </c>
      <c r="J353" s="2" t="s">
        <v>90</v>
      </c>
      <c r="K353" s="3" t="n">
        <v>4</v>
      </c>
      <c r="L353" s="2" t="s">
        <v>211</v>
      </c>
      <c r="M353" s="2" t="s">
        <v>147</v>
      </c>
      <c r="N353" s="2" t="s">
        <v>52</v>
      </c>
      <c r="O353" s="3" t="n">
        <v>0</v>
      </c>
      <c r="P353" s="2" t="s">
        <v>148</v>
      </c>
      <c r="Q353" s="2" t="s">
        <v>149</v>
      </c>
      <c r="R353" s="2" t="s">
        <v>147</v>
      </c>
      <c r="S353" s="2" t="s">
        <v>147</v>
      </c>
      <c r="T353" s="2" t="s">
        <v>1521</v>
      </c>
      <c r="U353" s="2" t="s">
        <v>97</v>
      </c>
      <c r="V353" s="4" t="n">
        <v>312000</v>
      </c>
      <c r="W353" s="5" t="n">
        <v>15.92</v>
      </c>
      <c r="X353" s="3" t="n">
        <v>42</v>
      </c>
      <c r="Y353" s="6" t="n">
        <v>46184</v>
      </c>
      <c r="Z353" s="6"/>
      <c r="AA353" s="6"/>
      <c r="AB353" s="4" t="n">
        <f aca="false">ROUND(PMT(W353/1200,X353,-V353),2)</f>
        <v>9737.3</v>
      </c>
      <c r="AC353" s="4" t="n">
        <v>0</v>
      </c>
      <c r="AD353" s="3" t="n">
        <v>0</v>
      </c>
      <c r="AE353" s="4" t="n">
        <v>34600</v>
      </c>
      <c r="AF353" s="4" t="n">
        <v>16200</v>
      </c>
      <c r="AG353" s="3" t="n">
        <v>11</v>
      </c>
      <c r="AH353" s="4" t="n">
        <v>15200</v>
      </c>
      <c r="AI353" s="3" t="n">
        <v>672</v>
      </c>
      <c r="AJ353" s="7" t="n">
        <f aca="false">ROUND(AB353/I353,4)</f>
        <v>0.4234</v>
      </c>
      <c r="AK353" s="2" t="str">
        <f aca="false">IF(AND(AI353&gt;=750,AJ353&lt;=0.35),"Low",IF(AND(AI353&gt;=600,AJ353&lt;=0.5),"Medium","High"))</f>
        <v>Medium</v>
      </c>
      <c r="AL353" s="3" t="n">
        <v>0</v>
      </c>
      <c r="AM353" s="2" t="s">
        <v>58</v>
      </c>
      <c r="AN353" s="2"/>
      <c r="AO353" s="2" t="s">
        <v>127</v>
      </c>
      <c r="AP353" s="7" t="n">
        <v>0.239</v>
      </c>
    </row>
    <row r="354" customFormat="false" ht="15" hidden="false" customHeight="false" outlineLevel="0" collapsed="false">
      <c r="A354" s="2" t="s">
        <v>1522</v>
      </c>
      <c r="B354" s="2" t="s">
        <v>1523</v>
      </c>
      <c r="C354" s="2" t="s">
        <v>1524</v>
      </c>
      <c r="D354" s="2" t="s">
        <v>45</v>
      </c>
      <c r="E354" s="3" t="n">
        <v>34</v>
      </c>
      <c r="F354" s="2" t="s">
        <v>434</v>
      </c>
      <c r="G354" s="2" t="s">
        <v>246</v>
      </c>
      <c r="H354" s="2" t="s">
        <v>123</v>
      </c>
      <c r="I354" s="4" t="n">
        <v>8500</v>
      </c>
      <c r="J354" s="2" t="s">
        <v>145</v>
      </c>
      <c r="K354" s="3" t="n">
        <v>13</v>
      </c>
      <c r="L354" s="2" t="s">
        <v>188</v>
      </c>
      <c r="M354" s="2" t="s">
        <v>51</v>
      </c>
      <c r="N354" s="2" t="s">
        <v>140</v>
      </c>
      <c r="O354" s="3" t="n">
        <v>0</v>
      </c>
      <c r="P354" s="2" t="s">
        <v>189</v>
      </c>
      <c r="Q354" s="2" t="s">
        <v>190</v>
      </c>
      <c r="R354" s="2" t="s">
        <v>188</v>
      </c>
      <c r="S354" s="2" t="s">
        <v>51</v>
      </c>
      <c r="T354" s="2" t="s">
        <v>1525</v>
      </c>
      <c r="U354" s="2" t="s">
        <v>85</v>
      </c>
      <c r="V354" s="4" t="n">
        <v>50000</v>
      </c>
      <c r="W354" s="5" t="n">
        <v>9.83</v>
      </c>
      <c r="X354" s="3" t="n">
        <v>12</v>
      </c>
      <c r="Y354" s="6" t="n">
        <v>46191</v>
      </c>
      <c r="Z354" s="6" t="n">
        <v>46195</v>
      </c>
      <c r="AA354" s="6" t="n">
        <v>46198</v>
      </c>
      <c r="AB354" s="4" t="n">
        <f aca="false">ROUND(PMT(W354/1200,X354,-V354),2)</f>
        <v>4391.84</v>
      </c>
      <c r="AC354" s="4" t="n">
        <v>0</v>
      </c>
      <c r="AD354" s="3" t="n">
        <v>0</v>
      </c>
      <c r="AE354" s="4" t="n">
        <v>18200</v>
      </c>
      <c r="AF354" s="4" t="n">
        <v>4400</v>
      </c>
      <c r="AG354" s="3" t="n">
        <v>15</v>
      </c>
      <c r="AH354" s="4" t="n">
        <v>9100</v>
      </c>
      <c r="AI354" s="3" t="n">
        <v>760</v>
      </c>
      <c r="AJ354" s="7" t="n">
        <f aca="false">ROUND(AB354/I354,4)</f>
        <v>0.5167</v>
      </c>
      <c r="AK354" s="2" t="str">
        <f aca="false">IF(AND(AI354&gt;=750,AJ354&lt;=0.35),"Low",IF(AND(AI354&gt;=600,AJ354&lt;=0.5),"Medium","High"))</f>
        <v>High</v>
      </c>
      <c r="AL354" s="3" t="n">
        <v>3</v>
      </c>
      <c r="AM354" s="2" t="s">
        <v>58</v>
      </c>
      <c r="AN354" s="2" t="s">
        <v>258</v>
      </c>
      <c r="AO354" s="2" t="s">
        <v>60</v>
      </c>
      <c r="AP354" s="7" t="n">
        <v>0.146</v>
      </c>
    </row>
    <row r="355" customFormat="false" ht="15" hidden="false" customHeight="false" outlineLevel="0" collapsed="false">
      <c r="A355" s="2" t="s">
        <v>1526</v>
      </c>
      <c r="B355" s="2" t="s">
        <v>1527</v>
      </c>
      <c r="C355" s="2" t="s">
        <v>1528</v>
      </c>
      <c r="D355" s="2" t="s">
        <v>109</v>
      </c>
      <c r="E355" s="3" t="n">
        <v>31</v>
      </c>
      <c r="F355" s="2" t="s">
        <v>175</v>
      </c>
      <c r="G355" s="2" t="s">
        <v>110</v>
      </c>
      <c r="H355" s="2" t="s">
        <v>111</v>
      </c>
      <c r="I355" s="4" t="n">
        <v>9000</v>
      </c>
      <c r="J355" s="2" t="s">
        <v>112</v>
      </c>
      <c r="K355" s="3" t="n">
        <v>8</v>
      </c>
      <c r="L355" s="2" t="s">
        <v>211</v>
      </c>
      <c r="M355" s="2" t="s">
        <v>147</v>
      </c>
      <c r="N355" s="2" t="s">
        <v>140</v>
      </c>
      <c r="O355" s="3" t="n">
        <v>0</v>
      </c>
      <c r="P355" s="2" t="s">
        <v>209</v>
      </c>
      <c r="Q355" s="2" t="s">
        <v>210</v>
      </c>
      <c r="R355" s="2" t="s">
        <v>211</v>
      </c>
      <c r="S355" s="2" t="s">
        <v>147</v>
      </c>
      <c r="T355" s="2" t="s">
        <v>1529</v>
      </c>
      <c r="U355" s="2" t="s">
        <v>180</v>
      </c>
      <c r="V355" s="4" t="n">
        <v>300000</v>
      </c>
      <c r="W355" s="5" t="n">
        <v>12.76</v>
      </c>
      <c r="X355" s="3" t="n">
        <v>54</v>
      </c>
      <c r="Y355" s="6" t="n">
        <v>46185</v>
      </c>
      <c r="Z355" s="6"/>
      <c r="AA355" s="6"/>
      <c r="AB355" s="4" t="n">
        <f aca="false">ROUND(PMT(W355/1200,X355,-V355),2)</f>
        <v>7331.06</v>
      </c>
      <c r="AC355" s="4" t="n">
        <v>364000</v>
      </c>
      <c r="AD355" s="3" t="n">
        <v>0</v>
      </c>
      <c r="AE355" s="4" t="n">
        <v>28900</v>
      </c>
      <c r="AF355" s="4" t="n">
        <v>3600</v>
      </c>
      <c r="AG355" s="3" t="n">
        <v>12</v>
      </c>
      <c r="AH355" s="4" t="n">
        <v>2800</v>
      </c>
      <c r="AI355" s="3" t="n">
        <v>677</v>
      </c>
      <c r="AJ355" s="7" t="n">
        <f aca="false">ROUND(AB355/I355,4)</f>
        <v>0.8146</v>
      </c>
      <c r="AK355" s="2" t="str">
        <f aca="false">IF(AND(AI355&gt;=750,AJ355&lt;=0.35),"Low",IF(AND(AI355&gt;=600,AJ355&lt;=0.5),"Medium","High"))</f>
        <v>High</v>
      </c>
      <c r="AL355" s="3" t="n">
        <v>1</v>
      </c>
      <c r="AM355" s="2" t="s">
        <v>58</v>
      </c>
      <c r="AN355" s="2"/>
      <c r="AO355" s="2" t="s">
        <v>134</v>
      </c>
      <c r="AP355" s="7" t="n">
        <v>0.209</v>
      </c>
    </row>
    <row r="356" customFormat="false" ht="15" hidden="false" customHeight="false" outlineLevel="0" collapsed="false">
      <c r="A356" s="2" t="s">
        <v>1530</v>
      </c>
      <c r="B356" s="2" t="s">
        <v>1531</v>
      </c>
      <c r="C356" s="2" t="s">
        <v>266</v>
      </c>
      <c r="D356" s="2" t="s">
        <v>109</v>
      </c>
      <c r="E356" s="3" t="n">
        <v>36</v>
      </c>
      <c r="F356" s="2" t="s">
        <v>175</v>
      </c>
      <c r="G356" s="2" t="s">
        <v>176</v>
      </c>
      <c r="H356" s="2" t="s">
        <v>123</v>
      </c>
      <c r="I356" s="4" t="n">
        <v>83000</v>
      </c>
      <c r="J356" s="2" t="s">
        <v>177</v>
      </c>
      <c r="K356" s="3" t="n">
        <v>13</v>
      </c>
      <c r="L356" s="2" t="s">
        <v>91</v>
      </c>
      <c r="M356" s="2" t="s">
        <v>92</v>
      </c>
      <c r="N356" s="2" t="s">
        <v>81</v>
      </c>
      <c r="O356" s="3" t="n">
        <v>0</v>
      </c>
      <c r="P356" s="2" t="s">
        <v>124</v>
      </c>
      <c r="Q356" s="2" t="s">
        <v>125</v>
      </c>
      <c r="R356" s="2" t="s">
        <v>91</v>
      </c>
      <c r="S356" s="2" t="s">
        <v>92</v>
      </c>
      <c r="T356" s="2" t="s">
        <v>1532</v>
      </c>
      <c r="U356" s="2" t="s">
        <v>180</v>
      </c>
      <c r="V356" s="4" t="n">
        <v>938000</v>
      </c>
      <c r="W356" s="5" t="n">
        <v>12.72</v>
      </c>
      <c r="X356" s="3" t="n">
        <v>24</v>
      </c>
      <c r="Y356" s="6" t="n">
        <v>46184</v>
      </c>
      <c r="Z356" s="6"/>
      <c r="AA356" s="6"/>
      <c r="AB356" s="4" t="n">
        <f aca="false">ROUND(PMT(W356/1200,X356,-V356),2)</f>
        <v>44470.97</v>
      </c>
      <c r="AC356" s="4" t="n">
        <v>1038000</v>
      </c>
      <c r="AD356" s="3" t="n">
        <v>0</v>
      </c>
      <c r="AE356" s="4" t="n">
        <v>312100</v>
      </c>
      <c r="AF356" s="4" t="n">
        <v>45100</v>
      </c>
      <c r="AG356" s="3" t="n">
        <v>51</v>
      </c>
      <c r="AH356" s="4" t="n">
        <v>58900</v>
      </c>
      <c r="AI356" s="3" t="n">
        <v>710</v>
      </c>
      <c r="AJ356" s="7" t="n">
        <f aca="false">ROUND(AB356/I356,4)</f>
        <v>0.5358</v>
      </c>
      <c r="AK356" s="2" t="str">
        <f aca="false">IF(AND(AI356&gt;=750,AJ356&lt;=0.35),"Low",IF(AND(AI356&gt;=600,AJ356&lt;=0.5),"Medium","High"))</f>
        <v>High</v>
      </c>
      <c r="AL356" s="3" t="n">
        <v>3</v>
      </c>
      <c r="AM356" s="2" t="s">
        <v>58</v>
      </c>
      <c r="AN356" s="2"/>
      <c r="AO356" s="2" t="s">
        <v>134</v>
      </c>
      <c r="AP356" s="7" t="n">
        <v>0.221</v>
      </c>
    </row>
    <row r="357" customFormat="false" ht="15" hidden="false" customHeight="false" outlineLevel="0" collapsed="false">
      <c r="A357" s="2" t="s">
        <v>1533</v>
      </c>
      <c r="B357" s="2" t="s">
        <v>1534</v>
      </c>
      <c r="C357" s="2" t="s">
        <v>1535</v>
      </c>
      <c r="D357" s="2" t="s">
        <v>109</v>
      </c>
      <c r="E357" s="3" t="n">
        <v>33</v>
      </c>
      <c r="F357" s="2" t="s">
        <v>175</v>
      </c>
      <c r="G357" s="2" t="s">
        <v>145</v>
      </c>
      <c r="H357" s="2" t="s">
        <v>111</v>
      </c>
      <c r="I357" s="4" t="n">
        <v>18000</v>
      </c>
      <c r="J357" s="2" t="s">
        <v>145</v>
      </c>
      <c r="K357" s="3" t="n">
        <v>11</v>
      </c>
      <c r="L357" s="2" t="s">
        <v>429</v>
      </c>
      <c r="M357" s="2" t="s">
        <v>159</v>
      </c>
      <c r="N357" s="2" t="s">
        <v>140</v>
      </c>
      <c r="O357" s="3" t="n">
        <v>0</v>
      </c>
      <c r="P357" s="2" t="s">
        <v>82</v>
      </c>
      <c r="Q357" s="2" t="s">
        <v>83</v>
      </c>
      <c r="R357" s="2" t="s">
        <v>80</v>
      </c>
      <c r="S357" s="2" t="s">
        <v>80</v>
      </c>
      <c r="T357" s="2" t="s">
        <v>1536</v>
      </c>
      <c r="U357" s="2" t="s">
        <v>192</v>
      </c>
      <c r="V357" s="4" t="n">
        <v>200000</v>
      </c>
      <c r="W357" s="5" t="n">
        <v>11.49</v>
      </c>
      <c r="X357" s="3" t="n">
        <v>78</v>
      </c>
      <c r="Y357" s="6" t="n">
        <v>46200</v>
      </c>
      <c r="Z357" s="6" t="n">
        <v>46206</v>
      </c>
      <c r="AA357" s="6" t="n">
        <v>46210</v>
      </c>
      <c r="AB357" s="4" t="n">
        <f aca="false">ROUND(PMT(W357/1200,X357,-V357),2)</f>
        <v>3651.4</v>
      </c>
      <c r="AC357" s="4" t="n">
        <v>291000</v>
      </c>
      <c r="AD357" s="3" t="n">
        <v>0</v>
      </c>
      <c r="AE357" s="4" t="n">
        <v>26300</v>
      </c>
      <c r="AF357" s="4" t="n">
        <v>14600</v>
      </c>
      <c r="AG357" s="3" t="n">
        <v>7</v>
      </c>
      <c r="AH357" s="4"/>
      <c r="AI357" s="3" t="n">
        <v>667</v>
      </c>
      <c r="AJ357" s="7" t="n">
        <f aca="false">ROUND(AB357/I357,4)</f>
        <v>0.2029</v>
      </c>
      <c r="AK357" s="2" t="str">
        <f aca="false">IF(AND(AI357&gt;=750,AJ357&lt;=0.35),"Low",IF(AND(AI357&gt;=600,AJ357&lt;=0.5),"Medium","High"))</f>
        <v>Medium</v>
      </c>
      <c r="AL357" s="3" t="n">
        <v>2</v>
      </c>
      <c r="AM357" s="2" t="s">
        <v>58</v>
      </c>
      <c r="AN357" s="2" t="s">
        <v>119</v>
      </c>
      <c r="AO357" s="2" t="s">
        <v>60</v>
      </c>
      <c r="AP357" s="7" t="n">
        <v>0.326</v>
      </c>
    </row>
    <row r="358" customFormat="false" ht="15" hidden="false" customHeight="false" outlineLevel="0" collapsed="false">
      <c r="A358" s="2" t="s">
        <v>1537</v>
      </c>
      <c r="B358" s="2" t="s">
        <v>1538</v>
      </c>
      <c r="C358" s="2" t="s">
        <v>214</v>
      </c>
      <c r="D358" s="2" t="s">
        <v>45</v>
      </c>
      <c r="E358" s="3" t="n">
        <v>21</v>
      </c>
      <c r="F358" s="2" t="s">
        <v>46</v>
      </c>
      <c r="G358" s="2" t="s">
        <v>176</v>
      </c>
      <c r="H358" s="2" t="s">
        <v>123</v>
      </c>
      <c r="I358" s="4" t="n">
        <v>50000</v>
      </c>
      <c r="J358" s="2" t="s">
        <v>177</v>
      </c>
      <c r="K358" s="3" t="n">
        <v>1</v>
      </c>
      <c r="L358" s="2" t="s">
        <v>51</v>
      </c>
      <c r="M358" s="2" t="s">
        <v>51</v>
      </c>
      <c r="N358" s="2" t="s">
        <v>52</v>
      </c>
      <c r="O358" s="3" t="n">
        <v>0</v>
      </c>
      <c r="P358" s="2" t="s">
        <v>53</v>
      </c>
      <c r="Q358" s="2" t="s">
        <v>54</v>
      </c>
      <c r="R358" s="2" t="s">
        <v>55</v>
      </c>
      <c r="S358" s="2" t="s">
        <v>51</v>
      </c>
      <c r="T358" s="2" t="s">
        <v>1539</v>
      </c>
      <c r="U358" s="2" t="s">
        <v>72</v>
      </c>
      <c r="V358" s="4" t="n">
        <v>488000</v>
      </c>
      <c r="W358" s="5" t="n">
        <v>14.48</v>
      </c>
      <c r="X358" s="3" t="n">
        <v>36</v>
      </c>
      <c r="Y358" s="6" t="n">
        <v>46194</v>
      </c>
      <c r="Z358" s="6"/>
      <c r="AA358" s="6"/>
      <c r="AB358" s="4" t="n">
        <f aca="false">ROUND(PMT(W358/1200,X358,-V358),2)</f>
        <v>16792.68</v>
      </c>
      <c r="AC358" s="4" t="n">
        <v>697000</v>
      </c>
      <c r="AD358" s="3" t="n">
        <v>0</v>
      </c>
      <c r="AE358" s="4" t="n">
        <v>58400</v>
      </c>
      <c r="AF358" s="4" t="n">
        <v>28300</v>
      </c>
      <c r="AG358" s="3" t="n">
        <v>24</v>
      </c>
      <c r="AH358" s="4" t="n">
        <v>25600</v>
      </c>
      <c r="AI358" s="3" t="n">
        <v>747</v>
      </c>
      <c r="AJ358" s="7" t="n">
        <f aca="false">ROUND(AB358/I358,4)</f>
        <v>0.3359</v>
      </c>
      <c r="AK358" s="2" t="str">
        <f aca="false">IF(AND(AI358&gt;=750,AJ358&lt;=0.35),"Low",IF(AND(AI358&gt;=600,AJ358&lt;=0.5),"Medium","High"))</f>
        <v>Medium</v>
      </c>
      <c r="AL358" s="3" t="n">
        <v>1</v>
      </c>
      <c r="AM358" s="2" t="s">
        <v>58</v>
      </c>
      <c r="AN358" s="2"/>
      <c r="AO358" s="2" t="s">
        <v>127</v>
      </c>
      <c r="AP358" s="7" t="n">
        <v>0.141</v>
      </c>
    </row>
    <row r="359" customFormat="false" ht="15" hidden="false" customHeight="false" outlineLevel="0" collapsed="false">
      <c r="A359" s="2" t="s">
        <v>1540</v>
      </c>
      <c r="B359" s="2" t="s">
        <v>1541</v>
      </c>
      <c r="C359" s="2" t="s">
        <v>1542</v>
      </c>
      <c r="D359" s="2" t="s">
        <v>45</v>
      </c>
      <c r="E359" s="3" t="n">
        <v>30</v>
      </c>
      <c r="F359" s="2" t="s">
        <v>64</v>
      </c>
      <c r="G359" s="2" t="s">
        <v>145</v>
      </c>
      <c r="H359" s="2"/>
      <c r="I359" s="4" t="n">
        <v>43500</v>
      </c>
      <c r="J359" s="2" t="s">
        <v>145</v>
      </c>
      <c r="K359" s="3" t="n">
        <v>9</v>
      </c>
      <c r="L359" s="2" t="s">
        <v>653</v>
      </c>
      <c r="M359" s="2" t="s">
        <v>159</v>
      </c>
      <c r="N359" s="2" t="s">
        <v>52</v>
      </c>
      <c r="O359" s="3" t="n">
        <v>1</v>
      </c>
      <c r="P359" s="2" t="s">
        <v>160</v>
      </c>
      <c r="Q359" s="2" t="s">
        <v>161</v>
      </c>
      <c r="R359" s="2" t="s">
        <v>159</v>
      </c>
      <c r="S359" s="2" t="s">
        <v>159</v>
      </c>
      <c r="T359" s="2" t="s">
        <v>1543</v>
      </c>
      <c r="U359" s="2" t="s">
        <v>180</v>
      </c>
      <c r="V359" s="4" t="n">
        <v>644000</v>
      </c>
      <c r="W359" s="5" t="n">
        <v>11.7</v>
      </c>
      <c r="X359" s="3" t="n">
        <v>66</v>
      </c>
      <c r="Y359" s="6" t="n">
        <v>46200</v>
      </c>
      <c r="Z359" s="6"/>
      <c r="AA359" s="6"/>
      <c r="AB359" s="4" t="n">
        <f aca="false">ROUND(PMT(W359/1200,X359,-V359),2)</f>
        <v>13277.38</v>
      </c>
      <c r="AC359" s="4" t="n">
        <v>904000</v>
      </c>
      <c r="AD359" s="3" t="n">
        <v>2</v>
      </c>
      <c r="AE359" s="4" t="n">
        <v>52100</v>
      </c>
      <c r="AF359" s="4" t="n">
        <v>6200</v>
      </c>
      <c r="AG359" s="3" t="n">
        <v>22</v>
      </c>
      <c r="AH359" s="4" t="n">
        <v>35400</v>
      </c>
      <c r="AI359" s="3" t="n">
        <v>607</v>
      </c>
      <c r="AJ359" s="7" t="n">
        <f aca="false">ROUND(AB359/I359,4)</f>
        <v>0.3052</v>
      </c>
      <c r="AK359" s="2" t="str">
        <f aca="false">IF(AND(AI359&gt;=750,AJ359&lt;=0.35),"Low",IF(AND(AI359&gt;=600,AJ359&lt;=0.5),"Medium","High"))</f>
        <v>Medium</v>
      </c>
      <c r="AL359" s="3" t="n">
        <v>4</v>
      </c>
      <c r="AM359" s="2" t="s">
        <v>58</v>
      </c>
      <c r="AN359" s="2"/>
      <c r="AO359" s="2" t="s">
        <v>134</v>
      </c>
      <c r="AP359" s="7" t="n">
        <v>0.307</v>
      </c>
    </row>
    <row r="360" customFormat="false" ht="15" hidden="false" customHeight="false" outlineLevel="0" collapsed="false">
      <c r="A360" s="2" t="s">
        <v>1544</v>
      </c>
      <c r="B360" s="2" t="s">
        <v>1545</v>
      </c>
      <c r="C360" s="2" t="s">
        <v>1546</v>
      </c>
      <c r="D360" s="2" t="s">
        <v>45</v>
      </c>
      <c r="E360" s="3" t="n">
        <v>45</v>
      </c>
      <c r="F360" s="2" t="s">
        <v>64</v>
      </c>
      <c r="G360" s="2" t="s">
        <v>176</v>
      </c>
      <c r="H360" s="2" t="s">
        <v>123</v>
      </c>
      <c r="I360" s="4" t="n">
        <v>51000</v>
      </c>
      <c r="J360" s="2" t="s">
        <v>177</v>
      </c>
      <c r="K360" s="3" t="n">
        <v>24</v>
      </c>
      <c r="L360" s="2" t="s">
        <v>55</v>
      </c>
      <c r="M360" s="2" t="s">
        <v>51</v>
      </c>
      <c r="N360" s="2" t="s">
        <v>140</v>
      </c>
      <c r="O360" s="3" t="n">
        <v>2</v>
      </c>
      <c r="P360" s="2" t="s">
        <v>53</v>
      </c>
      <c r="Q360" s="2" t="s">
        <v>54</v>
      </c>
      <c r="R360" s="2" t="s">
        <v>55</v>
      </c>
      <c r="S360" s="2" t="s">
        <v>51</v>
      </c>
      <c r="T360" s="2" t="s">
        <v>1547</v>
      </c>
      <c r="U360" s="2" t="s">
        <v>192</v>
      </c>
      <c r="V360" s="4" t="n">
        <v>649000</v>
      </c>
      <c r="W360" s="5" t="n">
        <v>12.29</v>
      </c>
      <c r="X360" s="3" t="n">
        <v>78</v>
      </c>
      <c r="Y360" s="6" t="n">
        <v>46185</v>
      </c>
      <c r="Z360" s="6" t="n">
        <v>46195</v>
      </c>
      <c r="AA360" s="6" t="n">
        <v>46196</v>
      </c>
      <c r="AB360" s="4" t="n">
        <f aca="false">ROUND(PMT(W360/1200,X360,-V360),2)</f>
        <v>12122.14</v>
      </c>
      <c r="AC360" s="4" t="n">
        <v>665000</v>
      </c>
      <c r="AD360" s="3" t="n">
        <v>1</v>
      </c>
      <c r="AE360" s="4" t="n">
        <v>135400</v>
      </c>
      <c r="AF360" s="4" t="n">
        <v>16200</v>
      </c>
      <c r="AG360" s="3" t="n">
        <v>8</v>
      </c>
      <c r="AH360" s="4" t="n">
        <v>31700</v>
      </c>
      <c r="AI360" s="3" t="n">
        <v>645</v>
      </c>
      <c r="AJ360" s="7" t="n">
        <f aca="false">ROUND(AB360/I360,4)</f>
        <v>0.2377</v>
      </c>
      <c r="AK360" s="2" t="str">
        <f aca="false">IF(AND(AI360&gt;=750,AJ360&lt;=0.35),"Low",IF(AND(AI360&gt;=600,AJ360&lt;=0.5),"Medium","High"))</f>
        <v>Medium</v>
      </c>
      <c r="AL360" s="3" t="n">
        <v>3</v>
      </c>
      <c r="AM360" s="2" t="s">
        <v>233</v>
      </c>
      <c r="AN360" s="2" t="s">
        <v>59</v>
      </c>
      <c r="AO360" s="2" t="s">
        <v>60</v>
      </c>
      <c r="AP360" s="7" t="n">
        <v>0.429</v>
      </c>
    </row>
    <row r="361" customFormat="false" ht="15" hidden="false" customHeight="false" outlineLevel="0" collapsed="false">
      <c r="A361" s="2" t="s">
        <v>1548</v>
      </c>
      <c r="B361" s="2" t="s">
        <v>1549</v>
      </c>
      <c r="C361" s="2" t="s">
        <v>1550</v>
      </c>
      <c r="D361" s="2" t="s">
        <v>109</v>
      </c>
      <c r="E361" s="3" t="n">
        <v>52</v>
      </c>
      <c r="F361" s="2" t="s">
        <v>64</v>
      </c>
      <c r="G361" s="2" t="s">
        <v>65</v>
      </c>
      <c r="H361" s="2" t="s">
        <v>101</v>
      </c>
      <c r="I361" s="4" t="n">
        <v>77500</v>
      </c>
      <c r="J361" s="2" t="s">
        <v>49</v>
      </c>
      <c r="K361" s="3" t="n">
        <v>24</v>
      </c>
      <c r="L361" s="2" t="s">
        <v>91</v>
      </c>
      <c r="M361" s="2" t="s">
        <v>92</v>
      </c>
      <c r="N361" s="2" t="s">
        <v>52</v>
      </c>
      <c r="O361" s="3" t="n">
        <v>2</v>
      </c>
      <c r="P361" s="2" t="s">
        <v>124</v>
      </c>
      <c r="Q361" s="2" t="s">
        <v>125</v>
      </c>
      <c r="R361" s="2" t="s">
        <v>91</v>
      </c>
      <c r="S361" s="2" t="s">
        <v>92</v>
      </c>
      <c r="T361" s="2" t="s">
        <v>1551</v>
      </c>
      <c r="U361" s="2" t="s">
        <v>72</v>
      </c>
      <c r="V361" s="4" t="n">
        <v>1164000</v>
      </c>
      <c r="W361" s="5" t="n">
        <v>15.87</v>
      </c>
      <c r="X361" s="3" t="n">
        <v>72</v>
      </c>
      <c r="Y361" s="6" t="n">
        <v>46200</v>
      </c>
      <c r="Z361" s="6" t="n">
        <v>46204</v>
      </c>
      <c r="AA361" s="6" t="n">
        <v>46208</v>
      </c>
      <c r="AB361" s="4" t="n">
        <f aca="false">ROUND(PMT(W361/1200,X361,-V361),2)</f>
        <v>25166.06</v>
      </c>
      <c r="AC361" s="4" t="n">
        <v>1556000</v>
      </c>
      <c r="AD361" s="3" t="n">
        <v>0</v>
      </c>
      <c r="AE361" s="4" t="n">
        <v>245800</v>
      </c>
      <c r="AF361" s="4" t="n">
        <v>41400</v>
      </c>
      <c r="AG361" s="3" t="n">
        <v>19</v>
      </c>
      <c r="AH361" s="4" t="n">
        <v>37400</v>
      </c>
      <c r="AI361" s="3" t="n">
        <v>575</v>
      </c>
      <c r="AJ361" s="7" t="n">
        <f aca="false">ROUND(AB361/I361,4)</f>
        <v>0.3247</v>
      </c>
      <c r="AK361" s="2" t="str">
        <f aca="false">IF(AND(AI361&gt;=750,AJ361&lt;=0.35),"Low",IF(AND(AI361&gt;=600,AJ361&lt;=0.5),"Medium","High"))</f>
        <v>High</v>
      </c>
      <c r="AL361" s="3" t="n">
        <v>2</v>
      </c>
      <c r="AM361" s="2" t="s">
        <v>58</v>
      </c>
      <c r="AN361" s="2" t="s">
        <v>59</v>
      </c>
      <c r="AO361" s="2" t="s">
        <v>60</v>
      </c>
      <c r="AP361" s="7" t="n">
        <v>0.37</v>
      </c>
    </row>
    <row r="362" customFormat="false" ht="15" hidden="false" customHeight="false" outlineLevel="0" collapsed="false">
      <c r="A362" s="2" t="s">
        <v>1552</v>
      </c>
      <c r="B362" s="2" t="s">
        <v>1553</v>
      </c>
      <c r="C362" s="2" t="s">
        <v>863</v>
      </c>
      <c r="D362" s="2" t="s">
        <v>45</v>
      </c>
      <c r="E362" s="3" t="n">
        <v>36</v>
      </c>
      <c r="F362" s="2" t="s">
        <v>46</v>
      </c>
      <c r="G362" s="2" t="s">
        <v>246</v>
      </c>
      <c r="H362" s="2"/>
      <c r="I362" s="4" t="n">
        <v>20500</v>
      </c>
      <c r="J362" s="2" t="s">
        <v>145</v>
      </c>
      <c r="K362" s="3" t="n">
        <v>10</v>
      </c>
      <c r="L362" s="2" t="s">
        <v>247</v>
      </c>
      <c r="M362" s="2" t="s">
        <v>80</v>
      </c>
      <c r="N362" s="2" t="s">
        <v>81</v>
      </c>
      <c r="O362" s="3" t="n">
        <v>0</v>
      </c>
      <c r="P362" s="2" t="s">
        <v>82</v>
      </c>
      <c r="Q362" s="2" t="s">
        <v>83</v>
      </c>
      <c r="R362" s="2" t="s">
        <v>80</v>
      </c>
      <c r="S362" s="2" t="s">
        <v>80</v>
      </c>
      <c r="T362" s="2" t="s">
        <v>1554</v>
      </c>
      <c r="U362" s="2" t="s">
        <v>85</v>
      </c>
      <c r="V362" s="4" t="n">
        <v>297000</v>
      </c>
      <c r="W362" s="5" t="n">
        <v>8.78</v>
      </c>
      <c r="X362" s="3" t="n">
        <v>36</v>
      </c>
      <c r="Y362" s="6" t="n">
        <v>46180</v>
      </c>
      <c r="Z362" s="6"/>
      <c r="AA362" s="6"/>
      <c r="AB362" s="4" t="n">
        <f aca="false">ROUND(PMT(W362/1200,X362,-V362),2)</f>
        <v>9414.14</v>
      </c>
      <c r="AC362" s="4" t="n">
        <v>0</v>
      </c>
      <c r="AD362" s="3"/>
      <c r="AE362" s="4" t="n">
        <v>19300</v>
      </c>
      <c r="AF362" s="4" t="n">
        <v>10100</v>
      </c>
      <c r="AG362" s="3" t="n">
        <v>41</v>
      </c>
      <c r="AH362" s="4" t="n">
        <v>12100</v>
      </c>
      <c r="AI362" s="3" t="n">
        <v>669</v>
      </c>
      <c r="AJ362" s="7" t="n">
        <f aca="false">ROUND(AB362/I362,4)</f>
        <v>0.4592</v>
      </c>
      <c r="AK362" s="2" t="str">
        <f aca="false">IF(AND(AI362&gt;=750,AJ362&lt;=0.35),"Low",IF(AND(AI362&gt;=600,AJ362&lt;=0.5),"Medium","High"))</f>
        <v>Medium</v>
      </c>
      <c r="AL362" s="3" t="n">
        <v>4</v>
      </c>
      <c r="AM362" s="2" t="s">
        <v>58</v>
      </c>
      <c r="AN362" s="2"/>
      <c r="AO362" s="2" t="s">
        <v>127</v>
      </c>
      <c r="AP362" s="7" t="n">
        <v>0.254</v>
      </c>
    </row>
    <row r="363" customFormat="false" ht="15" hidden="false" customHeight="false" outlineLevel="0" collapsed="false">
      <c r="A363" s="2" t="s">
        <v>1555</v>
      </c>
      <c r="B363" s="2" t="s">
        <v>1556</v>
      </c>
      <c r="C363" s="2" t="s">
        <v>1557</v>
      </c>
      <c r="D363" s="2" t="s">
        <v>45</v>
      </c>
      <c r="E363" s="3" t="n">
        <v>33</v>
      </c>
      <c r="F363" s="2" t="s">
        <v>64</v>
      </c>
      <c r="G363" s="2" t="s">
        <v>90</v>
      </c>
      <c r="H363" s="2" t="s">
        <v>123</v>
      </c>
      <c r="I363" s="4" t="n">
        <v>37000</v>
      </c>
      <c r="J363" s="2" t="s">
        <v>90</v>
      </c>
      <c r="K363" s="3" t="n">
        <v>13</v>
      </c>
      <c r="L363" s="2" t="s">
        <v>51</v>
      </c>
      <c r="M363" s="2" t="s">
        <v>51</v>
      </c>
      <c r="N363" s="2" t="s">
        <v>140</v>
      </c>
      <c r="O363" s="3" t="n">
        <v>0</v>
      </c>
      <c r="P363" s="2" t="s">
        <v>131</v>
      </c>
      <c r="Q363" s="2" t="s">
        <v>132</v>
      </c>
      <c r="R363" s="2" t="s">
        <v>51</v>
      </c>
      <c r="S363" s="2" t="s">
        <v>51</v>
      </c>
      <c r="T363" s="2" t="s">
        <v>1558</v>
      </c>
      <c r="U363" s="2" t="s">
        <v>180</v>
      </c>
      <c r="V363" s="4" t="n">
        <v>300000</v>
      </c>
      <c r="W363" s="5" t="n">
        <v>12.15</v>
      </c>
      <c r="X363" s="3" t="n">
        <v>60</v>
      </c>
      <c r="Y363" s="6" t="n">
        <v>46195</v>
      </c>
      <c r="Z363" s="6" t="n">
        <v>46204</v>
      </c>
      <c r="AA363" s="6" t="n">
        <v>46205</v>
      </c>
      <c r="AB363" s="4" t="n">
        <f aca="false">ROUND(PMT(W363/1200,X363,-V363),2)</f>
        <v>6696.1</v>
      </c>
      <c r="AC363" s="4" t="n">
        <v>416000</v>
      </c>
      <c r="AD363" s="3" t="n">
        <v>1</v>
      </c>
      <c r="AE363" s="4" t="n">
        <v>126600</v>
      </c>
      <c r="AF363" s="4" t="n">
        <v>66000</v>
      </c>
      <c r="AG363" s="3" t="n">
        <v>28</v>
      </c>
      <c r="AH363" s="4" t="n">
        <v>20100</v>
      </c>
      <c r="AI363" s="3" t="n">
        <v>839</v>
      </c>
      <c r="AJ363" s="7" t="n">
        <f aca="false">ROUND(AB363/I363,4)</f>
        <v>0.181</v>
      </c>
      <c r="AK363" s="2" t="str">
        <f aca="false">IF(AND(AI363&gt;=750,AJ363&lt;=0.35),"Low",IF(AND(AI363&gt;=600,AJ363&lt;=0.5),"Medium","High"))</f>
        <v>Low</v>
      </c>
      <c r="AL363" s="3" t="n">
        <v>0</v>
      </c>
      <c r="AM363" s="2" t="s">
        <v>58</v>
      </c>
      <c r="AN363" s="2" t="s">
        <v>59</v>
      </c>
      <c r="AO363" s="2" t="s">
        <v>60</v>
      </c>
      <c r="AP363" s="7" t="n">
        <v>0.125</v>
      </c>
    </row>
    <row r="364" customFormat="false" ht="15" hidden="false" customHeight="false" outlineLevel="0" collapsed="false">
      <c r="A364" s="2" t="s">
        <v>1559</v>
      </c>
      <c r="B364" s="2" t="s">
        <v>1560</v>
      </c>
      <c r="C364" s="2" t="s">
        <v>893</v>
      </c>
      <c r="D364" s="2" t="s">
        <v>45</v>
      </c>
      <c r="E364" s="3" t="n">
        <v>26</v>
      </c>
      <c r="F364" s="2" t="s">
        <v>64</v>
      </c>
      <c r="G364" s="2" t="s">
        <v>207</v>
      </c>
      <c r="H364" s="2" t="s">
        <v>77</v>
      </c>
      <c r="I364" s="4" t="n">
        <v>17500</v>
      </c>
      <c r="J364" s="2" t="s">
        <v>49</v>
      </c>
      <c r="K364" s="3" t="n">
        <v>3</v>
      </c>
      <c r="L364" s="2" t="s">
        <v>55</v>
      </c>
      <c r="M364" s="2" t="s">
        <v>51</v>
      </c>
      <c r="N364" s="2" t="s">
        <v>102</v>
      </c>
      <c r="O364" s="3" t="n">
        <v>0</v>
      </c>
      <c r="P364" s="2" t="s">
        <v>189</v>
      </c>
      <c r="Q364" s="2" t="s">
        <v>190</v>
      </c>
      <c r="R364" s="2" t="s">
        <v>188</v>
      </c>
      <c r="S364" s="2" t="s">
        <v>51</v>
      </c>
      <c r="T364" s="2" t="s">
        <v>1561</v>
      </c>
      <c r="U364" s="2" t="s">
        <v>118</v>
      </c>
      <c r="V364" s="4" t="n">
        <v>100000</v>
      </c>
      <c r="W364" s="5" t="n">
        <v>9.45</v>
      </c>
      <c r="X364" s="3" t="n">
        <v>12</v>
      </c>
      <c r="Y364" s="6" t="n">
        <v>46182</v>
      </c>
      <c r="Z364" s="6"/>
      <c r="AA364" s="6"/>
      <c r="AB364" s="4" t="n">
        <f aca="false">ROUND(PMT(W364/1200,X364,-V364),2)</f>
        <v>8766.03</v>
      </c>
      <c r="AC364" s="4" t="n">
        <v>0</v>
      </c>
      <c r="AD364" s="3" t="n">
        <v>0</v>
      </c>
      <c r="AE364" s="4" t="n">
        <v>55700</v>
      </c>
      <c r="AF364" s="4" t="n">
        <v>15300</v>
      </c>
      <c r="AG364" s="3" t="n">
        <v>22</v>
      </c>
      <c r="AH364" s="4" t="n">
        <v>10500</v>
      </c>
      <c r="AI364" s="3" t="n">
        <v>667</v>
      </c>
      <c r="AJ364" s="7" t="n">
        <f aca="false">ROUND(AB364/I364,4)</f>
        <v>0.5009</v>
      </c>
      <c r="AK364" s="2" t="str">
        <f aca="false">IF(AND(AI364&gt;=750,AJ364&lt;=0.35),"Low",IF(AND(AI364&gt;=600,AJ364&lt;=0.5),"Medium","High"))</f>
        <v>High</v>
      </c>
      <c r="AL364" s="3" t="n">
        <v>4</v>
      </c>
      <c r="AM364" s="2" t="s">
        <v>58</v>
      </c>
      <c r="AN364" s="2"/>
      <c r="AO364" s="2" t="s">
        <v>127</v>
      </c>
      <c r="AP364" s="7" t="n">
        <v>0.328</v>
      </c>
    </row>
    <row r="365" customFormat="false" ht="15" hidden="false" customHeight="false" outlineLevel="0" collapsed="false">
      <c r="A365" s="2" t="s">
        <v>1562</v>
      </c>
      <c r="B365" s="2" t="s">
        <v>1353</v>
      </c>
      <c r="C365" s="2" t="s">
        <v>1563</v>
      </c>
      <c r="D365" s="2" t="s">
        <v>45</v>
      </c>
      <c r="E365" s="3" t="n">
        <v>29</v>
      </c>
      <c r="F365" s="2" t="s">
        <v>46</v>
      </c>
      <c r="G365" s="2" t="s">
        <v>145</v>
      </c>
      <c r="H365" s="2" t="s">
        <v>48</v>
      </c>
      <c r="I365" s="4" t="n">
        <v>36000</v>
      </c>
      <c r="J365" s="2" t="s">
        <v>145</v>
      </c>
      <c r="K365" s="3" t="n">
        <v>6</v>
      </c>
      <c r="L365" s="2" t="s">
        <v>297</v>
      </c>
      <c r="M365" s="2" t="s">
        <v>92</v>
      </c>
      <c r="N365" s="2" t="s">
        <v>52</v>
      </c>
      <c r="O365" s="3" t="n">
        <v>0</v>
      </c>
      <c r="P365" s="2" t="s">
        <v>93</v>
      </c>
      <c r="Q365" s="2" t="s">
        <v>94</v>
      </c>
      <c r="R365" s="2" t="s">
        <v>95</v>
      </c>
      <c r="S365" s="2" t="s">
        <v>92</v>
      </c>
      <c r="T365" s="2" t="s">
        <v>1564</v>
      </c>
      <c r="U365" s="2" t="s">
        <v>180</v>
      </c>
      <c r="V365" s="4" t="n">
        <v>300000</v>
      </c>
      <c r="W365" s="5" t="n">
        <v>9.81</v>
      </c>
      <c r="X365" s="3" t="n">
        <v>36</v>
      </c>
      <c r="Y365" s="6" t="n">
        <v>46175</v>
      </c>
      <c r="Z365" s="6" t="n">
        <v>46178</v>
      </c>
      <c r="AA365" s="6" t="n">
        <v>46184</v>
      </c>
      <c r="AB365" s="4" t="n">
        <f aca="false">ROUND(PMT(W365/1200,X365,-V365),2)</f>
        <v>9653.42</v>
      </c>
      <c r="AC365" s="4" t="n">
        <v>412000</v>
      </c>
      <c r="AD365" s="3" t="n">
        <v>1</v>
      </c>
      <c r="AE365" s="4" t="n">
        <v>138900</v>
      </c>
      <c r="AF365" s="4" t="n">
        <v>68900</v>
      </c>
      <c r="AG365" s="3" t="n">
        <v>30</v>
      </c>
      <c r="AH365" s="4" t="n">
        <v>28200</v>
      </c>
      <c r="AI365" s="3" t="n">
        <v>701</v>
      </c>
      <c r="AJ365" s="7" t="n">
        <f aca="false">ROUND(AB365/I365,4)</f>
        <v>0.2682</v>
      </c>
      <c r="AK365" s="2" t="str">
        <f aca="false">IF(AND(AI365&gt;=750,AJ365&lt;=0.35),"Low",IF(AND(AI365&gt;=600,AJ365&lt;=0.5),"Medium","High"))</f>
        <v>Medium</v>
      </c>
      <c r="AL365" s="3" t="n">
        <v>1</v>
      </c>
      <c r="AM365" s="2" t="s">
        <v>58</v>
      </c>
      <c r="AN365" s="2" t="s">
        <v>59</v>
      </c>
      <c r="AO365" s="2" t="s">
        <v>60</v>
      </c>
      <c r="AP365" s="7" t="n">
        <v>0.289</v>
      </c>
    </row>
    <row r="366" customFormat="false" ht="15" hidden="false" customHeight="false" outlineLevel="0" collapsed="false">
      <c r="A366" s="2" t="s">
        <v>1565</v>
      </c>
      <c r="B366" s="2" t="s">
        <v>1566</v>
      </c>
      <c r="C366" s="2" t="s">
        <v>1567</v>
      </c>
      <c r="D366" s="2" t="s">
        <v>45</v>
      </c>
      <c r="E366" s="3" t="n">
        <v>31</v>
      </c>
      <c r="F366" s="2" t="s">
        <v>46</v>
      </c>
      <c r="G366" s="2"/>
      <c r="H366" s="2" t="s">
        <v>77</v>
      </c>
      <c r="I366" s="4" t="n">
        <v>30000</v>
      </c>
      <c r="J366" s="2" t="s">
        <v>145</v>
      </c>
      <c r="K366" s="3" t="n">
        <v>8</v>
      </c>
      <c r="L366" s="2" t="s">
        <v>429</v>
      </c>
      <c r="M366" s="2" t="s">
        <v>159</v>
      </c>
      <c r="N366" s="2" t="s">
        <v>52</v>
      </c>
      <c r="O366" s="3" t="n">
        <v>1</v>
      </c>
      <c r="P366" s="2" t="s">
        <v>197</v>
      </c>
      <c r="Q366" s="2" t="s">
        <v>198</v>
      </c>
      <c r="R366" s="2" t="s">
        <v>139</v>
      </c>
      <c r="S366" s="2" t="s">
        <v>139</v>
      </c>
      <c r="T366" s="2" t="s">
        <v>1568</v>
      </c>
      <c r="U366" s="2" t="s">
        <v>180</v>
      </c>
      <c r="V366" s="4" t="n">
        <v>419000</v>
      </c>
      <c r="W366" s="5" t="n">
        <v>10.83</v>
      </c>
      <c r="X366" s="3" t="n">
        <v>36</v>
      </c>
      <c r="Y366" s="6" t="n">
        <v>46197</v>
      </c>
      <c r="Z366" s="6" t="n">
        <v>46202</v>
      </c>
      <c r="AA366" s="6" t="n">
        <v>46207</v>
      </c>
      <c r="AB366" s="4" t="n">
        <f aca="false">ROUND(PMT(W366/1200,X366,-V366),2)</f>
        <v>13683.82</v>
      </c>
      <c r="AC366" s="4" t="n">
        <v>532000</v>
      </c>
      <c r="AD366" s="3" t="n">
        <v>0</v>
      </c>
      <c r="AE366" s="4" t="n">
        <v>56500</v>
      </c>
      <c r="AF366" s="4" t="n">
        <v>23900</v>
      </c>
      <c r="AG366" s="3" t="n">
        <v>37</v>
      </c>
      <c r="AH366" s="4" t="n">
        <v>12600</v>
      </c>
      <c r="AI366" s="3" t="n">
        <v>592</v>
      </c>
      <c r="AJ366" s="7" t="n">
        <f aca="false">ROUND(AB366/I366,4)</f>
        <v>0.4561</v>
      </c>
      <c r="AK366" s="2" t="str">
        <f aca="false">IF(AND(AI366&gt;=750,AJ366&lt;=0.35),"Low",IF(AND(AI366&gt;=600,AJ366&lt;=0.5),"Medium","High"))</f>
        <v>High</v>
      </c>
      <c r="AL366" s="3" t="n">
        <v>3</v>
      </c>
      <c r="AM366" s="2" t="s">
        <v>58</v>
      </c>
      <c r="AN366" s="2" t="s">
        <v>258</v>
      </c>
      <c r="AO366" s="2" t="s">
        <v>86</v>
      </c>
      <c r="AP366" s="7" t="n">
        <v>0.41</v>
      </c>
    </row>
    <row r="367" customFormat="false" ht="15" hidden="false" customHeight="false" outlineLevel="0" collapsed="false">
      <c r="A367" s="2" t="s">
        <v>1569</v>
      </c>
      <c r="B367" s="2" t="s">
        <v>1570</v>
      </c>
      <c r="C367" s="2" t="s">
        <v>1571</v>
      </c>
      <c r="D367" s="2" t="s">
        <v>109</v>
      </c>
      <c r="E367" s="3" t="n">
        <v>36</v>
      </c>
      <c r="F367" s="2" t="s">
        <v>64</v>
      </c>
      <c r="G367" s="2"/>
      <c r="H367" s="2" t="s">
        <v>48</v>
      </c>
      <c r="I367" s="4" t="n">
        <v>60500</v>
      </c>
      <c r="J367" s="2" t="s">
        <v>78</v>
      </c>
      <c r="K367" s="3" t="n">
        <v>16</v>
      </c>
      <c r="L367" s="2" t="s">
        <v>231</v>
      </c>
      <c r="M367" s="2" t="s">
        <v>92</v>
      </c>
      <c r="N367" s="2" t="s">
        <v>140</v>
      </c>
      <c r="O367" s="3" t="n">
        <v>1</v>
      </c>
      <c r="P367" s="2" t="s">
        <v>229</v>
      </c>
      <c r="Q367" s="2" t="s">
        <v>230</v>
      </c>
      <c r="R367" s="2" t="s">
        <v>231</v>
      </c>
      <c r="S367" s="2" t="s">
        <v>92</v>
      </c>
      <c r="T367" s="2" t="s">
        <v>1572</v>
      </c>
      <c r="U367" s="2" t="s">
        <v>192</v>
      </c>
      <c r="V367" s="4" t="n">
        <v>680000</v>
      </c>
      <c r="W367" s="5" t="n">
        <v>13.88</v>
      </c>
      <c r="X367" s="3" t="n">
        <v>48</v>
      </c>
      <c r="Y367" s="6" t="n">
        <v>46192</v>
      </c>
      <c r="Z367" s="6"/>
      <c r="AA367" s="6"/>
      <c r="AB367" s="4" t="n">
        <f aca="false">ROUND(PMT(W367/1200,X367,-V367),2)</f>
        <v>18541.1</v>
      </c>
      <c r="AC367" s="4" t="n">
        <v>847000</v>
      </c>
      <c r="AD367" s="3" t="n">
        <v>0</v>
      </c>
      <c r="AE367" s="4" t="n">
        <v>82500</v>
      </c>
      <c r="AF367" s="4" t="n">
        <v>45400</v>
      </c>
      <c r="AG367" s="3" t="n">
        <v>24</v>
      </c>
      <c r="AH367" s="4" t="n">
        <v>62200</v>
      </c>
      <c r="AI367" s="3" t="n">
        <v>837</v>
      </c>
      <c r="AJ367" s="7" t="n">
        <f aca="false">ROUND(AB367/I367,4)</f>
        <v>0.3065</v>
      </c>
      <c r="AK367" s="2" t="str">
        <f aca="false">IF(AND(AI367&gt;=750,AJ367&lt;=0.35),"Low",IF(AND(AI367&gt;=600,AJ367&lt;=0.5),"Medium","High"))</f>
        <v>Low</v>
      </c>
      <c r="AL367" s="3" t="n">
        <v>0</v>
      </c>
      <c r="AM367" s="2" t="s">
        <v>58</v>
      </c>
      <c r="AN367" s="2"/>
      <c r="AO367" s="2" t="s">
        <v>134</v>
      </c>
      <c r="AP367" s="7" t="n">
        <v>0.106</v>
      </c>
    </row>
    <row r="368" customFormat="false" ht="15" hidden="false" customHeight="false" outlineLevel="0" collapsed="false">
      <c r="A368" s="2" t="s">
        <v>1573</v>
      </c>
      <c r="B368" s="2" t="s">
        <v>1574</v>
      </c>
      <c r="C368" s="2" t="s">
        <v>1258</v>
      </c>
      <c r="D368" s="2" t="s">
        <v>45</v>
      </c>
      <c r="E368" s="3" t="n">
        <v>38</v>
      </c>
      <c r="F368" s="2" t="s">
        <v>175</v>
      </c>
      <c r="G368" s="2" t="s">
        <v>246</v>
      </c>
      <c r="H368" s="2" t="s">
        <v>111</v>
      </c>
      <c r="I368" s="4" t="n">
        <v>16500</v>
      </c>
      <c r="J368" s="2" t="s">
        <v>145</v>
      </c>
      <c r="K368" s="3" t="n">
        <v>15</v>
      </c>
      <c r="L368" s="2" t="s">
        <v>504</v>
      </c>
      <c r="M368" s="2" t="s">
        <v>51</v>
      </c>
      <c r="N368" s="2" t="s">
        <v>140</v>
      </c>
      <c r="O368" s="3" t="n">
        <v>1</v>
      </c>
      <c r="P368" s="2" t="s">
        <v>131</v>
      </c>
      <c r="Q368" s="2" t="s">
        <v>132</v>
      </c>
      <c r="R368" s="2" t="s">
        <v>51</v>
      </c>
      <c r="S368" s="2" t="s">
        <v>51</v>
      </c>
      <c r="T368" s="2" t="s">
        <v>1575</v>
      </c>
      <c r="U368" s="2" t="s">
        <v>85</v>
      </c>
      <c r="V368" s="4" t="n">
        <v>97000</v>
      </c>
      <c r="W368" s="5" t="n">
        <v>8.11</v>
      </c>
      <c r="X368" s="3" t="n">
        <v>18</v>
      </c>
      <c r="Y368" s="6" t="n">
        <v>46197</v>
      </c>
      <c r="Z368" s="6"/>
      <c r="AA368" s="6"/>
      <c r="AB368" s="4" t="n">
        <f aca="false">ROUND(PMT(W368/1200,X368,-V368),2)</f>
        <v>5741.48</v>
      </c>
      <c r="AC368" s="4" t="n">
        <v>0</v>
      </c>
      <c r="AD368" s="3" t="n">
        <v>0</v>
      </c>
      <c r="AE368" s="4"/>
      <c r="AF368" s="4" t="n">
        <v>4400</v>
      </c>
      <c r="AG368" s="3" t="n">
        <v>12</v>
      </c>
      <c r="AH368" s="4" t="n">
        <v>7400</v>
      </c>
      <c r="AI368" s="3" t="n">
        <v>675</v>
      </c>
      <c r="AJ368" s="7" t="n">
        <f aca="false">ROUND(AB368/I368,4)</f>
        <v>0.348</v>
      </c>
      <c r="AK368" s="2" t="str">
        <f aca="false">IF(AND(AI368&gt;=750,AJ368&lt;=0.35),"Low",IF(AND(AI368&gt;=600,AJ368&lt;=0.5),"Medium","High"))</f>
        <v>Medium</v>
      </c>
      <c r="AL368" s="3" t="n">
        <v>1</v>
      </c>
      <c r="AM368" s="2" t="s">
        <v>58</v>
      </c>
      <c r="AN368" s="2"/>
      <c r="AO368" s="2" t="s">
        <v>134</v>
      </c>
      <c r="AP368" s="7" t="n">
        <v>0.34</v>
      </c>
    </row>
    <row r="369" customFormat="false" ht="15" hidden="false" customHeight="false" outlineLevel="0" collapsed="false">
      <c r="A369" s="2" t="s">
        <v>1576</v>
      </c>
      <c r="B369" s="2" t="s">
        <v>1577</v>
      </c>
      <c r="C369" s="2" t="s">
        <v>1578</v>
      </c>
      <c r="D369" s="2" t="s">
        <v>109</v>
      </c>
      <c r="E369" s="3" t="n">
        <v>58</v>
      </c>
      <c r="F369" s="2" t="s">
        <v>46</v>
      </c>
      <c r="G369" s="2" t="s">
        <v>47</v>
      </c>
      <c r="H369" s="2" t="s">
        <v>48</v>
      </c>
      <c r="I369" s="4" t="n">
        <v>158500</v>
      </c>
      <c r="J369" s="2" t="s">
        <v>49</v>
      </c>
      <c r="K369" s="3" t="n">
        <v>32</v>
      </c>
      <c r="L369" s="2" t="s">
        <v>168</v>
      </c>
      <c r="M369" s="2" t="s">
        <v>92</v>
      </c>
      <c r="N369" s="2" t="s">
        <v>52</v>
      </c>
      <c r="O369" s="3" t="n">
        <v>0</v>
      </c>
      <c r="P369" s="2" t="s">
        <v>124</v>
      </c>
      <c r="Q369" s="2" t="s">
        <v>125</v>
      </c>
      <c r="R369" s="2" t="s">
        <v>91</v>
      </c>
      <c r="S369" s="2" t="s">
        <v>92</v>
      </c>
      <c r="T369" s="2" t="s">
        <v>1579</v>
      </c>
      <c r="U369" s="2" t="s">
        <v>85</v>
      </c>
      <c r="V369" s="4" t="n">
        <v>800000</v>
      </c>
      <c r="W369" s="5" t="n">
        <v>9.43</v>
      </c>
      <c r="X369" s="3" t="n">
        <v>24</v>
      </c>
      <c r="Y369" s="6" t="n">
        <v>46176</v>
      </c>
      <c r="Z369" s="6" t="n">
        <v>46180</v>
      </c>
      <c r="AA369" s="6" t="n">
        <v>46182</v>
      </c>
      <c r="AB369" s="4" t="n">
        <f aca="false">ROUND(PMT(W369/1200,X369,-V369),2)</f>
        <v>36705.83</v>
      </c>
      <c r="AC369" s="4" t="n">
        <v>0</v>
      </c>
      <c r="AD369" s="3" t="n">
        <v>1</v>
      </c>
      <c r="AE369" s="4" t="n">
        <v>129700</v>
      </c>
      <c r="AF369" s="4" t="n">
        <v>72800</v>
      </c>
      <c r="AG369" s="3" t="n">
        <v>24</v>
      </c>
      <c r="AH369" s="4" t="n">
        <v>135000</v>
      </c>
      <c r="AI369" s="3" t="n">
        <v>711</v>
      </c>
      <c r="AJ369" s="7" t="n">
        <f aca="false">ROUND(AB369/I369,4)</f>
        <v>0.2316</v>
      </c>
      <c r="AK369" s="2" t="str">
        <f aca="false">IF(AND(AI369&gt;=750,AJ369&lt;=0.35),"Low",IF(AND(AI369&gt;=600,AJ369&lt;=0.5),"Medium","High"))</f>
        <v>Medium</v>
      </c>
      <c r="AL369" s="3" t="n">
        <v>2</v>
      </c>
      <c r="AM369" s="2" t="s">
        <v>58</v>
      </c>
      <c r="AN369" s="2" t="s">
        <v>59</v>
      </c>
      <c r="AO369" s="2" t="s">
        <v>60</v>
      </c>
      <c r="AP369" s="7" t="n">
        <v>0.22</v>
      </c>
    </row>
    <row r="370" customFormat="false" ht="15" hidden="false" customHeight="false" outlineLevel="0" collapsed="false">
      <c r="A370" s="2" t="s">
        <v>1580</v>
      </c>
      <c r="B370" s="2" t="s">
        <v>1581</v>
      </c>
      <c r="C370" s="2" t="s">
        <v>1582</v>
      </c>
      <c r="D370" s="2" t="s">
        <v>109</v>
      </c>
      <c r="E370" s="3" t="n">
        <v>34</v>
      </c>
      <c r="F370" s="2" t="s">
        <v>64</v>
      </c>
      <c r="G370" s="2" t="s">
        <v>76</v>
      </c>
      <c r="H370" s="2" t="s">
        <v>48</v>
      </c>
      <c r="I370" s="4" t="n">
        <v>34000</v>
      </c>
      <c r="J370" s="2" t="s">
        <v>78</v>
      </c>
      <c r="K370" s="3" t="n">
        <v>7</v>
      </c>
      <c r="L370" s="2" t="s">
        <v>220</v>
      </c>
      <c r="M370" s="2" t="s">
        <v>51</v>
      </c>
      <c r="N370" s="2" t="s">
        <v>140</v>
      </c>
      <c r="O370" s="3" t="n">
        <v>2</v>
      </c>
      <c r="P370" s="2" t="s">
        <v>131</v>
      </c>
      <c r="Q370" s="2" t="s">
        <v>132</v>
      </c>
      <c r="R370" s="2" t="s">
        <v>51</v>
      </c>
      <c r="S370" s="2" t="s">
        <v>51</v>
      </c>
      <c r="T370" s="2" t="s">
        <v>1583</v>
      </c>
      <c r="U370" s="2" t="s">
        <v>72</v>
      </c>
      <c r="V370" s="4" t="n">
        <v>378000</v>
      </c>
      <c r="W370" s="5" t="n">
        <v>11.97</v>
      </c>
      <c r="X370" s="3" t="n">
        <v>30</v>
      </c>
      <c r="Y370" s="6" t="n">
        <v>46192</v>
      </c>
      <c r="Z370" s="6"/>
      <c r="AA370" s="6"/>
      <c r="AB370" s="4" t="n">
        <f aca="false">ROUND(PMT(W370/1200,X370,-V370),2)</f>
        <v>14641.44</v>
      </c>
      <c r="AC370" s="4" t="n">
        <v>545000</v>
      </c>
      <c r="AD370" s="3" t="n">
        <v>0</v>
      </c>
      <c r="AE370" s="4" t="n">
        <v>126300</v>
      </c>
      <c r="AF370" s="4" t="n">
        <v>38400</v>
      </c>
      <c r="AG370" s="3" t="n">
        <v>19</v>
      </c>
      <c r="AH370" s="4" t="n">
        <v>15400</v>
      </c>
      <c r="AI370" s="3" t="n">
        <v>570</v>
      </c>
      <c r="AJ370" s="7" t="n">
        <f aca="false">ROUND(AB370/I370,4)</f>
        <v>0.4306</v>
      </c>
      <c r="AK370" s="2" t="str">
        <f aca="false">IF(AND(AI370&gt;=750,AJ370&lt;=0.35),"Low",IF(AND(AI370&gt;=600,AJ370&lt;=0.5),"Medium","High"))</f>
        <v>High</v>
      </c>
      <c r="AL370" s="3" t="n">
        <v>0</v>
      </c>
      <c r="AM370" s="2" t="s">
        <v>58</v>
      </c>
      <c r="AN370" s="2"/>
      <c r="AO370" s="2" t="s">
        <v>127</v>
      </c>
      <c r="AP370" s="7" t="n">
        <v>0.407</v>
      </c>
    </row>
    <row r="371" customFormat="false" ht="15" hidden="false" customHeight="false" outlineLevel="0" collapsed="false">
      <c r="A371" s="2" t="s">
        <v>1584</v>
      </c>
      <c r="B371" s="2" t="s">
        <v>1585</v>
      </c>
      <c r="C371" s="2" t="s">
        <v>1586</v>
      </c>
      <c r="D371" s="2" t="s">
        <v>45</v>
      </c>
      <c r="E371" s="3" t="n">
        <v>47</v>
      </c>
      <c r="F371" s="2" t="s">
        <v>64</v>
      </c>
      <c r="G371" s="2" t="s">
        <v>166</v>
      </c>
      <c r="H371" s="2" t="s">
        <v>48</v>
      </c>
      <c r="I371" s="4" t="n">
        <v>150500</v>
      </c>
      <c r="J371" s="2" t="s">
        <v>145</v>
      </c>
      <c r="K371" s="3" t="n">
        <v>24</v>
      </c>
      <c r="L371" s="2" t="s">
        <v>231</v>
      </c>
      <c r="M371" s="2" t="s">
        <v>92</v>
      </c>
      <c r="N371" s="2" t="s">
        <v>140</v>
      </c>
      <c r="O371" s="3" t="n">
        <v>1</v>
      </c>
      <c r="P371" s="2" t="s">
        <v>93</v>
      </c>
      <c r="Q371" s="2" t="s">
        <v>94</v>
      </c>
      <c r="R371" s="2" t="s">
        <v>95</v>
      </c>
      <c r="S371" s="2" t="s">
        <v>92</v>
      </c>
      <c r="T371" s="2" t="s">
        <v>1587</v>
      </c>
      <c r="U371" s="2" t="s">
        <v>192</v>
      </c>
      <c r="V371" s="4" t="n">
        <v>794000</v>
      </c>
      <c r="W371" s="5" t="n">
        <v>12.11</v>
      </c>
      <c r="X371" s="3" t="n">
        <v>18</v>
      </c>
      <c r="Y371" s="6" t="n">
        <v>46188</v>
      </c>
      <c r="Z371" s="6" t="n">
        <v>46196</v>
      </c>
      <c r="AA371" s="6" t="n">
        <v>46199</v>
      </c>
      <c r="AB371" s="4" t="n">
        <f aca="false">ROUND(PMT(W371/1200,X371,-V371),2)</f>
        <v>48460.33</v>
      </c>
      <c r="AC371" s="4" t="n">
        <v>904000</v>
      </c>
      <c r="AD371" s="3" t="n">
        <v>1</v>
      </c>
      <c r="AE371" s="4" t="n">
        <v>224100</v>
      </c>
      <c r="AF371" s="4" t="n">
        <v>74100</v>
      </c>
      <c r="AG371" s="3" t="n">
        <v>25</v>
      </c>
      <c r="AH371" s="4" t="n">
        <v>126000</v>
      </c>
      <c r="AI371" s="3" t="n">
        <v>829</v>
      </c>
      <c r="AJ371" s="7" t="n">
        <f aca="false">ROUND(AB371/I371,4)</f>
        <v>0.322</v>
      </c>
      <c r="AK371" s="2" t="str">
        <f aca="false">IF(AND(AI371&gt;=750,AJ371&lt;=0.35),"Low",IF(AND(AI371&gt;=600,AJ371&lt;=0.5),"Medium","High"))</f>
        <v>Low</v>
      </c>
      <c r="AL371" s="3" t="n">
        <v>0</v>
      </c>
      <c r="AM371" s="2" t="s">
        <v>58</v>
      </c>
      <c r="AN371" s="2" t="s">
        <v>59</v>
      </c>
      <c r="AO371" s="2" t="s">
        <v>60</v>
      </c>
      <c r="AP371" s="7" t="n">
        <v>0.121</v>
      </c>
    </row>
    <row r="372" customFormat="false" ht="15" hidden="false" customHeight="false" outlineLevel="0" collapsed="false">
      <c r="A372" s="2" t="s">
        <v>1588</v>
      </c>
      <c r="B372" s="2" t="s">
        <v>1589</v>
      </c>
      <c r="C372" s="2" t="s">
        <v>1590</v>
      </c>
      <c r="D372" s="2" t="s">
        <v>45</v>
      </c>
      <c r="E372" s="3" t="n">
        <v>37</v>
      </c>
      <c r="F372" s="2" t="s">
        <v>64</v>
      </c>
      <c r="G372" s="2" t="s">
        <v>207</v>
      </c>
      <c r="H372" s="2" t="s">
        <v>48</v>
      </c>
      <c r="I372" s="4" t="n">
        <v>38000</v>
      </c>
      <c r="J372" s="2" t="s">
        <v>49</v>
      </c>
      <c r="K372" s="3" t="n">
        <v>13</v>
      </c>
      <c r="L372" s="2" t="s">
        <v>297</v>
      </c>
      <c r="M372" s="2" t="s">
        <v>92</v>
      </c>
      <c r="N372" s="2" t="s">
        <v>140</v>
      </c>
      <c r="O372" s="3" t="n">
        <v>4</v>
      </c>
      <c r="P372" s="2" t="s">
        <v>229</v>
      </c>
      <c r="Q372" s="2" t="s">
        <v>230</v>
      </c>
      <c r="R372" s="2" t="s">
        <v>231</v>
      </c>
      <c r="S372" s="2" t="s">
        <v>92</v>
      </c>
      <c r="T372" s="2" t="s">
        <v>1591</v>
      </c>
      <c r="U372" s="2" t="s">
        <v>72</v>
      </c>
      <c r="V372" s="4" t="n">
        <v>667000</v>
      </c>
      <c r="W372" s="5" t="n">
        <v>13.88</v>
      </c>
      <c r="X372" s="3" t="n">
        <v>54</v>
      </c>
      <c r="Y372" s="6" t="n">
        <v>46185</v>
      </c>
      <c r="Z372" s="6" t="n">
        <v>46187</v>
      </c>
      <c r="AA372" s="6" t="n">
        <v>46192</v>
      </c>
      <c r="AB372" s="4" t="n">
        <f aca="false">ROUND(PMT(W372/1200,X372,-V372),2)</f>
        <v>16677.35</v>
      </c>
      <c r="AC372" s="4" t="n">
        <v>924000</v>
      </c>
      <c r="AD372" s="3" t="n">
        <v>1</v>
      </c>
      <c r="AE372" s="4" t="n">
        <v>128400</v>
      </c>
      <c r="AF372" s="4" t="n">
        <v>46100</v>
      </c>
      <c r="AG372" s="3" t="n">
        <v>35</v>
      </c>
      <c r="AH372" s="4" t="n">
        <v>25400</v>
      </c>
      <c r="AI372" s="3" t="n">
        <v>636</v>
      </c>
      <c r="AJ372" s="7" t="n">
        <f aca="false">ROUND(AB372/I372,4)</f>
        <v>0.4389</v>
      </c>
      <c r="AK372" s="2" t="str">
        <f aca="false">IF(AND(AI372&gt;=750,AJ372&lt;=0.35),"Low",IF(AND(AI372&gt;=600,AJ372&lt;=0.5),"Medium","High"))</f>
        <v>Medium</v>
      </c>
      <c r="AL372" s="3" t="n">
        <v>3</v>
      </c>
      <c r="AM372" s="2" t="s">
        <v>58</v>
      </c>
      <c r="AN372" s="2" t="s">
        <v>59</v>
      </c>
      <c r="AO372" s="2" t="s">
        <v>60</v>
      </c>
      <c r="AP372" s="7" t="n">
        <v>0.312</v>
      </c>
    </row>
    <row r="373" customFormat="false" ht="15" hidden="false" customHeight="false" outlineLevel="0" collapsed="false">
      <c r="A373" s="2" t="s">
        <v>1592</v>
      </c>
      <c r="B373" s="2" t="s">
        <v>1593</v>
      </c>
      <c r="C373" s="2" t="s">
        <v>1594</v>
      </c>
      <c r="D373" s="2" t="s">
        <v>109</v>
      </c>
      <c r="E373" s="3" t="n">
        <v>46</v>
      </c>
      <c r="F373" s="2" t="s">
        <v>64</v>
      </c>
      <c r="G373" s="2" t="s">
        <v>246</v>
      </c>
      <c r="H373" s="2" t="s">
        <v>77</v>
      </c>
      <c r="I373" s="4" t="n">
        <v>12500</v>
      </c>
      <c r="J373" s="2" t="s">
        <v>145</v>
      </c>
      <c r="K373" s="3" t="n">
        <v>19</v>
      </c>
      <c r="L373" s="2" t="s">
        <v>91</v>
      </c>
      <c r="M373" s="2" t="s">
        <v>92</v>
      </c>
      <c r="N373" s="2" t="s">
        <v>52</v>
      </c>
      <c r="O373" s="3" t="n">
        <v>2</v>
      </c>
      <c r="P373" s="2" t="s">
        <v>124</v>
      </c>
      <c r="Q373" s="2" t="s">
        <v>125</v>
      </c>
      <c r="R373" s="2" t="s">
        <v>91</v>
      </c>
      <c r="S373" s="2" t="s">
        <v>92</v>
      </c>
      <c r="T373" s="2" t="s">
        <v>1595</v>
      </c>
      <c r="U373" s="2" t="s">
        <v>85</v>
      </c>
      <c r="V373" s="4" t="n">
        <v>154000</v>
      </c>
      <c r="W373" s="5" t="n">
        <v>8.98</v>
      </c>
      <c r="X373" s="3" t="n">
        <v>30</v>
      </c>
      <c r="Y373" s="6" t="n">
        <v>46180</v>
      </c>
      <c r="Z373" s="6" t="n">
        <v>46190</v>
      </c>
      <c r="AA373" s="6" t="n">
        <v>46193</v>
      </c>
      <c r="AB373" s="4" t="n">
        <f aca="false">ROUND(PMT(W373/1200,X373,-V373),2)</f>
        <v>5750.2</v>
      </c>
      <c r="AC373" s="4" t="n">
        <v>0</v>
      </c>
      <c r="AD373" s="3" t="n">
        <v>2</v>
      </c>
      <c r="AE373" s="4" t="n">
        <v>10500</v>
      </c>
      <c r="AF373" s="4" t="n">
        <v>3500</v>
      </c>
      <c r="AG373" s="3" t="n">
        <v>18</v>
      </c>
      <c r="AH373" s="4" t="n">
        <v>13700</v>
      </c>
      <c r="AI373" s="3" t="n">
        <v>686</v>
      </c>
      <c r="AJ373" s="7" t="n">
        <f aca="false">ROUND(AB373/I373,4)</f>
        <v>0.46</v>
      </c>
      <c r="AK373" s="2" t="str">
        <f aca="false">IF(AND(AI373&gt;=750,AJ373&lt;=0.35),"Low",IF(AND(AI373&gt;=600,AJ373&lt;=0.5),"Medium","High"))</f>
        <v>Medium</v>
      </c>
      <c r="AL373" s="3" t="n">
        <v>1</v>
      </c>
      <c r="AM373" s="2" t="s">
        <v>58</v>
      </c>
      <c r="AN373" s="2" t="s">
        <v>119</v>
      </c>
      <c r="AO373" s="2" t="s">
        <v>60</v>
      </c>
      <c r="AP373" s="7" t="n">
        <v>0.306</v>
      </c>
    </row>
    <row r="374" customFormat="false" ht="15" hidden="false" customHeight="false" outlineLevel="0" collapsed="false">
      <c r="A374" s="2" t="s">
        <v>1596</v>
      </c>
      <c r="B374" s="2" t="s">
        <v>1597</v>
      </c>
      <c r="C374" s="2" t="s">
        <v>1598</v>
      </c>
      <c r="D374" s="2" t="s">
        <v>109</v>
      </c>
      <c r="E374" s="3" t="n">
        <v>30</v>
      </c>
      <c r="F374" s="2" t="s">
        <v>64</v>
      </c>
      <c r="G374" s="2" t="s">
        <v>47</v>
      </c>
      <c r="H374" s="2" t="s">
        <v>101</v>
      </c>
      <c r="I374" s="4" t="n">
        <v>130000</v>
      </c>
      <c r="J374" s="2" t="s">
        <v>49</v>
      </c>
      <c r="K374" s="3" t="n">
        <v>6</v>
      </c>
      <c r="L374" s="2" t="s">
        <v>92</v>
      </c>
      <c r="M374" s="2" t="s">
        <v>92</v>
      </c>
      <c r="N374" s="2" t="s">
        <v>140</v>
      </c>
      <c r="O374" s="3" t="n">
        <v>1</v>
      </c>
      <c r="P374" s="2" t="s">
        <v>169</v>
      </c>
      <c r="Q374" s="2" t="s">
        <v>170</v>
      </c>
      <c r="R374" s="2" t="s">
        <v>92</v>
      </c>
      <c r="S374" s="2" t="s">
        <v>92</v>
      </c>
      <c r="T374" s="2" t="s">
        <v>1599</v>
      </c>
      <c r="U374" s="2" t="s">
        <v>85</v>
      </c>
      <c r="V374" s="4" t="n">
        <v>800000</v>
      </c>
      <c r="W374" s="5" t="n">
        <v>10.03</v>
      </c>
      <c r="X374" s="3" t="n">
        <v>24</v>
      </c>
      <c r="Y374" s="6" t="n">
        <v>46199</v>
      </c>
      <c r="Z374" s="6" t="n">
        <v>46202</v>
      </c>
      <c r="AA374" s="6" t="n">
        <v>46204</v>
      </c>
      <c r="AB374" s="4" t="n">
        <f aca="false">ROUND(PMT(W374/1200,X374,-V374),2)</f>
        <v>36927.02</v>
      </c>
      <c r="AC374" s="4" t="n">
        <v>0</v>
      </c>
      <c r="AD374" s="3" t="n">
        <v>0</v>
      </c>
      <c r="AE374" s="4" t="n">
        <v>340300</v>
      </c>
      <c r="AF374" s="4" t="n">
        <v>129300</v>
      </c>
      <c r="AG374" s="3"/>
      <c r="AH374" s="4" t="n">
        <v>89600</v>
      </c>
      <c r="AI374" s="3" t="n">
        <v>794</v>
      </c>
      <c r="AJ374" s="7" t="n">
        <f aca="false">ROUND(AB374/I374,4)</f>
        <v>0.2841</v>
      </c>
      <c r="AK374" s="2" t="str">
        <f aca="false">IF(AND(AI374&gt;=750,AJ374&lt;=0.35),"Low",IF(AND(AI374&gt;=600,AJ374&lt;=0.5),"Medium","High"))</f>
        <v>Low</v>
      </c>
      <c r="AL374" s="3" t="n">
        <v>0</v>
      </c>
      <c r="AM374" s="2" t="s">
        <v>58</v>
      </c>
      <c r="AN374" s="2" t="s">
        <v>59</v>
      </c>
      <c r="AO374" s="2" t="s">
        <v>60</v>
      </c>
      <c r="AP374" s="7" t="n">
        <v>0.139</v>
      </c>
    </row>
    <row r="375" customFormat="false" ht="15" hidden="false" customHeight="false" outlineLevel="0" collapsed="false">
      <c r="A375" s="2" t="s">
        <v>1600</v>
      </c>
      <c r="B375" s="2" t="s">
        <v>523</v>
      </c>
      <c r="C375" s="2" t="s">
        <v>1601</v>
      </c>
      <c r="D375" s="2" t="s">
        <v>109</v>
      </c>
      <c r="E375" s="3" t="n">
        <v>23</v>
      </c>
      <c r="F375" s="2" t="s">
        <v>64</v>
      </c>
      <c r="G375" s="2" t="s">
        <v>154</v>
      </c>
      <c r="H375" s="2" t="s">
        <v>77</v>
      </c>
      <c r="I375" s="4" t="n">
        <v>28000</v>
      </c>
      <c r="J375" s="2" t="s">
        <v>145</v>
      </c>
      <c r="K375" s="3" t="n">
        <v>2</v>
      </c>
      <c r="L375" s="2" t="s">
        <v>95</v>
      </c>
      <c r="M375" s="2" t="s">
        <v>92</v>
      </c>
      <c r="N375" s="2" t="s">
        <v>81</v>
      </c>
      <c r="O375" s="3" t="n">
        <v>2</v>
      </c>
      <c r="P375" s="2" t="s">
        <v>124</v>
      </c>
      <c r="Q375" s="2" t="s">
        <v>125</v>
      </c>
      <c r="R375" s="2" t="s">
        <v>91</v>
      </c>
      <c r="S375" s="2" t="s">
        <v>92</v>
      </c>
      <c r="T375" s="2" t="s">
        <v>1602</v>
      </c>
      <c r="U375" s="2" t="s">
        <v>57</v>
      </c>
      <c r="V375" s="4" t="n">
        <v>800000</v>
      </c>
      <c r="W375" s="5" t="n">
        <v>11.35</v>
      </c>
      <c r="X375" s="3" t="n">
        <v>102</v>
      </c>
      <c r="Y375" s="6" t="n">
        <v>46177</v>
      </c>
      <c r="Z375" s="6" t="n">
        <v>46180</v>
      </c>
      <c r="AA375" s="6" t="n">
        <v>46186</v>
      </c>
      <c r="AB375" s="4" t="n">
        <f aca="false">ROUND(PMT(W375/1200,X375,-V375),2)</f>
        <v>12259.87</v>
      </c>
      <c r="AC375" s="4" t="n">
        <v>901000</v>
      </c>
      <c r="AD375" s="3" t="n">
        <v>3</v>
      </c>
      <c r="AE375" s="4" t="n">
        <v>91900</v>
      </c>
      <c r="AF375" s="4" t="n">
        <v>30200</v>
      </c>
      <c r="AG375" s="3" t="n">
        <v>8</v>
      </c>
      <c r="AH375" s="4" t="n">
        <v>12200</v>
      </c>
      <c r="AI375" s="3" t="n">
        <v>682</v>
      </c>
      <c r="AJ375" s="7" t="n">
        <f aca="false">ROUND(AB375/I375,4)</f>
        <v>0.4379</v>
      </c>
      <c r="AK375" s="2" t="str">
        <f aca="false">IF(AND(AI375&gt;=750,AJ375&lt;=0.35),"Low",IF(AND(AI375&gt;=600,AJ375&lt;=0.5),"Medium","High"))</f>
        <v>Medium</v>
      </c>
      <c r="AL375" s="3" t="n">
        <v>0</v>
      </c>
      <c r="AM375" s="2" t="s">
        <v>58</v>
      </c>
      <c r="AN375" s="2" t="s">
        <v>119</v>
      </c>
      <c r="AO375" s="2" t="s">
        <v>60</v>
      </c>
      <c r="AP375" s="7" t="n">
        <v>0.171</v>
      </c>
    </row>
    <row r="376" customFormat="false" ht="15" hidden="false" customHeight="false" outlineLevel="0" collapsed="false">
      <c r="A376" s="2" t="s">
        <v>1603</v>
      </c>
      <c r="B376" s="2" t="s">
        <v>1604</v>
      </c>
      <c r="C376" s="2" t="s">
        <v>1416</v>
      </c>
      <c r="D376" s="2" t="s">
        <v>109</v>
      </c>
      <c r="E376" s="3" t="n">
        <v>38</v>
      </c>
      <c r="F376" s="2" t="s">
        <v>64</v>
      </c>
      <c r="G376" s="2" t="s">
        <v>76</v>
      </c>
      <c r="H376" s="2" t="s">
        <v>101</v>
      </c>
      <c r="I376" s="4" t="n">
        <v>34000</v>
      </c>
      <c r="J376" s="2" t="s">
        <v>78</v>
      </c>
      <c r="K376" s="3" t="n">
        <v>11</v>
      </c>
      <c r="L376" s="2" t="s">
        <v>95</v>
      </c>
      <c r="M376" s="2" t="s">
        <v>92</v>
      </c>
      <c r="N376" s="2" t="s">
        <v>81</v>
      </c>
      <c r="O376" s="3" t="n">
        <v>0</v>
      </c>
      <c r="P376" s="2" t="s">
        <v>93</v>
      </c>
      <c r="Q376" s="2" t="s">
        <v>94</v>
      </c>
      <c r="R376" s="2" t="s">
        <v>95</v>
      </c>
      <c r="S376" s="2" t="s">
        <v>92</v>
      </c>
      <c r="T376" s="2" t="s">
        <v>1605</v>
      </c>
      <c r="U376" s="2" t="s">
        <v>192</v>
      </c>
      <c r="V376" s="4" t="n">
        <v>357000</v>
      </c>
      <c r="W376" s="5" t="n">
        <v>10.95</v>
      </c>
      <c r="X376" s="3" t="n">
        <v>36</v>
      </c>
      <c r="Y376" s="6" t="n">
        <v>46191</v>
      </c>
      <c r="Z376" s="6"/>
      <c r="AA376" s="6"/>
      <c r="AB376" s="4" t="n">
        <f aca="false">ROUND(PMT(W376/1200,X376,-V376),2)</f>
        <v>11679.27</v>
      </c>
      <c r="AC376" s="4" t="n">
        <v>517000</v>
      </c>
      <c r="AD376" s="3" t="n">
        <v>1</v>
      </c>
      <c r="AE376" s="4"/>
      <c r="AF376" s="4" t="n">
        <v>8600</v>
      </c>
      <c r="AG376" s="3" t="n">
        <v>27</v>
      </c>
      <c r="AH376" s="4" t="n">
        <v>25000</v>
      </c>
      <c r="AI376" s="3" t="n">
        <v>731</v>
      </c>
      <c r="AJ376" s="7" t="n">
        <f aca="false">ROUND(AB376/I376,4)</f>
        <v>0.3435</v>
      </c>
      <c r="AK376" s="2" t="str">
        <f aca="false">IF(AND(AI376&gt;=750,AJ376&lt;=0.35),"Low",IF(AND(AI376&gt;=600,AJ376&lt;=0.5),"Medium","High"))</f>
        <v>Medium</v>
      </c>
      <c r="AL376" s="3" t="n">
        <v>2</v>
      </c>
      <c r="AM376" s="2" t="s">
        <v>58</v>
      </c>
      <c r="AN376" s="2"/>
      <c r="AO376" s="2" t="s">
        <v>134</v>
      </c>
      <c r="AP376" s="7" t="n">
        <v>0.217</v>
      </c>
    </row>
    <row r="377" customFormat="false" ht="15" hidden="false" customHeight="false" outlineLevel="0" collapsed="false">
      <c r="A377" s="2" t="s">
        <v>1606</v>
      </c>
      <c r="B377" s="2" t="s">
        <v>1607</v>
      </c>
      <c r="C377" s="2" t="s">
        <v>1342</v>
      </c>
      <c r="D377" s="2" t="s">
        <v>45</v>
      </c>
      <c r="E377" s="3" t="n">
        <v>34</v>
      </c>
      <c r="F377" s="2" t="s">
        <v>64</v>
      </c>
      <c r="G377" s="2" t="s">
        <v>76</v>
      </c>
      <c r="H377" s="2" t="s">
        <v>101</v>
      </c>
      <c r="I377" s="4" t="n">
        <v>30500</v>
      </c>
      <c r="J377" s="2" t="s">
        <v>78</v>
      </c>
      <c r="K377" s="3" t="n">
        <v>11</v>
      </c>
      <c r="L377" s="2" t="s">
        <v>241</v>
      </c>
      <c r="M377" s="2" t="s">
        <v>92</v>
      </c>
      <c r="N377" s="2" t="s">
        <v>52</v>
      </c>
      <c r="O377" s="3" t="n">
        <v>3</v>
      </c>
      <c r="P377" s="2" t="s">
        <v>229</v>
      </c>
      <c r="Q377" s="2" t="s">
        <v>230</v>
      </c>
      <c r="R377" s="2" t="s">
        <v>231</v>
      </c>
      <c r="S377" s="2" t="s">
        <v>92</v>
      </c>
      <c r="T377" s="2" t="s">
        <v>1608</v>
      </c>
      <c r="U377" s="2" t="s">
        <v>118</v>
      </c>
      <c r="V377" s="4" t="n">
        <v>647000</v>
      </c>
      <c r="W377" s="5" t="n">
        <v>9.95</v>
      </c>
      <c r="X377" s="3" t="n">
        <v>72</v>
      </c>
      <c r="Y377" s="6" t="n">
        <v>46177</v>
      </c>
      <c r="Z377" s="6" t="n">
        <v>46183</v>
      </c>
      <c r="AA377" s="6" t="n">
        <v>46187</v>
      </c>
      <c r="AB377" s="4" t="n">
        <f aca="false">ROUND(PMT(W377/1200,X377,-V377),2)</f>
        <v>11969.91</v>
      </c>
      <c r="AC377" s="4" t="n">
        <v>0</v>
      </c>
      <c r="AD377" s="3" t="n">
        <v>2</v>
      </c>
      <c r="AE377" s="4" t="n">
        <v>106300</v>
      </c>
      <c r="AF377" s="4" t="n">
        <v>59200</v>
      </c>
      <c r="AG377" s="3" t="n">
        <v>22</v>
      </c>
      <c r="AH377" s="4" t="n">
        <v>15600</v>
      </c>
      <c r="AI377" s="3" t="n">
        <v>522</v>
      </c>
      <c r="AJ377" s="7" t="n">
        <f aca="false">ROUND(AB377/I377,4)</f>
        <v>0.3925</v>
      </c>
      <c r="AK377" s="2" t="str">
        <f aca="false">IF(AND(AI377&gt;=750,AJ377&lt;=0.35),"Low",IF(AND(AI377&gt;=600,AJ377&lt;=0.5),"Medium","High"))</f>
        <v>High</v>
      </c>
      <c r="AL377" s="3" t="n">
        <v>0</v>
      </c>
      <c r="AM377" s="2" t="s">
        <v>58</v>
      </c>
      <c r="AN377" s="2" t="s">
        <v>119</v>
      </c>
      <c r="AO377" s="2" t="s">
        <v>60</v>
      </c>
      <c r="AP377" s="7" t="n">
        <v>0.402</v>
      </c>
    </row>
    <row r="378" customFormat="false" ht="15" hidden="false" customHeight="false" outlineLevel="0" collapsed="false">
      <c r="A378" s="2" t="s">
        <v>1609</v>
      </c>
      <c r="B378" s="2" t="s">
        <v>1524</v>
      </c>
      <c r="C378" s="2" t="s">
        <v>1610</v>
      </c>
      <c r="D378" s="2" t="s">
        <v>45</v>
      </c>
      <c r="E378" s="3" t="n">
        <v>34</v>
      </c>
      <c r="F378" s="2" t="s">
        <v>175</v>
      </c>
      <c r="G378" s="2" t="s">
        <v>145</v>
      </c>
      <c r="H378" s="2" t="s">
        <v>48</v>
      </c>
      <c r="I378" s="4" t="n">
        <v>57500</v>
      </c>
      <c r="J378" s="2" t="s">
        <v>145</v>
      </c>
      <c r="K378" s="3" t="n">
        <v>12</v>
      </c>
      <c r="L378" s="2" t="s">
        <v>159</v>
      </c>
      <c r="M378" s="2" t="s">
        <v>159</v>
      </c>
      <c r="N378" s="2" t="s">
        <v>140</v>
      </c>
      <c r="O378" s="3" t="n">
        <v>0</v>
      </c>
      <c r="P378" s="2" t="s">
        <v>160</v>
      </c>
      <c r="Q378" s="2" t="s">
        <v>161</v>
      </c>
      <c r="R378" s="2" t="s">
        <v>159</v>
      </c>
      <c r="S378" s="2" t="s">
        <v>159</v>
      </c>
      <c r="T378" s="2" t="s">
        <v>1611</v>
      </c>
      <c r="U378" s="2" t="s">
        <v>118</v>
      </c>
      <c r="V378" s="4" t="n">
        <v>299000</v>
      </c>
      <c r="W378" s="5" t="n">
        <v>10.23</v>
      </c>
      <c r="X378" s="3" t="n">
        <v>18</v>
      </c>
      <c r="Y378" s="6" t="n">
        <v>46195</v>
      </c>
      <c r="Z378" s="6"/>
      <c r="AA378" s="6"/>
      <c r="AB378" s="4" t="n">
        <f aca="false">ROUND(PMT(W378/1200,X378,-V378),2)</f>
        <v>17988.75</v>
      </c>
      <c r="AC378" s="4" t="n">
        <v>0</v>
      </c>
      <c r="AD378" s="3" t="n">
        <v>0</v>
      </c>
      <c r="AE378" s="4" t="n">
        <v>126300</v>
      </c>
      <c r="AF378" s="4" t="n">
        <v>35000</v>
      </c>
      <c r="AG378" s="3" t="n">
        <v>10</v>
      </c>
      <c r="AH378" s="4" t="n">
        <v>32000</v>
      </c>
      <c r="AI378" s="3" t="n">
        <v>576</v>
      </c>
      <c r="AJ378" s="7" t="n">
        <f aca="false">ROUND(AB378/I378,4)</f>
        <v>0.3128</v>
      </c>
      <c r="AK378" s="2" t="str">
        <f aca="false">IF(AND(AI378&gt;=750,AJ378&lt;=0.35),"Low",IF(AND(AI378&gt;=600,AJ378&lt;=0.5),"Medium","High"))</f>
        <v>High</v>
      </c>
      <c r="AL378" s="3" t="n">
        <v>2</v>
      </c>
      <c r="AM378" s="2" t="s">
        <v>58</v>
      </c>
      <c r="AN378" s="2"/>
      <c r="AO378" s="2" t="s">
        <v>127</v>
      </c>
      <c r="AP378" s="7" t="n">
        <v>0.348</v>
      </c>
    </row>
    <row r="379" customFormat="false" ht="15" hidden="false" customHeight="false" outlineLevel="0" collapsed="false">
      <c r="A379" s="2" t="s">
        <v>1612</v>
      </c>
      <c r="B379" s="2" t="s">
        <v>1613</v>
      </c>
      <c r="C379" s="2" t="s">
        <v>1614</v>
      </c>
      <c r="D379" s="2" t="s">
        <v>109</v>
      </c>
      <c r="E379" s="3" t="n">
        <v>39</v>
      </c>
      <c r="F379" s="2" t="s">
        <v>64</v>
      </c>
      <c r="G379" s="2" t="s">
        <v>110</v>
      </c>
      <c r="H379" s="2" t="s">
        <v>48</v>
      </c>
      <c r="I379" s="4" t="n">
        <v>24000</v>
      </c>
      <c r="J379" s="2" t="s">
        <v>112</v>
      </c>
      <c r="K379" s="3" t="n">
        <v>17</v>
      </c>
      <c r="L379" s="2" t="s">
        <v>231</v>
      </c>
      <c r="M379" s="2" t="s">
        <v>92</v>
      </c>
      <c r="N379" s="2" t="s">
        <v>102</v>
      </c>
      <c r="O379" s="3" t="n">
        <v>0</v>
      </c>
      <c r="P379" s="2" t="s">
        <v>93</v>
      </c>
      <c r="Q379" s="2" t="s">
        <v>94</v>
      </c>
      <c r="R379" s="2" t="s">
        <v>95</v>
      </c>
      <c r="S379" s="2" t="s">
        <v>92</v>
      </c>
      <c r="T379" s="2" t="s">
        <v>1615</v>
      </c>
      <c r="U379" s="2" t="s">
        <v>118</v>
      </c>
      <c r="V379" s="4" t="n">
        <v>431000</v>
      </c>
      <c r="W379" s="5" t="n">
        <v>9.78</v>
      </c>
      <c r="X379" s="3" t="n">
        <v>54</v>
      </c>
      <c r="Y379" s="6" t="n">
        <v>46191</v>
      </c>
      <c r="Z379" s="6" t="n">
        <v>46192</v>
      </c>
      <c r="AA379" s="6" t="n">
        <v>46195</v>
      </c>
      <c r="AB379" s="4" t="n">
        <f aca="false">ROUND(PMT(W379/1200,X379,-V379),2)</f>
        <v>9898.18</v>
      </c>
      <c r="AC379" s="4" t="n">
        <v>0</v>
      </c>
      <c r="AD379" s="3" t="n">
        <v>0</v>
      </c>
      <c r="AE379" s="4"/>
      <c r="AF379" s="4" t="n">
        <v>9800</v>
      </c>
      <c r="AG379" s="3" t="n">
        <v>29</v>
      </c>
      <c r="AH379" s="4"/>
      <c r="AI379" s="3" t="n">
        <v>699</v>
      </c>
      <c r="AJ379" s="7" t="n">
        <f aca="false">ROUND(AB379/I379,4)</f>
        <v>0.4124</v>
      </c>
      <c r="AK379" s="2" t="str">
        <f aca="false">IF(AND(AI379&gt;=750,AJ379&lt;=0.35),"Low",IF(AND(AI379&gt;=600,AJ379&lt;=0.5),"Medium","High"))</f>
        <v>Medium</v>
      </c>
      <c r="AL379" s="3" t="n">
        <v>0</v>
      </c>
      <c r="AM379" s="2" t="s">
        <v>58</v>
      </c>
      <c r="AN379" s="2" t="s">
        <v>119</v>
      </c>
      <c r="AO379" s="2" t="s">
        <v>60</v>
      </c>
      <c r="AP379" s="7" t="n">
        <v>0.199</v>
      </c>
    </row>
    <row r="380" customFormat="false" ht="15" hidden="false" customHeight="false" outlineLevel="0" collapsed="false">
      <c r="A380" s="2" t="s">
        <v>1616</v>
      </c>
      <c r="B380" s="2" t="s">
        <v>1617</v>
      </c>
      <c r="C380" s="2" t="s">
        <v>1618</v>
      </c>
      <c r="D380" s="2" t="s">
        <v>45</v>
      </c>
      <c r="E380" s="3" t="n">
        <v>70</v>
      </c>
      <c r="F380" s="2" t="s">
        <v>64</v>
      </c>
      <c r="G380" s="2" t="s">
        <v>166</v>
      </c>
      <c r="H380" s="2" t="s">
        <v>101</v>
      </c>
      <c r="I380" s="4" t="n">
        <v>210000</v>
      </c>
      <c r="J380" s="2" t="s">
        <v>145</v>
      </c>
      <c r="K380" s="3" t="n">
        <v>46</v>
      </c>
      <c r="L380" s="2" t="s">
        <v>92</v>
      </c>
      <c r="M380" s="2" t="s">
        <v>92</v>
      </c>
      <c r="N380" s="2" t="s">
        <v>81</v>
      </c>
      <c r="O380" s="3" t="n">
        <v>3</v>
      </c>
      <c r="P380" s="2" t="s">
        <v>169</v>
      </c>
      <c r="Q380" s="2" t="s">
        <v>170</v>
      </c>
      <c r="R380" s="2" t="s">
        <v>92</v>
      </c>
      <c r="S380" s="2" t="s">
        <v>92</v>
      </c>
      <c r="T380" s="2" t="s">
        <v>1619</v>
      </c>
      <c r="U380" s="2" t="s">
        <v>72</v>
      </c>
      <c r="V380" s="4" t="n">
        <v>929000</v>
      </c>
      <c r="W380" s="5" t="n">
        <v>16.26</v>
      </c>
      <c r="X380" s="3" t="n">
        <v>24</v>
      </c>
      <c r="Y380" s="6" t="n">
        <v>46191</v>
      </c>
      <c r="Z380" s="6" t="n">
        <v>46194</v>
      </c>
      <c r="AA380" s="6" t="n">
        <v>46200</v>
      </c>
      <c r="AB380" s="4" t="n">
        <f aca="false">ROUND(PMT(W380/1200,X380,-V380),2)</f>
        <v>45602.22</v>
      </c>
      <c r="AC380" s="4" t="n">
        <v>1155000</v>
      </c>
      <c r="AD380" s="3" t="n">
        <v>0</v>
      </c>
      <c r="AE380" s="4"/>
      <c r="AF380" s="4" t="n">
        <v>63000</v>
      </c>
      <c r="AG380" s="3" t="n">
        <v>9</v>
      </c>
      <c r="AH380" s="4" t="n">
        <v>109200</v>
      </c>
      <c r="AI380" s="3" t="n">
        <v>752</v>
      </c>
      <c r="AJ380" s="7" t="n">
        <f aca="false">ROUND(AB380/I380,4)</f>
        <v>0.2172</v>
      </c>
      <c r="AK380" s="2" t="str">
        <f aca="false">IF(AND(AI380&gt;=750,AJ380&lt;=0.35),"Low",IF(AND(AI380&gt;=600,AJ380&lt;=0.5),"Medium","High"))</f>
        <v>Low</v>
      </c>
      <c r="AL380" s="3" t="n">
        <v>0</v>
      </c>
      <c r="AM380" s="2" t="s">
        <v>58</v>
      </c>
      <c r="AN380" s="2" t="s">
        <v>119</v>
      </c>
      <c r="AO380" s="2" t="s">
        <v>60</v>
      </c>
      <c r="AP380" s="7" t="n">
        <v>0.231</v>
      </c>
    </row>
    <row r="381" customFormat="false" ht="15" hidden="false" customHeight="false" outlineLevel="0" collapsed="false">
      <c r="A381" s="2" t="s">
        <v>1620</v>
      </c>
      <c r="B381" s="2" t="s">
        <v>1621</v>
      </c>
      <c r="C381" s="2" t="s">
        <v>1622</v>
      </c>
      <c r="D381" s="2" t="s">
        <v>109</v>
      </c>
      <c r="E381" s="3" t="n">
        <v>48</v>
      </c>
      <c r="F381" s="2" t="s">
        <v>46</v>
      </c>
      <c r="G381" s="2" t="s">
        <v>154</v>
      </c>
      <c r="H381" s="2" t="s">
        <v>77</v>
      </c>
      <c r="I381" s="4" t="n">
        <v>29500</v>
      </c>
      <c r="J381" s="2" t="s">
        <v>145</v>
      </c>
      <c r="K381" s="3" t="n">
        <v>22</v>
      </c>
      <c r="L381" s="2" t="s">
        <v>159</v>
      </c>
      <c r="M381" s="2" t="s">
        <v>159</v>
      </c>
      <c r="N381" s="2" t="s">
        <v>140</v>
      </c>
      <c r="O381" s="3" t="n">
        <v>0</v>
      </c>
      <c r="P381" s="2" t="s">
        <v>189</v>
      </c>
      <c r="Q381" s="2" t="s">
        <v>190</v>
      </c>
      <c r="R381" s="2" t="s">
        <v>188</v>
      </c>
      <c r="S381" s="2" t="s">
        <v>51</v>
      </c>
      <c r="T381" s="2" t="s">
        <v>1623</v>
      </c>
      <c r="U381" s="2" t="s">
        <v>57</v>
      </c>
      <c r="V381" s="4" t="n">
        <v>828000</v>
      </c>
      <c r="W381" s="5" t="n">
        <v>10.59</v>
      </c>
      <c r="X381" s="3" t="n">
        <v>168</v>
      </c>
      <c r="Y381" s="6" t="n">
        <v>46180</v>
      </c>
      <c r="Z381" s="6"/>
      <c r="AA381" s="6"/>
      <c r="AB381" s="4" t="n">
        <f aca="false">ROUND(PMT(W381/1200,X381,-V381),2)</f>
        <v>9471.63</v>
      </c>
      <c r="AC381" s="4"/>
      <c r="AD381" s="3" t="n">
        <v>2</v>
      </c>
      <c r="AE381" s="4" t="n">
        <v>64600</v>
      </c>
      <c r="AF381" s="4" t="n">
        <v>29200</v>
      </c>
      <c r="AG381" s="3"/>
      <c r="AH381" s="4" t="n">
        <v>10500</v>
      </c>
      <c r="AI381" s="3" t="n">
        <v>651</v>
      </c>
      <c r="AJ381" s="7" t="n">
        <f aca="false">ROUND(AB381/I381,4)</f>
        <v>0.3211</v>
      </c>
      <c r="AK381" s="2" t="str">
        <f aca="false">IF(AND(AI381&gt;=750,AJ381&lt;=0.35),"Low",IF(AND(AI381&gt;=600,AJ381&lt;=0.5),"Medium","High"))</f>
        <v>Medium</v>
      </c>
      <c r="AL381" s="3" t="n">
        <v>1</v>
      </c>
      <c r="AM381" s="2" t="s">
        <v>233</v>
      </c>
      <c r="AN381" s="2"/>
      <c r="AO381" s="2" t="s">
        <v>134</v>
      </c>
      <c r="AP381" s="7" t="n">
        <v>0.391</v>
      </c>
    </row>
    <row r="382" customFormat="false" ht="15" hidden="false" customHeight="false" outlineLevel="0" collapsed="false">
      <c r="A382" s="2" t="s">
        <v>1624</v>
      </c>
      <c r="B382" s="2" t="s">
        <v>1625</v>
      </c>
      <c r="C382" s="2" t="s">
        <v>507</v>
      </c>
      <c r="D382" s="2" t="s">
        <v>45</v>
      </c>
      <c r="E382" s="3" t="n">
        <v>31</v>
      </c>
      <c r="F382" s="2" t="s">
        <v>64</v>
      </c>
      <c r="G382" s="2" t="s">
        <v>154</v>
      </c>
      <c r="H382" s="2" t="s">
        <v>77</v>
      </c>
      <c r="I382" s="4" t="n">
        <v>25000</v>
      </c>
      <c r="J382" s="2" t="s">
        <v>145</v>
      </c>
      <c r="K382" s="3" t="n">
        <v>7</v>
      </c>
      <c r="L382" s="2" t="s">
        <v>70</v>
      </c>
      <c r="M382" s="2" t="s">
        <v>67</v>
      </c>
      <c r="N382" s="2" t="s">
        <v>102</v>
      </c>
      <c r="O382" s="3" t="n">
        <v>1</v>
      </c>
      <c r="P382" s="2" t="s">
        <v>68</v>
      </c>
      <c r="Q382" s="2" t="s">
        <v>69</v>
      </c>
      <c r="R382" s="2" t="s">
        <v>70</v>
      </c>
      <c r="S382" s="2" t="s">
        <v>67</v>
      </c>
      <c r="T382" s="2" t="s">
        <v>1626</v>
      </c>
      <c r="U382" s="2" t="s">
        <v>72</v>
      </c>
      <c r="V382" s="4" t="n">
        <v>435000</v>
      </c>
      <c r="W382" s="5" t="n">
        <v>13.37</v>
      </c>
      <c r="X382" s="3" t="n">
        <v>60</v>
      </c>
      <c r="Y382" s="6" t="n">
        <v>46200</v>
      </c>
      <c r="Z382" s="6"/>
      <c r="AA382" s="6"/>
      <c r="AB382" s="4" t="n">
        <f aca="false">ROUND(PMT(W382/1200,X382,-V382),2)</f>
        <v>9980.17</v>
      </c>
      <c r="AC382" s="4" t="n">
        <v>551000</v>
      </c>
      <c r="AD382" s="3" t="n">
        <v>1</v>
      </c>
      <c r="AE382" s="4" t="n">
        <v>73200</v>
      </c>
      <c r="AF382" s="4" t="n">
        <v>25200</v>
      </c>
      <c r="AG382" s="3" t="n">
        <v>36</v>
      </c>
      <c r="AH382" s="4" t="n">
        <v>17800</v>
      </c>
      <c r="AI382" s="3" t="n">
        <v>488</v>
      </c>
      <c r="AJ382" s="7" t="n">
        <f aca="false">ROUND(AB382/I382,4)</f>
        <v>0.3992</v>
      </c>
      <c r="AK382" s="2" t="str">
        <f aca="false">IF(AND(AI382&gt;=750,AJ382&lt;=0.35),"Low",IF(AND(AI382&gt;=600,AJ382&lt;=0.5),"Medium","High"))</f>
        <v>High</v>
      </c>
      <c r="AL382" s="3" t="n">
        <v>1</v>
      </c>
      <c r="AM382" s="2" t="s">
        <v>233</v>
      </c>
      <c r="AN382" s="2"/>
      <c r="AO382" s="2" t="s">
        <v>127</v>
      </c>
      <c r="AP382" s="7" t="n">
        <v>0.526</v>
      </c>
    </row>
    <row r="383" customFormat="false" ht="15" hidden="false" customHeight="false" outlineLevel="0" collapsed="false">
      <c r="A383" s="2" t="s">
        <v>1627</v>
      </c>
      <c r="B383" s="2" t="s">
        <v>1601</v>
      </c>
      <c r="C383" s="2" t="s">
        <v>1628</v>
      </c>
      <c r="D383" s="2" t="s">
        <v>45</v>
      </c>
      <c r="E383" s="3" t="n">
        <v>34</v>
      </c>
      <c r="F383" s="2" t="s">
        <v>46</v>
      </c>
      <c r="G383" s="2"/>
      <c r="H383" s="2" t="s">
        <v>101</v>
      </c>
      <c r="I383" s="4" t="n">
        <v>38000</v>
      </c>
      <c r="J383" s="2" t="s">
        <v>49</v>
      </c>
      <c r="K383" s="3" t="n">
        <v>9</v>
      </c>
      <c r="L383" s="2" t="s">
        <v>1251</v>
      </c>
      <c r="M383" s="2" t="s">
        <v>51</v>
      </c>
      <c r="N383" s="2" t="s">
        <v>52</v>
      </c>
      <c r="O383" s="3" t="n">
        <v>0</v>
      </c>
      <c r="P383" s="2" t="s">
        <v>131</v>
      </c>
      <c r="Q383" s="2" t="s">
        <v>132</v>
      </c>
      <c r="R383" s="2" t="s">
        <v>51</v>
      </c>
      <c r="S383" s="2" t="s">
        <v>51</v>
      </c>
      <c r="T383" s="2" t="s">
        <v>1629</v>
      </c>
      <c r="U383" s="2" t="s">
        <v>180</v>
      </c>
      <c r="V383" s="4" t="n">
        <v>516000</v>
      </c>
      <c r="W383" s="5" t="n">
        <v>12.56</v>
      </c>
      <c r="X383" s="3" t="n">
        <v>72</v>
      </c>
      <c r="Y383" s="6" t="n">
        <v>46202</v>
      </c>
      <c r="Z383" s="6" t="n">
        <v>46211</v>
      </c>
      <c r="AA383" s="6" t="n">
        <v>46217</v>
      </c>
      <c r="AB383" s="4" t="n">
        <f aca="false">ROUND(PMT(W383/1200,X383,-V383),2)</f>
        <v>10238.8</v>
      </c>
      <c r="AC383" s="4" t="n">
        <v>760000</v>
      </c>
      <c r="AD383" s="3" t="n">
        <v>2</v>
      </c>
      <c r="AE383" s="4" t="n">
        <v>112700</v>
      </c>
      <c r="AF383" s="4" t="n">
        <v>36800</v>
      </c>
      <c r="AG383" s="3" t="n">
        <v>24</v>
      </c>
      <c r="AH383" s="4" t="n">
        <v>27800</v>
      </c>
      <c r="AI383" s="3" t="n">
        <v>693</v>
      </c>
      <c r="AJ383" s="7" t="n">
        <f aca="false">ROUND(AB383/I383,4)</f>
        <v>0.2694</v>
      </c>
      <c r="AK383" s="2" t="str">
        <f aca="false">IF(AND(AI383&gt;=750,AJ383&lt;=0.35),"Low",IF(AND(AI383&gt;=600,AJ383&lt;=0.5),"Medium","High"))</f>
        <v>Medium</v>
      </c>
      <c r="AL383" s="3" t="n">
        <v>1</v>
      </c>
      <c r="AM383" s="2" t="s">
        <v>58</v>
      </c>
      <c r="AN383" s="2" t="s">
        <v>59</v>
      </c>
      <c r="AO383" s="2" t="s">
        <v>60</v>
      </c>
      <c r="AP383" s="7" t="n">
        <v>0.256</v>
      </c>
    </row>
    <row r="384" customFormat="false" ht="15" hidden="false" customHeight="false" outlineLevel="0" collapsed="false">
      <c r="A384" s="2" t="s">
        <v>1630</v>
      </c>
      <c r="B384" s="2" t="s">
        <v>1631</v>
      </c>
      <c r="C384" s="2" t="s">
        <v>108</v>
      </c>
      <c r="D384" s="2" t="s">
        <v>45</v>
      </c>
      <c r="E384" s="3" t="n">
        <v>37</v>
      </c>
      <c r="F384" s="2" t="s">
        <v>64</v>
      </c>
      <c r="G384" s="2" t="s">
        <v>65</v>
      </c>
      <c r="H384" s="2" t="s">
        <v>101</v>
      </c>
      <c r="I384" s="4" t="n">
        <v>74500</v>
      </c>
      <c r="J384" s="2" t="s">
        <v>49</v>
      </c>
      <c r="K384" s="3" t="n">
        <v>16</v>
      </c>
      <c r="L384" s="2" t="s">
        <v>211</v>
      </c>
      <c r="M384" s="2" t="s">
        <v>147</v>
      </c>
      <c r="N384" s="2" t="s">
        <v>81</v>
      </c>
      <c r="O384" s="3" t="n">
        <v>1</v>
      </c>
      <c r="P384" s="2" t="s">
        <v>209</v>
      </c>
      <c r="Q384" s="2" t="s">
        <v>210</v>
      </c>
      <c r="R384" s="2" t="s">
        <v>211</v>
      </c>
      <c r="S384" s="2" t="s">
        <v>147</v>
      </c>
      <c r="T384" s="2" t="s">
        <v>1632</v>
      </c>
      <c r="U384" s="2" t="s">
        <v>118</v>
      </c>
      <c r="V384" s="4" t="n">
        <v>4837227</v>
      </c>
      <c r="W384" s="5" t="n">
        <v>9.12</v>
      </c>
      <c r="X384" s="3" t="n">
        <v>18</v>
      </c>
      <c r="Y384" s="6" t="n">
        <v>46202</v>
      </c>
      <c r="Z384" s="6" t="n">
        <v>46211</v>
      </c>
      <c r="AA384" s="6" t="n">
        <v>46214</v>
      </c>
      <c r="AB384" s="4" t="n">
        <f aca="false">ROUND(PMT(W384/1200,X384,-V384),2)</f>
        <v>288553.58</v>
      </c>
      <c r="AC384" s="4" t="n">
        <v>0</v>
      </c>
      <c r="AD384" s="3" t="n">
        <v>1</v>
      </c>
      <c r="AE384" s="4" t="n">
        <v>142300</v>
      </c>
      <c r="AF384" s="4" t="n">
        <v>56100</v>
      </c>
      <c r="AG384" s="3" t="n">
        <v>16</v>
      </c>
      <c r="AH384" s="4"/>
      <c r="AI384" s="3" t="n">
        <v>776</v>
      </c>
      <c r="AJ384" s="7" t="n">
        <f aca="false">ROUND(AB384/I384,4)</f>
        <v>3.8732</v>
      </c>
      <c r="AK384" s="2" t="str">
        <f aca="false">IF(AND(AI384&gt;=750,AJ384&lt;=0.35),"Low",IF(AND(AI384&gt;=600,AJ384&lt;=0.5),"Medium","High"))</f>
        <v>High</v>
      </c>
      <c r="AL384" s="3" t="n">
        <v>1</v>
      </c>
      <c r="AM384" s="2" t="s">
        <v>58</v>
      </c>
      <c r="AN384" s="2" t="s">
        <v>59</v>
      </c>
      <c r="AO384" s="2" t="s">
        <v>60</v>
      </c>
      <c r="AP384" s="7" t="n">
        <v>0.17</v>
      </c>
    </row>
    <row r="385" customFormat="false" ht="15" hidden="false" customHeight="false" outlineLevel="0" collapsed="false">
      <c r="A385" s="2" t="s">
        <v>1633</v>
      </c>
      <c r="B385" s="2" t="s">
        <v>1634</v>
      </c>
      <c r="C385" s="2" t="s">
        <v>1635</v>
      </c>
      <c r="D385" s="2" t="s">
        <v>109</v>
      </c>
      <c r="E385" s="3" t="n">
        <v>24</v>
      </c>
      <c r="F385" s="2" t="s">
        <v>175</v>
      </c>
      <c r="G385" s="2" t="s">
        <v>207</v>
      </c>
      <c r="H385" s="2" t="s">
        <v>48</v>
      </c>
      <c r="I385" s="4" t="n">
        <v>42500</v>
      </c>
      <c r="J385" s="2" t="s">
        <v>49</v>
      </c>
      <c r="K385" s="3" t="n">
        <v>0</v>
      </c>
      <c r="L385" s="2" t="s">
        <v>147</v>
      </c>
      <c r="M385" s="2" t="s">
        <v>147</v>
      </c>
      <c r="N385" s="2" t="s">
        <v>81</v>
      </c>
      <c r="O385" s="3" t="n">
        <v>1</v>
      </c>
      <c r="P385" s="2" t="s">
        <v>209</v>
      </c>
      <c r="Q385" s="2" t="s">
        <v>210</v>
      </c>
      <c r="R385" s="2" t="s">
        <v>211</v>
      </c>
      <c r="S385" s="2" t="s">
        <v>147</v>
      </c>
      <c r="T385" s="2" t="s">
        <v>1636</v>
      </c>
      <c r="U385" s="2" t="s">
        <v>118</v>
      </c>
      <c r="V385" s="4" t="n">
        <v>267000</v>
      </c>
      <c r="W385" s="5" t="n">
        <v>10.09</v>
      </c>
      <c r="X385" s="3" t="n">
        <v>48</v>
      </c>
      <c r="Y385" s="6" t="n">
        <v>46188</v>
      </c>
      <c r="Z385" s="6" t="n">
        <v>46195</v>
      </c>
      <c r="AA385" s="6" t="n">
        <v>46197</v>
      </c>
      <c r="AB385" s="4" t="n">
        <f aca="false">ROUND(PMT(W385/1200,X385,-V385),2)</f>
        <v>6783.36</v>
      </c>
      <c r="AC385" s="4" t="n">
        <v>0</v>
      </c>
      <c r="AD385" s="3" t="n">
        <v>1</v>
      </c>
      <c r="AE385" s="4" t="n">
        <v>45400</v>
      </c>
      <c r="AF385" s="4" t="n">
        <v>24900</v>
      </c>
      <c r="AG385" s="3" t="n">
        <v>26</v>
      </c>
      <c r="AH385" s="4" t="n">
        <v>36100</v>
      </c>
      <c r="AI385" s="3" t="n">
        <v>636</v>
      </c>
      <c r="AJ385" s="7" t="n">
        <f aca="false">ROUND(AB385/I385,4)</f>
        <v>0.1596</v>
      </c>
      <c r="AK385" s="2" t="str">
        <f aca="false">IF(AND(AI385&gt;=750,AJ385&lt;=0.35),"Low",IF(AND(AI385&gt;=600,AJ385&lt;=0.5),"Medium","High"))</f>
        <v>Medium</v>
      </c>
      <c r="AL385" s="3" t="n">
        <v>1</v>
      </c>
      <c r="AM385" s="2" t="s">
        <v>58</v>
      </c>
      <c r="AN385" s="2" t="s">
        <v>119</v>
      </c>
      <c r="AO385" s="2" t="s">
        <v>86</v>
      </c>
      <c r="AP385" s="7" t="n">
        <v>0.287</v>
      </c>
    </row>
    <row r="386" customFormat="false" ht="15" hidden="false" customHeight="false" outlineLevel="0" collapsed="false">
      <c r="A386" s="2" t="s">
        <v>1637</v>
      </c>
      <c r="B386" s="2" t="s">
        <v>1638</v>
      </c>
      <c r="C386" s="2" t="s">
        <v>1639</v>
      </c>
      <c r="D386" s="2" t="s">
        <v>45</v>
      </c>
      <c r="E386" s="3" t="n">
        <v>45</v>
      </c>
      <c r="F386" s="2" t="s">
        <v>64</v>
      </c>
      <c r="G386" s="2" t="s">
        <v>176</v>
      </c>
      <c r="H386" s="2" t="s">
        <v>48</v>
      </c>
      <c r="I386" s="4" t="n">
        <v>147500</v>
      </c>
      <c r="J386" s="2" t="s">
        <v>177</v>
      </c>
      <c r="K386" s="3" t="n">
        <v>17</v>
      </c>
      <c r="L386" s="2" t="s">
        <v>590</v>
      </c>
      <c r="M386" s="2" t="s">
        <v>114</v>
      </c>
      <c r="N386" s="2" t="s">
        <v>140</v>
      </c>
      <c r="O386" s="3" t="n">
        <v>1</v>
      </c>
      <c r="P386" s="2" t="s">
        <v>115</v>
      </c>
      <c r="Q386" s="2" t="s">
        <v>116</v>
      </c>
      <c r="R386" s="2" t="s">
        <v>114</v>
      </c>
      <c r="S386" s="2" t="s">
        <v>114</v>
      </c>
      <c r="T386" s="2" t="s">
        <v>1640</v>
      </c>
      <c r="U386" s="2" t="s">
        <v>72</v>
      </c>
      <c r="V386" s="4" t="n">
        <v>698000</v>
      </c>
      <c r="W386" s="5" t="n">
        <v>13.51</v>
      </c>
      <c r="X386" s="3" t="n">
        <v>30</v>
      </c>
      <c r="Y386" s="6" t="n">
        <v>46174</v>
      </c>
      <c r="Z386" s="6"/>
      <c r="AA386" s="6"/>
      <c r="AB386" s="4" t="n">
        <f aca="false">ROUND(PMT(W386/1200,X386,-V386),2)</f>
        <v>27546.08</v>
      </c>
      <c r="AC386" s="4" t="n">
        <v>986000</v>
      </c>
      <c r="AD386" s="3" t="n">
        <v>0</v>
      </c>
      <c r="AE386" s="4" t="n">
        <v>231100</v>
      </c>
      <c r="AF386" s="4" t="n">
        <v>44100</v>
      </c>
      <c r="AG386" s="3" t="n">
        <v>14</v>
      </c>
      <c r="AH386" s="4" t="n">
        <v>54400</v>
      </c>
      <c r="AI386" s="3" t="n">
        <v>790</v>
      </c>
      <c r="AJ386" s="7" t="n">
        <f aca="false">ROUND(AB386/I386,4)</f>
        <v>0.1868</v>
      </c>
      <c r="AK386" s="2" t="str">
        <f aca="false">IF(AND(AI386&gt;=750,AJ386&lt;=0.35),"Low",IF(AND(AI386&gt;=600,AJ386&lt;=0.5),"Medium","High"))</f>
        <v>Low</v>
      </c>
      <c r="AL386" s="3" t="n">
        <v>0</v>
      </c>
      <c r="AM386" s="2" t="s">
        <v>58</v>
      </c>
      <c r="AN386" s="2"/>
      <c r="AO386" s="2" t="s">
        <v>134</v>
      </c>
      <c r="AP386" s="7" t="n">
        <v>0.258</v>
      </c>
    </row>
    <row r="387" customFormat="false" ht="15" hidden="false" customHeight="false" outlineLevel="0" collapsed="false">
      <c r="A387" s="2" t="s">
        <v>1641</v>
      </c>
      <c r="B387" s="2" t="s">
        <v>1642</v>
      </c>
      <c r="C387" s="2" t="s">
        <v>1643</v>
      </c>
      <c r="D387" s="2" t="s">
        <v>109</v>
      </c>
      <c r="E387" s="3" t="n">
        <v>28</v>
      </c>
      <c r="F387" s="2" t="s">
        <v>64</v>
      </c>
      <c r="G387" s="2" t="s">
        <v>207</v>
      </c>
      <c r="H387" s="2" t="s">
        <v>101</v>
      </c>
      <c r="I387" s="4" t="n">
        <v>73500</v>
      </c>
      <c r="J387" s="2" t="s">
        <v>49</v>
      </c>
      <c r="K387" s="3" t="n">
        <v>6</v>
      </c>
      <c r="L387" s="2" t="s">
        <v>147</v>
      </c>
      <c r="M387" s="2" t="s">
        <v>147</v>
      </c>
      <c r="N387" s="2" t="s">
        <v>52</v>
      </c>
      <c r="O387" s="3" t="n">
        <v>2</v>
      </c>
      <c r="P387" s="2" t="s">
        <v>209</v>
      </c>
      <c r="Q387" s="2" t="s">
        <v>210</v>
      </c>
      <c r="R387" s="2" t="s">
        <v>211</v>
      </c>
      <c r="S387" s="2" t="s">
        <v>147</v>
      </c>
      <c r="T387" s="2" t="s">
        <v>1644</v>
      </c>
      <c r="U387" s="2" t="s">
        <v>118</v>
      </c>
      <c r="V387" s="4" t="n">
        <v>932000</v>
      </c>
      <c r="W387" s="5" t="n">
        <v>8.48</v>
      </c>
      <c r="X387" s="3" t="n">
        <v>48</v>
      </c>
      <c r="Y387" s="6" t="n">
        <v>46181</v>
      </c>
      <c r="Z387" s="6"/>
      <c r="AA387" s="6"/>
      <c r="AB387" s="4" t="n">
        <f aca="false">ROUND(PMT(W387/1200,X387,-V387),2)</f>
        <v>22963.42</v>
      </c>
      <c r="AC387" s="4" t="n">
        <v>0</v>
      </c>
      <c r="AD387" s="3" t="n">
        <v>0</v>
      </c>
      <c r="AE387" s="4" t="n">
        <v>42700</v>
      </c>
      <c r="AF387" s="4" t="n">
        <v>23400</v>
      </c>
      <c r="AG387" s="3" t="n">
        <v>19</v>
      </c>
      <c r="AH387" s="4" t="n">
        <v>34400</v>
      </c>
      <c r="AI387" s="3" t="n">
        <v>653</v>
      </c>
      <c r="AJ387" s="7" t="n">
        <f aca="false">ROUND(AB387/I387,4)</f>
        <v>0.3124</v>
      </c>
      <c r="AK387" s="2" t="str">
        <f aca="false">IF(AND(AI387&gt;=750,AJ387&lt;=0.35),"Low",IF(AND(AI387&gt;=600,AJ387&lt;=0.5),"Medium","High"))</f>
        <v>Medium</v>
      </c>
      <c r="AL387" s="3" t="n">
        <v>2</v>
      </c>
      <c r="AM387" s="2" t="s">
        <v>58</v>
      </c>
      <c r="AN387" s="2"/>
      <c r="AO387" s="2" t="s">
        <v>127</v>
      </c>
      <c r="AP387" s="7" t="n">
        <v>0.272</v>
      </c>
    </row>
    <row r="388" customFormat="false" ht="15" hidden="false" customHeight="false" outlineLevel="0" collapsed="false">
      <c r="A388" s="2" t="s">
        <v>1645</v>
      </c>
      <c r="B388" s="2" t="s">
        <v>1646</v>
      </c>
      <c r="C388" s="2" t="s">
        <v>1647</v>
      </c>
      <c r="D388" s="2" t="s">
        <v>45</v>
      </c>
      <c r="E388" s="3" t="n">
        <v>29</v>
      </c>
      <c r="F388" s="2" t="s">
        <v>46</v>
      </c>
      <c r="G388" s="2" t="s">
        <v>65</v>
      </c>
      <c r="H388" s="2" t="s">
        <v>48</v>
      </c>
      <c r="I388" s="4" t="n">
        <v>27500</v>
      </c>
      <c r="J388" s="2" t="s">
        <v>49</v>
      </c>
      <c r="K388" s="3" t="n">
        <v>4</v>
      </c>
      <c r="L388" s="2" t="s">
        <v>91</v>
      </c>
      <c r="M388" s="2" t="s">
        <v>92</v>
      </c>
      <c r="N388" s="2" t="s">
        <v>52</v>
      </c>
      <c r="O388" s="3" t="n">
        <v>0</v>
      </c>
      <c r="P388" s="2" t="s">
        <v>124</v>
      </c>
      <c r="Q388" s="2" t="s">
        <v>125</v>
      </c>
      <c r="R388" s="2" t="s">
        <v>91</v>
      </c>
      <c r="S388" s="2" t="s">
        <v>92</v>
      </c>
      <c r="T388" s="2" t="s">
        <v>1648</v>
      </c>
      <c r="U388" s="2" t="s">
        <v>118</v>
      </c>
      <c r="V388" s="4" t="n">
        <v>168000</v>
      </c>
      <c r="W388" s="5" t="n">
        <v>9.1</v>
      </c>
      <c r="X388" s="3" t="n">
        <v>30</v>
      </c>
      <c r="Y388" s="6" t="n">
        <v>46198</v>
      </c>
      <c r="Z388" s="6" t="n">
        <v>46200</v>
      </c>
      <c r="AA388" s="6" t="n">
        <v>46202</v>
      </c>
      <c r="AB388" s="4" t="n">
        <f aca="false">ROUND(PMT(W388/1200,X388,-V388),2)</f>
        <v>6282.25</v>
      </c>
      <c r="AC388" s="4" t="n">
        <v>0</v>
      </c>
      <c r="AD388" s="3" t="n">
        <v>1</v>
      </c>
      <c r="AE388" s="4" t="n">
        <v>65400</v>
      </c>
      <c r="AF388" s="4" t="n">
        <v>20800</v>
      </c>
      <c r="AG388" s="3" t="n">
        <v>32</v>
      </c>
      <c r="AH388" s="4"/>
      <c r="AI388" s="3" t="n">
        <v>728</v>
      </c>
      <c r="AJ388" s="7" t="n">
        <f aca="false">ROUND(AB388/I388,4)</f>
        <v>0.2284</v>
      </c>
      <c r="AK388" s="2" t="str">
        <f aca="false">IF(AND(AI388&gt;=750,AJ388&lt;=0.35),"Low",IF(AND(AI388&gt;=600,AJ388&lt;=0.5),"Medium","High"))</f>
        <v>Medium</v>
      </c>
      <c r="AL388" s="3" t="n">
        <v>1</v>
      </c>
      <c r="AM388" s="2" t="s">
        <v>58</v>
      </c>
      <c r="AN388" s="2" t="s">
        <v>119</v>
      </c>
      <c r="AO388" s="2" t="s">
        <v>60</v>
      </c>
      <c r="AP388" s="7" t="n">
        <v>0.179</v>
      </c>
    </row>
    <row r="389" customFormat="false" ht="15" hidden="false" customHeight="false" outlineLevel="0" collapsed="false">
      <c r="A389" s="2" t="s">
        <v>1649</v>
      </c>
      <c r="B389" s="2" t="s">
        <v>1650</v>
      </c>
      <c r="C389" s="2" t="s">
        <v>1651</v>
      </c>
      <c r="D389" s="2" t="s">
        <v>45</v>
      </c>
      <c r="E389" s="3" t="n">
        <v>48</v>
      </c>
      <c r="F389" s="2" t="s">
        <v>64</v>
      </c>
      <c r="G389" s="2" t="s">
        <v>47</v>
      </c>
      <c r="H389" s="2" t="s">
        <v>101</v>
      </c>
      <c r="I389" s="4" t="n">
        <v>137000</v>
      </c>
      <c r="J389" s="2" t="s">
        <v>49</v>
      </c>
      <c r="K389" s="3" t="n">
        <v>19</v>
      </c>
      <c r="L389" s="2" t="s">
        <v>92</v>
      </c>
      <c r="M389" s="2" t="s">
        <v>92</v>
      </c>
      <c r="N389" s="2" t="s">
        <v>81</v>
      </c>
      <c r="O389" s="3" t="n">
        <v>3</v>
      </c>
      <c r="P389" s="2" t="s">
        <v>169</v>
      </c>
      <c r="Q389" s="2" t="s">
        <v>170</v>
      </c>
      <c r="R389" s="2" t="s">
        <v>92</v>
      </c>
      <c r="S389" s="2" t="s">
        <v>92</v>
      </c>
      <c r="T389" s="2" t="s">
        <v>1652</v>
      </c>
      <c r="U389" s="2" t="s">
        <v>118</v>
      </c>
      <c r="V389" s="4" t="n">
        <v>1500000</v>
      </c>
      <c r="W389" s="5" t="n">
        <v>10.43</v>
      </c>
      <c r="X389" s="3" t="n">
        <v>60</v>
      </c>
      <c r="Y389" s="6" t="n">
        <v>46188</v>
      </c>
      <c r="Z389" s="6"/>
      <c r="AA389" s="6"/>
      <c r="AB389" s="4" t="n">
        <f aca="false">ROUND(PMT(W389/1200,X389,-V389),2)</f>
        <v>32188.86</v>
      </c>
      <c r="AC389" s="4" t="n">
        <v>0</v>
      </c>
      <c r="AD389" s="3" t="n">
        <v>0</v>
      </c>
      <c r="AE389" s="4" t="n">
        <v>460700</v>
      </c>
      <c r="AF389" s="4" t="n">
        <v>54900</v>
      </c>
      <c r="AG389" s="3" t="n">
        <v>43</v>
      </c>
      <c r="AH389" s="4" t="n">
        <v>136500</v>
      </c>
      <c r="AI389" s="3" t="n">
        <v>531</v>
      </c>
      <c r="AJ389" s="7" t="n">
        <f aca="false">ROUND(AB389/I389,4)</f>
        <v>0.235</v>
      </c>
      <c r="AK389" s="2" t="str">
        <f aca="false">IF(AND(AI389&gt;=750,AJ389&lt;=0.35),"Low",IF(AND(AI389&gt;=600,AJ389&lt;=0.5),"Medium","High"))</f>
        <v>High</v>
      </c>
      <c r="AL389" s="3" t="n">
        <v>3</v>
      </c>
      <c r="AM389" s="2" t="s">
        <v>58</v>
      </c>
      <c r="AN389" s="2"/>
      <c r="AO389" s="2" t="s">
        <v>127</v>
      </c>
      <c r="AP389" s="7" t="n">
        <v>0.358</v>
      </c>
    </row>
    <row r="390" customFormat="false" ht="15" hidden="false" customHeight="false" outlineLevel="0" collapsed="false">
      <c r="A390" s="2" t="s">
        <v>1653</v>
      </c>
      <c r="B390" s="2" t="s">
        <v>828</v>
      </c>
      <c r="C390" s="2" t="s">
        <v>1654</v>
      </c>
      <c r="D390" s="2" t="s">
        <v>45</v>
      </c>
      <c r="E390" s="3" t="n">
        <v>21</v>
      </c>
      <c r="F390" s="2" t="s">
        <v>46</v>
      </c>
      <c r="G390" s="2" t="s">
        <v>154</v>
      </c>
      <c r="H390" s="2" t="s">
        <v>77</v>
      </c>
      <c r="I390" s="4" t="n">
        <v>29500</v>
      </c>
      <c r="J390" s="2" t="s">
        <v>145</v>
      </c>
      <c r="K390" s="3" t="n">
        <v>0</v>
      </c>
      <c r="L390" s="2" t="s">
        <v>302</v>
      </c>
      <c r="M390" s="2" t="s">
        <v>67</v>
      </c>
      <c r="N390" s="2" t="s">
        <v>140</v>
      </c>
      <c r="O390" s="3" t="n">
        <v>0</v>
      </c>
      <c r="P390" s="2" t="s">
        <v>103</v>
      </c>
      <c r="Q390" s="2" t="s">
        <v>104</v>
      </c>
      <c r="R390" s="2" t="s">
        <v>67</v>
      </c>
      <c r="S390" s="2" t="s">
        <v>67</v>
      </c>
      <c r="T390" s="2" t="s">
        <v>1655</v>
      </c>
      <c r="U390" s="2" t="s">
        <v>85</v>
      </c>
      <c r="V390" s="4" t="n">
        <v>225000</v>
      </c>
      <c r="W390" s="5" t="n">
        <v>8.88</v>
      </c>
      <c r="X390" s="3" t="n">
        <v>18</v>
      </c>
      <c r="Y390" s="6" t="n">
        <v>46185</v>
      </c>
      <c r="Z390" s="6"/>
      <c r="AA390" s="6"/>
      <c r="AB390" s="4" t="n">
        <f aca="false">ROUND(PMT(W390/1200,X390,-V390),2)</f>
        <v>13397.1</v>
      </c>
      <c r="AC390" s="4" t="n">
        <v>0</v>
      </c>
      <c r="AD390" s="3" t="n">
        <v>1</v>
      </c>
      <c r="AE390" s="4" t="n">
        <v>58200</v>
      </c>
      <c r="AF390" s="4" t="n">
        <v>33800</v>
      </c>
      <c r="AG390" s="3" t="n">
        <v>15</v>
      </c>
      <c r="AH390" s="4" t="n">
        <v>23000</v>
      </c>
      <c r="AI390" s="3" t="n">
        <v>677</v>
      </c>
      <c r="AJ390" s="7" t="n">
        <f aca="false">ROUND(AB390/I390,4)</f>
        <v>0.4541</v>
      </c>
      <c r="AK390" s="2" t="str">
        <f aca="false">IF(AND(AI390&gt;=750,AJ390&lt;=0.35),"Low",IF(AND(AI390&gt;=600,AJ390&lt;=0.5),"Medium","High"))</f>
        <v>Medium</v>
      </c>
      <c r="AL390" s="3" t="n">
        <v>1</v>
      </c>
      <c r="AM390" s="2" t="s">
        <v>58</v>
      </c>
      <c r="AN390" s="2"/>
      <c r="AO390" s="2" t="s">
        <v>134</v>
      </c>
      <c r="AP390" s="7" t="n">
        <v>0.326</v>
      </c>
    </row>
    <row r="391" customFormat="false" ht="15" hidden="false" customHeight="false" outlineLevel="0" collapsed="false">
      <c r="A391" s="2" t="s">
        <v>1656</v>
      </c>
      <c r="B391" s="2" t="s">
        <v>1657</v>
      </c>
      <c r="C391" s="2" t="s">
        <v>1658</v>
      </c>
      <c r="D391" s="2" t="s">
        <v>45</v>
      </c>
      <c r="E391" s="3" t="n">
        <v>36</v>
      </c>
      <c r="F391" s="2" t="s">
        <v>64</v>
      </c>
      <c r="G391" s="2" t="s">
        <v>90</v>
      </c>
      <c r="H391" s="2" t="s">
        <v>48</v>
      </c>
      <c r="I391" s="4" t="n">
        <v>30500</v>
      </c>
      <c r="J391" s="2" t="s">
        <v>90</v>
      </c>
      <c r="K391" s="3" t="n">
        <v>11</v>
      </c>
      <c r="L391" s="2" t="s">
        <v>139</v>
      </c>
      <c r="M391" s="2" t="s">
        <v>139</v>
      </c>
      <c r="N391" s="2" t="s">
        <v>52</v>
      </c>
      <c r="O391" s="3" t="n">
        <v>1</v>
      </c>
      <c r="P391" s="2" t="s">
        <v>197</v>
      </c>
      <c r="Q391" s="2" t="s">
        <v>198</v>
      </c>
      <c r="R391" s="2" t="s">
        <v>139</v>
      </c>
      <c r="S391" s="2" t="s">
        <v>139</v>
      </c>
      <c r="T391" s="2" t="s">
        <v>1659</v>
      </c>
      <c r="U391" s="2" t="s">
        <v>57</v>
      </c>
      <c r="V391" s="4" t="n">
        <v>1214000</v>
      </c>
      <c r="W391" s="5" t="n">
        <v>8.95</v>
      </c>
      <c r="X391" s="3" t="n">
        <v>192</v>
      </c>
      <c r="Y391" s="6" t="n">
        <v>46187</v>
      </c>
      <c r="Z391" s="6" t="n">
        <v>46192</v>
      </c>
      <c r="AA391" s="6" t="n">
        <v>46195</v>
      </c>
      <c r="AB391" s="4" t="n">
        <f aca="false">ROUND(PMT(W391/1200,X391,-V391),2)</f>
        <v>11915.32</v>
      </c>
      <c r="AC391" s="4" t="n">
        <v>1788000</v>
      </c>
      <c r="AD391" s="3" t="n">
        <v>1</v>
      </c>
      <c r="AE391" s="4" t="n">
        <v>80000</v>
      </c>
      <c r="AF391" s="4" t="n">
        <v>45200</v>
      </c>
      <c r="AG391" s="3" t="n">
        <v>15</v>
      </c>
      <c r="AH391" s="4" t="n">
        <v>29600</v>
      </c>
      <c r="AI391" s="3" t="n">
        <v>677</v>
      </c>
      <c r="AJ391" s="7" t="n">
        <f aca="false">ROUND(AB391/I391,4)</f>
        <v>0.3907</v>
      </c>
      <c r="AK391" s="2" t="str">
        <f aca="false">IF(AND(AI391&gt;=750,AJ391&lt;=0.35),"Low",IF(AND(AI391&gt;=600,AJ391&lt;=0.5),"Medium","High"))</f>
        <v>Medium</v>
      </c>
      <c r="AL391" s="3" t="n">
        <v>3</v>
      </c>
      <c r="AM391" s="2" t="s">
        <v>58</v>
      </c>
      <c r="AN391" s="2" t="s">
        <v>59</v>
      </c>
      <c r="AO391" s="2" t="s">
        <v>60</v>
      </c>
      <c r="AP391" s="7" t="n">
        <v>0.217</v>
      </c>
    </row>
    <row r="392" customFormat="false" ht="15" hidden="false" customHeight="false" outlineLevel="0" collapsed="false">
      <c r="A392" s="2" t="s">
        <v>1660</v>
      </c>
      <c r="B392" s="2" t="s">
        <v>1661</v>
      </c>
      <c r="C392" s="2" t="s">
        <v>1662</v>
      </c>
      <c r="D392" s="2" t="s">
        <v>45</v>
      </c>
      <c r="E392" s="3" t="n">
        <v>40</v>
      </c>
      <c r="F392" s="2" t="s">
        <v>64</v>
      </c>
      <c r="G392" s="2" t="s">
        <v>246</v>
      </c>
      <c r="H392" s="2" t="s">
        <v>123</v>
      </c>
      <c r="I392" s="4" t="n">
        <v>12500</v>
      </c>
      <c r="J392" s="2" t="s">
        <v>145</v>
      </c>
      <c r="K392" s="3" t="n">
        <v>13</v>
      </c>
      <c r="L392" s="2" t="s">
        <v>327</v>
      </c>
      <c r="M392" s="2" t="s">
        <v>92</v>
      </c>
      <c r="N392" s="2" t="s">
        <v>81</v>
      </c>
      <c r="O392" s="3" t="n">
        <v>2</v>
      </c>
      <c r="P392" s="2" t="s">
        <v>229</v>
      </c>
      <c r="Q392" s="2" t="s">
        <v>230</v>
      </c>
      <c r="R392" s="2" t="s">
        <v>231</v>
      </c>
      <c r="S392" s="2" t="s">
        <v>92</v>
      </c>
      <c r="T392" s="2" t="s">
        <v>1663</v>
      </c>
      <c r="U392" s="2" t="s">
        <v>85</v>
      </c>
      <c r="V392" s="4" t="n">
        <v>50000</v>
      </c>
      <c r="W392" s="5" t="n">
        <v>9.12</v>
      </c>
      <c r="X392" s="3" t="n">
        <v>24</v>
      </c>
      <c r="Y392" s="6" t="n">
        <v>46178</v>
      </c>
      <c r="Z392" s="6" t="n">
        <v>46186</v>
      </c>
      <c r="AA392" s="6" t="n">
        <v>46190</v>
      </c>
      <c r="AB392" s="4" t="n">
        <f aca="false">ROUND(PMT(W392/1200,X392,-V392),2)</f>
        <v>2286.99</v>
      </c>
      <c r="AC392" s="4" t="n">
        <v>0</v>
      </c>
      <c r="AD392" s="3" t="n">
        <v>1</v>
      </c>
      <c r="AE392" s="4" t="n">
        <v>11500</v>
      </c>
      <c r="AF392" s="4" t="n">
        <v>2400</v>
      </c>
      <c r="AG392" s="3" t="n">
        <v>25</v>
      </c>
      <c r="AH392" s="4" t="n">
        <v>8800</v>
      </c>
      <c r="AI392" s="3" t="n">
        <v>709</v>
      </c>
      <c r="AJ392" s="7" t="n">
        <f aca="false">ROUND(AB392/I392,4)</f>
        <v>0.183</v>
      </c>
      <c r="AK392" s="2" t="str">
        <f aca="false">IF(AND(AI392&gt;=750,AJ392&lt;=0.35),"Low",IF(AND(AI392&gt;=600,AJ392&lt;=0.5),"Medium","High"))</f>
        <v>Medium</v>
      </c>
      <c r="AL392" s="3" t="n">
        <v>4</v>
      </c>
      <c r="AM392" s="2" t="s">
        <v>233</v>
      </c>
      <c r="AN392" s="2" t="s">
        <v>59</v>
      </c>
      <c r="AO392" s="2" t="s">
        <v>60</v>
      </c>
      <c r="AP392" s="7" t="n">
        <v>0.358</v>
      </c>
    </row>
    <row r="393" customFormat="false" ht="15" hidden="false" customHeight="false" outlineLevel="0" collapsed="false">
      <c r="A393" s="2" t="s">
        <v>1664</v>
      </c>
      <c r="B393" s="2" t="s">
        <v>318</v>
      </c>
      <c r="C393" s="2" t="s">
        <v>1665</v>
      </c>
      <c r="D393" s="2" t="s">
        <v>45</v>
      </c>
      <c r="E393" s="3" t="n">
        <v>43</v>
      </c>
      <c r="F393" s="2" t="s">
        <v>175</v>
      </c>
      <c r="G393" s="2" t="s">
        <v>154</v>
      </c>
      <c r="H393" s="2" t="s">
        <v>101</v>
      </c>
      <c r="I393" s="4" t="n">
        <v>71000</v>
      </c>
      <c r="J393" s="2" t="s">
        <v>145</v>
      </c>
      <c r="K393" s="3" t="n">
        <v>21</v>
      </c>
      <c r="L393" s="2" t="s">
        <v>114</v>
      </c>
      <c r="M393" s="2" t="s">
        <v>114</v>
      </c>
      <c r="N393" s="2" t="s">
        <v>81</v>
      </c>
      <c r="O393" s="3" t="n">
        <v>1</v>
      </c>
      <c r="P393" s="2" t="s">
        <v>115</v>
      </c>
      <c r="Q393" s="2" t="s">
        <v>116</v>
      </c>
      <c r="R393" s="2" t="s">
        <v>114</v>
      </c>
      <c r="S393" s="2" t="s">
        <v>114</v>
      </c>
      <c r="T393" s="2" t="s">
        <v>1666</v>
      </c>
      <c r="U393" s="2" t="s">
        <v>192</v>
      </c>
      <c r="V393" s="4" t="n">
        <v>1156000</v>
      </c>
      <c r="W393" s="5" t="n">
        <v>13.01</v>
      </c>
      <c r="X393" s="3" t="n">
        <v>84</v>
      </c>
      <c r="Y393" s="6" t="n">
        <v>46199</v>
      </c>
      <c r="Z393" s="6"/>
      <c r="AA393" s="6"/>
      <c r="AB393" s="4" t="n">
        <f aca="false">ROUND(PMT(W393/1200,X393,-V393),2)</f>
        <v>21036.19</v>
      </c>
      <c r="AC393" s="4" t="n">
        <v>1252000</v>
      </c>
      <c r="AD393" s="3" t="n">
        <v>0</v>
      </c>
      <c r="AE393" s="4" t="n">
        <v>210400</v>
      </c>
      <c r="AF393" s="4" t="n">
        <v>120500</v>
      </c>
      <c r="AG393" s="3" t="n">
        <v>20</v>
      </c>
      <c r="AH393" s="4" t="n">
        <v>44500</v>
      </c>
      <c r="AI393" s="3" t="n">
        <v>640</v>
      </c>
      <c r="AJ393" s="7" t="n">
        <f aca="false">ROUND(AB393/I393,4)</f>
        <v>0.2963</v>
      </c>
      <c r="AK393" s="2" t="str">
        <f aca="false">IF(AND(AI393&gt;=750,AJ393&lt;=0.35),"Low",IF(AND(AI393&gt;=600,AJ393&lt;=0.5),"Medium","High"))</f>
        <v>Medium</v>
      </c>
      <c r="AL393" s="3" t="n">
        <v>0</v>
      </c>
      <c r="AM393" s="2" t="s">
        <v>58</v>
      </c>
      <c r="AN393" s="2"/>
      <c r="AO393" s="2" t="s">
        <v>127</v>
      </c>
      <c r="AP393" s="7" t="n">
        <v>0.306</v>
      </c>
    </row>
    <row r="394" customFormat="false" ht="15" hidden="false" customHeight="false" outlineLevel="0" collapsed="false">
      <c r="A394" s="2" t="s">
        <v>1667</v>
      </c>
      <c r="B394" s="2" t="s">
        <v>1668</v>
      </c>
      <c r="C394" s="2" t="s">
        <v>1669</v>
      </c>
      <c r="D394" s="2" t="s">
        <v>109</v>
      </c>
      <c r="E394" s="3" t="n">
        <v>33</v>
      </c>
      <c r="F394" s="2" t="s">
        <v>64</v>
      </c>
      <c r="G394" s="2" t="s">
        <v>110</v>
      </c>
      <c r="H394" s="2" t="s">
        <v>123</v>
      </c>
      <c r="I394" s="4" t="n">
        <v>23500</v>
      </c>
      <c r="J394" s="2" t="s">
        <v>112</v>
      </c>
      <c r="K394" s="3" t="n">
        <v>8</v>
      </c>
      <c r="L394" s="2" t="s">
        <v>55</v>
      </c>
      <c r="M394" s="2" t="s">
        <v>51</v>
      </c>
      <c r="N394" s="2" t="s">
        <v>52</v>
      </c>
      <c r="O394" s="3" t="n">
        <v>2</v>
      </c>
      <c r="P394" s="2" t="s">
        <v>53</v>
      </c>
      <c r="Q394" s="2" t="s">
        <v>54</v>
      </c>
      <c r="R394" s="2" t="s">
        <v>55</v>
      </c>
      <c r="S394" s="2" t="s">
        <v>51</v>
      </c>
      <c r="T394" s="2" t="s">
        <v>1670</v>
      </c>
      <c r="U394" s="2" t="s">
        <v>85</v>
      </c>
      <c r="V394" s="4" t="n">
        <v>209000</v>
      </c>
      <c r="W394" s="5" t="n">
        <v>9.48</v>
      </c>
      <c r="X394" s="3" t="n">
        <v>24</v>
      </c>
      <c r="Y394" s="6" t="n">
        <v>46174</v>
      </c>
      <c r="Z394" s="6" t="n">
        <v>46178</v>
      </c>
      <c r="AA394" s="6" t="n">
        <v>46180</v>
      </c>
      <c r="AB394" s="4" t="n">
        <f aca="false">ROUND(PMT(W394/1200,X394,-V394),2)</f>
        <v>9594.21</v>
      </c>
      <c r="AC394" s="4" t="n">
        <v>0</v>
      </c>
      <c r="AD394" s="3" t="n">
        <v>1</v>
      </c>
      <c r="AE394" s="4" t="n">
        <v>7848685</v>
      </c>
      <c r="AF394" s="4" t="n">
        <v>9800</v>
      </c>
      <c r="AG394" s="3" t="n">
        <v>22</v>
      </c>
      <c r="AH394" s="4" t="n">
        <v>21100</v>
      </c>
      <c r="AI394" s="3" t="n">
        <v>773</v>
      </c>
      <c r="AJ394" s="7" t="n">
        <f aca="false">ROUND(AB394/I394,4)</f>
        <v>0.4083</v>
      </c>
      <c r="AK394" s="2" t="str">
        <f aca="false">IF(AND(AI394&gt;=750,AJ394&lt;=0.35),"Low",IF(AND(AI394&gt;=600,AJ394&lt;=0.5),"Medium","High"))</f>
        <v>Medium</v>
      </c>
      <c r="AL394" s="3" t="n">
        <v>1</v>
      </c>
      <c r="AM394" s="2" t="s">
        <v>58</v>
      </c>
      <c r="AN394" s="2" t="s">
        <v>119</v>
      </c>
      <c r="AO394" s="2" t="s">
        <v>60</v>
      </c>
      <c r="AP394" s="7" t="n">
        <v>0.166</v>
      </c>
    </row>
    <row r="395" customFormat="false" ht="15" hidden="false" customHeight="false" outlineLevel="0" collapsed="false">
      <c r="A395" s="2" t="s">
        <v>1671</v>
      </c>
      <c r="B395" s="2" t="s">
        <v>1672</v>
      </c>
      <c r="C395" s="2" t="s">
        <v>1673</v>
      </c>
      <c r="D395" s="2" t="s">
        <v>109</v>
      </c>
      <c r="E395" s="3" t="n">
        <v>56</v>
      </c>
      <c r="F395" s="2" t="s">
        <v>64</v>
      </c>
      <c r="G395" s="2" t="s">
        <v>145</v>
      </c>
      <c r="H395" s="2" t="s">
        <v>77</v>
      </c>
      <c r="I395" s="4" t="n">
        <v>55000</v>
      </c>
      <c r="J395" s="2" t="s">
        <v>145</v>
      </c>
      <c r="K395" s="3" t="n">
        <v>30</v>
      </c>
      <c r="L395" s="2" t="s">
        <v>241</v>
      </c>
      <c r="M395" s="2" t="s">
        <v>92</v>
      </c>
      <c r="N395" s="2" t="s">
        <v>52</v>
      </c>
      <c r="O395" s="3" t="n">
        <v>3</v>
      </c>
      <c r="P395" s="2" t="s">
        <v>93</v>
      </c>
      <c r="Q395" s="2" t="s">
        <v>94</v>
      </c>
      <c r="R395" s="2" t="s">
        <v>95</v>
      </c>
      <c r="S395" s="2" t="s">
        <v>92</v>
      </c>
      <c r="T395" s="2" t="s">
        <v>1674</v>
      </c>
      <c r="U395" s="2" t="s">
        <v>85</v>
      </c>
      <c r="V395" s="4" t="n">
        <v>253000</v>
      </c>
      <c r="W395" s="5" t="n">
        <v>9.57</v>
      </c>
      <c r="X395" s="3" t="n">
        <v>24</v>
      </c>
      <c r="Y395" s="6" t="n">
        <v>46183</v>
      </c>
      <c r="Z395" s="6" t="n">
        <v>46188</v>
      </c>
      <c r="AA395" s="6" t="n">
        <v>46189</v>
      </c>
      <c r="AB395" s="4" t="n">
        <f aca="false">ROUND(PMT(W395/1200,X395,-V395),2)</f>
        <v>11624.52</v>
      </c>
      <c r="AC395" s="4" t="n">
        <v>0</v>
      </c>
      <c r="AD395" s="3" t="n">
        <v>0</v>
      </c>
      <c r="AE395" s="4" t="n">
        <v>199700</v>
      </c>
      <c r="AF395" s="4" t="n">
        <v>31700</v>
      </c>
      <c r="AG395" s="3" t="n">
        <v>38</v>
      </c>
      <c r="AH395" s="4" t="n">
        <v>60100</v>
      </c>
      <c r="AI395" s="3" t="n">
        <v>747</v>
      </c>
      <c r="AJ395" s="7" t="n">
        <f aca="false">ROUND(AB395/I395,4)</f>
        <v>0.2114</v>
      </c>
      <c r="AK395" s="2" t="str">
        <f aca="false">IF(AND(AI395&gt;=750,AJ395&lt;=0.35),"Low",IF(AND(AI395&gt;=600,AJ395&lt;=0.5),"Medium","High"))</f>
        <v>Medium</v>
      </c>
      <c r="AL395" s="3" t="n">
        <v>1</v>
      </c>
      <c r="AM395" s="2" t="s">
        <v>58</v>
      </c>
      <c r="AN395" s="2" t="s">
        <v>59</v>
      </c>
      <c r="AO395" s="2" t="s">
        <v>60</v>
      </c>
      <c r="AP395" s="7" t="n">
        <v>0.214</v>
      </c>
    </row>
    <row r="396" customFormat="false" ht="15" hidden="false" customHeight="false" outlineLevel="0" collapsed="false">
      <c r="A396" s="2" t="s">
        <v>1675</v>
      </c>
      <c r="B396" s="2" t="s">
        <v>1676</v>
      </c>
      <c r="C396" s="2" t="s">
        <v>1677</v>
      </c>
      <c r="D396" s="2" t="s">
        <v>45</v>
      </c>
      <c r="E396" s="3" t="n">
        <v>27</v>
      </c>
      <c r="F396" s="2" t="s">
        <v>64</v>
      </c>
      <c r="G396" s="2" t="s">
        <v>145</v>
      </c>
      <c r="H396" s="2" t="s">
        <v>77</v>
      </c>
      <c r="I396" s="4" t="n">
        <v>38000</v>
      </c>
      <c r="J396" s="2" t="s">
        <v>145</v>
      </c>
      <c r="K396" s="3"/>
      <c r="L396" s="2" t="s">
        <v>67</v>
      </c>
      <c r="M396" s="2" t="s">
        <v>67</v>
      </c>
      <c r="N396" s="2" t="s">
        <v>102</v>
      </c>
      <c r="O396" s="3" t="n">
        <v>2</v>
      </c>
      <c r="P396" s="2" t="s">
        <v>103</v>
      </c>
      <c r="Q396" s="2" t="s">
        <v>104</v>
      </c>
      <c r="R396" s="2" t="s">
        <v>67</v>
      </c>
      <c r="S396" s="2" t="s">
        <v>67</v>
      </c>
      <c r="T396" s="2" t="s">
        <v>1678</v>
      </c>
      <c r="U396" s="2" t="s">
        <v>72</v>
      </c>
      <c r="V396" s="4" t="n">
        <v>584000</v>
      </c>
      <c r="W396" s="5" t="n">
        <v>16.37</v>
      </c>
      <c r="X396" s="3" t="n">
        <v>42</v>
      </c>
      <c r="Y396" s="6" t="n">
        <v>46181</v>
      </c>
      <c r="Z396" s="6"/>
      <c r="AA396" s="6"/>
      <c r="AB396" s="4" t="n">
        <f aca="false">ROUND(PMT(W396/1200,X396,-V396),2)</f>
        <v>18358.54</v>
      </c>
      <c r="AC396" s="4" t="n">
        <v>656000</v>
      </c>
      <c r="AD396" s="3" t="n">
        <v>1</v>
      </c>
      <c r="AE396" s="4" t="n">
        <v>118000</v>
      </c>
      <c r="AF396" s="4" t="n">
        <v>69100</v>
      </c>
      <c r="AG396" s="3" t="n">
        <v>20</v>
      </c>
      <c r="AH396" s="4" t="n">
        <v>24700</v>
      </c>
      <c r="AI396" s="3" t="n">
        <v>554</v>
      </c>
      <c r="AJ396" s="7" t="n">
        <f aca="false">ROUND(AB396/I396,4)</f>
        <v>0.4831</v>
      </c>
      <c r="AK396" s="2" t="str">
        <f aca="false">IF(AND(AI396&gt;=750,AJ396&lt;=0.35),"Low",IF(AND(AI396&gt;=600,AJ396&lt;=0.5),"Medium","High"))</f>
        <v>High</v>
      </c>
      <c r="AL396" s="3" t="n">
        <v>2</v>
      </c>
      <c r="AM396" s="2" t="s">
        <v>233</v>
      </c>
      <c r="AN396" s="2"/>
      <c r="AO396" s="2" t="s">
        <v>127</v>
      </c>
      <c r="AP396" s="7" t="n">
        <v>0.409</v>
      </c>
    </row>
    <row r="397" customFormat="false" ht="15" hidden="false" customHeight="false" outlineLevel="0" collapsed="false">
      <c r="A397" s="2" t="s">
        <v>1679</v>
      </c>
      <c r="B397" s="2" t="s">
        <v>854</v>
      </c>
      <c r="C397" s="2" t="s">
        <v>1680</v>
      </c>
      <c r="D397" s="2" t="s">
        <v>45</v>
      </c>
      <c r="E397" s="3" t="n">
        <v>40</v>
      </c>
      <c r="F397" s="2" t="s">
        <v>64</v>
      </c>
      <c r="G397" s="2" t="s">
        <v>145</v>
      </c>
      <c r="H397" s="2" t="s">
        <v>48</v>
      </c>
      <c r="I397" s="4" t="n">
        <v>72000</v>
      </c>
      <c r="J397" s="2" t="s">
        <v>145</v>
      </c>
      <c r="K397" s="3" t="n">
        <v>19</v>
      </c>
      <c r="L397" s="2" t="s">
        <v>274</v>
      </c>
      <c r="M397" s="2" t="s">
        <v>67</v>
      </c>
      <c r="N397" s="2" t="s">
        <v>140</v>
      </c>
      <c r="O397" s="3" t="n">
        <v>0</v>
      </c>
      <c r="P397" s="2" t="s">
        <v>68</v>
      </c>
      <c r="Q397" s="2" t="s">
        <v>69</v>
      </c>
      <c r="R397" s="2" t="s">
        <v>70</v>
      </c>
      <c r="S397" s="2" t="s">
        <v>67</v>
      </c>
      <c r="T397" s="2" t="s">
        <v>1681</v>
      </c>
      <c r="U397" s="2" t="s">
        <v>85</v>
      </c>
      <c r="V397" s="4" t="n">
        <v>796000</v>
      </c>
      <c r="W397" s="5" t="n">
        <v>8.19</v>
      </c>
      <c r="X397" s="3" t="n">
        <v>36</v>
      </c>
      <c r="Y397" s="6" t="n">
        <v>46191</v>
      </c>
      <c r="Z397" s="6"/>
      <c r="AA397" s="6"/>
      <c r="AB397" s="4" t="n">
        <f aca="false">ROUND(PMT(W397/1200,X397,-V397),2)</f>
        <v>25013.58</v>
      </c>
      <c r="AC397" s="4" t="n">
        <v>0</v>
      </c>
      <c r="AD397" s="3" t="n">
        <v>1</v>
      </c>
      <c r="AE397" s="4" t="n">
        <v>118300</v>
      </c>
      <c r="AF397" s="4" t="n">
        <v>48700</v>
      </c>
      <c r="AG397" s="3" t="n">
        <v>29</v>
      </c>
      <c r="AH397" s="4" t="n">
        <v>24800</v>
      </c>
      <c r="AI397" s="3" t="n">
        <v>816</v>
      </c>
      <c r="AJ397" s="7" t="n">
        <f aca="false">ROUND(AB397/I397,4)</f>
        <v>0.3474</v>
      </c>
      <c r="AK397" s="2" t="str">
        <f aca="false">IF(AND(AI397&gt;=750,AJ397&lt;=0.35),"Low",IF(AND(AI397&gt;=600,AJ397&lt;=0.5),"Medium","High"))</f>
        <v>Low</v>
      </c>
      <c r="AL397" s="3" t="n">
        <v>4</v>
      </c>
      <c r="AM397" s="2" t="s">
        <v>233</v>
      </c>
      <c r="AN397" s="2"/>
      <c r="AO397" s="2" t="s">
        <v>134</v>
      </c>
      <c r="AP397" s="7" t="n">
        <v>0.261</v>
      </c>
    </row>
    <row r="398" customFormat="false" ht="15" hidden="false" customHeight="false" outlineLevel="0" collapsed="false">
      <c r="A398" s="2" t="s">
        <v>1682</v>
      </c>
      <c r="B398" s="2" t="s">
        <v>1683</v>
      </c>
      <c r="C398" s="2" t="s">
        <v>187</v>
      </c>
      <c r="D398" s="2" t="s">
        <v>45</v>
      </c>
      <c r="E398" s="3" t="n">
        <v>37</v>
      </c>
      <c r="F398" s="2" t="s">
        <v>64</v>
      </c>
      <c r="G398" s="2" t="s">
        <v>47</v>
      </c>
      <c r="H398" s="2" t="s">
        <v>48</v>
      </c>
      <c r="I398" s="4" t="n">
        <v>87000</v>
      </c>
      <c r="J398" s="2" t="s">
        <v>49</v>
      </c>
      <c r="K398" s="3" t="n">
        <v>15</v>
      </c>
      <c r="L398" s="2" t="s">
        <v>55</v>
      </c>
      <c r="M398" s="2" t="s">
        <v>51</v>
      </c>
      <c r="N398" s="2" t="s">
        <v>140</v>
      </c>
      <c r="O398" s="3" t="n">
        <v>1</v>
      </c>
      <c r="P398" s="2" t="s">
        <v>53</v>
      </c>
      <c r="Q398" s="2" t="s">
        <v>54</v>
      </c>
      <c r="R398" s="2" t="s">
        <v>55</v>
      </c>
      <c r="S398" s="2" t="s">
        <v>51</v>
      </c>
      <c r="T398" s="2" t="s">
        <v>1684</v>
      </c>
      <c r="U398" s="2" t="s">
        <v>57</v>
      </c>
      <c r="V398" s="4" t="n">
        <v>1992000</v>
      </c>
      <c r="W398" s="5" t="n">
        <v>9.28</v>
      </c>
      <c r="X398" s="3" t="n">
        <v>204</v>
      </c>
      <c r="Y398" s="6" t="n">
        <v>46187</v>
      </c>
      <c r="Z398" s="6"/>
      <c r="AA398" s="6"/>
      <c r="AB398" s="4" t="n">
        <f aca="false">ROUND(PMT(W398/1200,X398,-V398),2)</f>
        <v>19443.8</v>
      </c>
      <c r="AC398" s="4" t="n">
        <v>2064000</v>
      </c>
      <c r="AD398" s="3" t="n">
        <v>0</v>
      </c>
      <c r="AE398" s="4" t="n">
        <v>272900</v>
      </c>
      <c r="AF398" s="4" t="n">
        <v>125000</v>
      </c>
      <c r="AG398" s="3" t="n">
        <v>38</v>
      </c>
      <c r="AH398" s="4" t="n">
        <v>72700</v>
      </c>
      <c r="AI398" s="3" t="n">
        <v>771</v>
      </c>
      <c r="AJ398" s="7" t="n">
        <f aca="false">ROUND(AB398/I398,4)</f>
        <v>0.2235</v>
      </c>
      <c r="AK398" s="2" t="str">
        <f aca="false">IF(AND(AI398&gt;=750,AJ398&lt;=0.35),"Low",IF(AND(AI398&gt;=600,AJ398&lt;=0.5),"Medium","High"))</f>
        <v>Low</v>
      </c>
      <c r="AL398" s="3" t="n">
        <v>1</v>
      </c>
      <c r="AM398" s="2" t="s">
        <v>58</v>
      </c>
      <c r="AN398" s="2"/>
      <c r="AO398" s="2" t="s">
        <v>134</v>
      </c>
      <c r="AP398" s="7" t="n">
        <v>0.196</v>
      </c>
    </row>
    <row r="399" customFormat="false" ht="15" hidden="false" customHeight="false" outlineLevel="0" collapsed="false">
      <c r="A399" s="2" t="s">
        <v>1685</v>
      </c>
      <c r="B399" s="2" t="s">
        <v>1686</v>
      </c>
      <c r="C399" s="2" t="s">
        <v>1687</v>
      </c>
      <c r="D399" s="2" t="s">
        <v>109</v>
      </c>
      <c r="E399" s="3" t="n">
        <v>62</v>
      </c>
      <c r="F399" s="2" t="s">
        <v>64</v>
      </c>
      <c r="G399" s="2" t="s">
        <v>110</v>
      </c>
      <c r="H399" s="2" t="s">
        <v>48</v>
      </c>
      <c r="I399" s="4" t="n">
        <v>740218</v>
      </c>
      <c r="J399" s="2" t="s">
        <v>112</v>
      </c>
      <c r="K399" s="3" t="n">
        <v>38</v>
      </c>
      <c r="L399" s="2" t="s">
        <v>380</v>
      </c>
      <c r="M399" s="2" t="s">
        <v>92</v>
      </c>
      <c r="N399" s="2" t="s">
        <v>81</v>
      </c>
      <c r="O399" s="3" t="n">
        <v>0</v>
      </c>
      <c r="P399" s="2" t="s">
        <v>124</v>
      </c>
      <c r="Q399" s="2" t="s">
        <v>125</v>
      </c>
      <c r="R399" s="2" t="s">
        <v>91</v>
      </c>
      <c r="S399" s="2" t="s">
        <v>92</v>
      </c>
      <c r="T399" s="2" t="s">
        <v>1688</v>
      </c>
      <c r="U399" s="2" t="s">
        <v>192</v>
      </c>
      <c r="V399" s="4" t="n">
        <v>327000</v>
      </c>
      <c r="W399" s="5" t="n">
        <v>14.04</v>
      </c>
      <c r="X399" s="3" t="n">
        <v>54</v>
      </c>
      <c r="Y399" s="6" t="n">
        <v>46194</v>
      </c>
      <c r="Z399" s="6" t="n">
        <v>46203</v>
      </c>
      <c r="AA399" s="6" t="n">
        <v>46206</v>
      </c>
      <c r="AB399" s="4" t="n">
        <f aca="false">ROUND(PMT(W399/1200,X399,-V399),2)</f>
        <v>8202.82</v>
      </c>
      <c r="AC399" s="4" t="n">
        <v>471000</v>
      </c>
      <c r="AD399" s="3" t="n">
        <v>1</v>
      </c>
      <c r="AE399" s="4" t="n">
        <v>56800</v>
      </c>
      <c r="AF399" s="4" t="n">
        <v>27000</v>
      </c>
      <c r="AG399" s="3" t="n">
        <v>67</v>
      </c>
      <c r="AH399" s="4" t="n">
        <v>24100</v>
      </c>
      <c r="AI399" s="3" t="n">
        <v>515</v>
      </c>
      <c r="AJ399" s="7" t="n">
        <f aca="false">ROUND(AB399/I399,4)</f>
        <v>0.0111</v>
      </c>
      <c r="AK399" s="2" t="str">
        <f aca="false">IF(AND(AI399&gt;=750,AJ399&lt;=0.35),"Low",IF(AND(AI399&gt;=600,AJ399&lt;=0.5),"Medium","High"))</f>
        <v>High</v>
      </c>
      <c r="AL399" s="3" t="n">
        <v>4</v>
      </c>
      <c r="AM399" s="2" t="s">
        <v>58</v>
      </c>
      <c r="AN399" s="2" t="s">
        <v>59</v>
      </c>
      <c r="AO399" s="2" t="s">
        <v>60</v>
      </c>
      <c r="AP399" s="7" t="n">
        <v>0.521</v>
      </c>
    </row>
    <row r="400" customFormat="false" ht="15" hidden="false" customHeight="false" outlineLevel="0" collapsed="false">
      <c r="A400" s="2" t="s">
        <v>1689</v>
      </c>
      <c r="B400" s="2" t="s">
        <v>1690</v>
      </c>
      <c r="C400" s="2" t="s">
        <v>1691</v>
      </c>
      <c r="D400" s="2" t="s">
        <v>109</v>
      </c>
      <c r="E400" s="3" t="n">
        <v>38</v>
      </c>
      <c r="F400" s="2" t="s">
        <v>434</v>
      </c>
      <c r="G400" s="2" t="s">
        <v>176</v>
      </c>
      <c r="H400" s="2" t="s">
        <v>48</v>
      </c>
      <c r="I400" s="4" t="n">
        <v>102500</v>
      </c>
      <c r="J400" s="2" t="s">
        <v>177</v>
      </c>
      <c r="K400" s="3" t="n">
        <v>13</v>
      </c>
      <c r="L400" s="2" t="s">
        <v>247</v>
      </c>
      <c r="M400" s="2" t="s">
        <v>80</v>
      </c>
      <c r="N400" s="2" t="s">
        <v>140</v>
      </c>
      <c r="O400" s="3" t="n">
        <v>0</v>
      </c>
      <c r="P400" s="2" t="s">
        <v>82</v>
      </c>
      <c r="Q400" s="2" t="s">
        <v>83</v>
      </c>
      <c r="R400" s="2" t="s">
        <v>80</v>
      </c>
      <c r="S400" s="2" t="s">
        <v>80</v>
      </c>
      <c r="T400" s="2" t="s">
        <v>1692</v>
      </c>
      <c r="U400" s="2" t="s">
        <v>85</v>
      </c>
      <c r="V400" s="4" t="n">
        <v>800000</v>
      </c>
      <c r="W400" s="5" t="n">
        <v>8.29</v>
      </c>
      <c r="X400" s="3" t="n">
        <v>30</v>
      </c>
      <c r="Y400" s="6" t="n">
        <v>46182</v>
      </c>
      <c r="Z400" s="6" t="n">
        <v>46188</v>
      </c>
      <c r="AA400" s="6" t="n">
        <v>46191</v>
      </c>
      <c r="AB400" s="4" t="n">
        <f aca="false">ROUND(PMT(W400/1200,X400,-V400),2)</f>
        <v>29617.06</v>
      </c>
      <c r="AC400" s="4" t="n">
        <v>0</v>
      </c>
      <c r="AD400" s="3" t="n">
        <v>0</v>
      </c>
      <c r="AE400" s="4" t="n">
        <v>387000</v>
      </c>
      <c r="AF400" s="4" t="n">
        <v>169900</v>
      </c>
      <c r="AG400" s="3" t="n">
        <v>6</v>
      </c>
      <c r="AH400" s="4" t="n">
        <v>64700</v>
      </c>
      <c r="AI400" s="3" t="n">
        <v>750</v>
      </c>
      <c r="AJ400" s="7" t="n">
        <f aca="false">ROUND(AB400/I400,4)</f>
        <v>0.2889</v>
      </c>
      <c r="AK400" s="2" t="str">
        <f aca="false">IF(AND(AI400&gt;=750,AJ400&lt;=0.35),"Low",IF(AND(AI400&gt;=600,AJ400&lt;=0.5),"Medium","High"))</f>
        <v>Low</v>
      </c>
      <c r="AL400" s="3" t="n">
        <v>1</v>
      </c>
      <c r="AM400" s="2" t="s">
        <v>58</v>
      </c>
      <c r="AN400" s="2" t="s">
        <v>59</v>
      </c>
      <c r="AO400" s="2" t="s">
        <v>60</v>
      </c>
      <c r="AP400" s="7" t="n">
        <v>0.215</v>
      </c>
    </row>
    <row r="401" customFormat="false" ht="15" hidden="false" customHeight="false" outlineLevel="0" collapsed="false">
      <c r="A401" s="2" t="s">
        <v>1693</v>
      </c>
      <c r="B401" s="2" t="s">
        <v>1694</v>
      </c>
      <c r="C401" s="2" t="s">
        <v>740</v>
      </c>
      <c r="D401" s="2" t="s">
        <v>109</v>
      </c>
      <c r="E401" s="3" t="n">
        <v>26</v>
      </c>
      <c r="F401" s="2" t="s">
        <v>46</v>
      </c>
      <c r="G401" s="2" t="s">
        <v>90</v>
      </c>
      <c r="H401" s="2" t="s">
        <v>101</v>
      </c>
      <c r="I401" s="4" t="n">
        <v>47000</v>
      </c>
      <c r="J401" s="2" t="s">
        <v>90</v>
      </c>
      <c r="K401" s="3" t="n">
        <v>2</v>
      </c>
      <c r="L401" s="2" t="s">
        <v>159</v>
      </c>
      <c r="M401" s="2" t="s">
        <v>159</v>
      </c>
      <c r="N401" s="2" t="s">
        <v>81</v>
      </c>
      <c r="O401" s="3" t="n">
        <v>0</v>
      </c>
      <c r="P401" s="2" t="s">
        <v>53</v>
      </c>
      <c r="Q401" s="2" t="s">
        <v>54</v>
      </c>
      <c r="R401" s="2" t="s">
        <v>55</v>
      </c>
      <c r="S401" s="2" t="s">
        <v>51</v>
      </c>
      <c r="T401" s="2" t="s">
        <v>1695</v>
      </c>
      <c r="U401" s="2" t="s">
        <v>118</v>
      </c>
      <c r="V401" s="4" t="n">
        <v>782000</v>
      </c>
      <c r="W401" s="5" t="n">
        <v>9.23</v>
      </c>
      <c r="X401" s="3" t="n">
        <v>66</v>
      </c>
      <c r="Y401" s="6" t="n">
        <v>46174</v>
      </c>
      <c r="Z401" s="6"/>
      <c r="AA401" s="6"/>
      <c r="AB401" s="4" t="n">
        <f aca="false">ROUND(PMT(W401/1200,X401,-V401),2)</f>
        <v>15153.84</v>
      </c>
      <c r="AC401" s="4" t="n">
        <v>0</v>
      </c>
      <c r="AD401" s="3" t="n">
        <v>2</v>
      </c>
      <c r="AE401" s="4" t="n">
        <v>29000</v>
      </c>
      <c r="AF401" s="4" t="n">
        <v>8200</v>
      </c>
      <c r="AG401" s="3" t="n">
        <v>29</v>
      </c>
      <c r="AH401" s="4" t="n">
        <v>23000</v>
      </c>
      <c r="AI401" s="3" t="n">
        <v>672</v>
      </c>
      <c r="AJ401" s="7" t="n">
        <f aca="false">ROUND(AB401/I401,4)</f>
        <v>0.3224</v>
      </c>
      <c r="AK401" s="2" t="str">
        <f aca="false">IF(AND(AI401&gt;=750,AJ401&lt;=0.35),"Low",IF(AND(AI401&gt;=600,AJ401&lt;=0.5),"Medium","High"))</f>
        <v>Medium</v>
      </c>
      <c r="AL401" s="3" t="n">
        <v>0</v>
      </c>
      <c r="AM401" s="2" t="s">
        <v>233</v>
      </c>
      <c r="AN401" s="2"/>
      <c r="AO401" s="2" t="s">
        <v>134</v>
      </c>
      <c r="AP401" s="7" t="n">
        <v>0.398</v>
      </c>
    </row>
    <row r="402" customFormat="false" ht="15" hidden="false" customHeight="false" outlineLevel="0" collapsed="false">
      <c r="A402" s="2" t="s">
        <v>1696</v>
      </c>
      <c r="B402" s="2" t="s">
        <v>1697</v>
      </c>
      <c r="C402" s="2" t="s">
        <v>441</v>
      </c>
      <c r="D402" s="2" t="s">
        <v>45</v>
      </c>
      <c r="E402" s="3" t="n">
        <v>29</v>
      </c>
      <c r="F402" s="2" t="s">
        <v>46</v>
      </c>
      <c r="G402" s="2" t="s">
        <v>65</v>
      </c>
      <c r="H402" s="2" t="s">
        <v>48</v>
      </c>
      <c r="I402" s="4" t="n">
        <v>37000</v>
      </c>
      <c r="J402" s="2" t="s">
        <v>49</v>
      </c>
      <c r="K402" s="3" t="n">
        <v>7</v>
      </c>
      <c r="L402" s="2" t="s">
        <v>533</v>
      </c>
      <c r="M402" s="2" t="s">
        <v>114</v>
      </c>
      <c r="N402" s="2" t="s">
        <v>52</v>
      </c>
      <c r="O402" s="3" t="n">
        <v>1</v>
      </c>
      <c r="P402" s="2" t="s">
        <v>197</v>
      </c>
      <c r="Q402" s="2" t="s">
        <v>198</v>
      </c>
      <c r="R402" s="2" t="s">
        <v>139</v>
      </c>
      <c r="S402" s="2" t="s">
        <v>139</v>
      </c>
      <c r="T402" s="2" t="s">
        <v>1698</v>
      </c>
      <c r="U402" s="2" t="s">
        <v>57</v>
      </c>
      <c r="V402" s="4" t="n">
        <v>1382000</v>
      </c>
      <c r="W402" s="5" t="n">
        <v>10.72</v>
      </c>
      <c r="X402" s="3" t="n">
        <v>276</v>
      </c>
      <c r="Y402" s="6" t="n">
        <v>46197</v>
      </c>
      <c r="Z402" s="6" t="n">
        <v>46202</v>
      </c>
      <c r="AA402" s="6" t="n">
        <v>46208</v>
      </c>
      <c r="AB402" s="4" t="n">
        <f aca="false">ROUND(PMT(W402/1200,X402,-V402),2)</f>
        <v>13505.93</v>
      </c>
      <c r="AC402" s="4" t="n">
        <v>1479000</v>
      </c>
      <c r="AD402" s="3" t="n">
        <v>1</v>
      </c>
      <c r="AE402" s="4" t="n">
        <v>139400</v>
      </c>
      <c r="AF402" s="4" t="n">
        <v>51700</v>
      </c>
      <c r="AG402" s="3" t="n">
        <v>15</v>
      </c>
      <c r="AH402" s="4" t="n">
        <v>26700</v>
      </c>
      <c r="AI402" s="3" t="n">
        <v>709</v>
      </c>
      <c r="AJ402" s="7" t="n">
        <f aca="false">ROUND(AB402/I402,4)</f>
        <v>0.365</v>
      </c>
      <c r="AK402" s="2" t="str">
        <f aca="false">IF(AND(AI402&gt;=750,AJ402&lt;=0.35),"Low",IF(AND(AI402&gt;=600,AJ402&lt;=0.5),"Medium","High"))</f>
        <v>Medium</v>
      </c>
      <c r="AL402" s="3" t="n">
        <v>1</v>
      </c>
      <c r="AM402" s="2" t="s">
        <v>233</v>
      </c>
      <c r="AN402" s="2" t="s">
        <v>258</v>
      </c>
      <c r="AO402" s="2" t="s">
        <v>60</v>
      </c>
      <c r="AP402" s="7" t="n">
        <v>0.323</v>
      </c>
    </row>
    <row r="403" customFormat="false" ht="15" hidden="false" customHeight="false" outlineLevel="0" collapsed="false">
      <c r="A403" s="2" t="s">
        <v>1699</v>
      </c>
      <c r="B403" s="2" t="s">
        <v>1125</v>
      </c>
      <c r="C403" s="2" t="s">
        <v>1700</v>
      </c>
      <c r="D403" s="2" t="s">
        <v>45</v>
      </c>
      <c r="E403" s="3" t="n">
        <v>45</v>
      </c>
      <c r="F403" s="2" t="s">
        <v>64</v>
      </c>
      <c r="G403" s="2" t="s">
        <v>176</v>
      </c>
      <c r="H403" s="2" t="s">
        <v>48</v>
      </c>
      <c r="I403" s="4" t="n">
        <v>100500</v>
      </c>
      <c r="J403" s="2" t="s">
        <v>177</v>
      </c>
      <c r="K403" s="3" t="n">
        <v>24</v>
      </c>
      <c r="L403" s="2" t="s">
        <v>70</v>
      </c>
      <c r="M403" s="2" t="s">
        <v>67</v>
      </c>
      <c r="N403" s="2" t="s">
        <v>52</v>
      </c>
      <c r="O403" s="3" t="n">
        <v>1</v>
      </c>
      <c r="P403" s="2" t="s">
        <v>68</v>
      </c>
      <c r="Q403" s="2" t="s">
        <v>69</v>
      </c>
      <c r="R403" s="2" t="s">
        <v>70</v>
      </c>
      <c r="S403" s="2" t="s">
        <v>67</v>
      </c>
      <c r="T403" s="2" t="s">
        <v>1701</v>
      </c>
      <c r="U403" s="2" t="s">
        <v>72</v>
      </c>
      <c r="V403" s="4" t="n">
        <v>796000</v>
      </c>
      <c r="W403" s="5" t="n">
        <v>14.66</v>
      </c>
      <c r="X403" s="3" t="n">
        <v>24</v>
      </c>
      <c r="Y403" s="6" t="n">
        <v>46201</v>
      </c>
      <c r="Z403" s="6" t="n">
        <v>46210</v>
      </c>
      <c r="AA403" s="6" t="n">
        <v>46214</v>
      </c>
      <c r="AB403" s="4" t="n">
        <f aca="false">ROUND(PMT(W403/1200,X403,-V403),2)</f>
        <v>38466.91</v>
      </c>
      <c r="AC403" s="4" t="n">
        <v>1091000</v>
      </c>
      <c r="AD403" s="3" t="n">
        <v>0</v>
      </c>
      <c r="AE403" s="4" t="n">
        <v>105900</v>
      </c>
      <c r="AF403" s="4" t="n">
        <v>47000</v>
      </c>
      <c r="AG403" s="3" t="n">
        <v>10</v>
      </c>
      <c r="AH403" s="4" t="n">
        <v>40500</v>
      </c>
      <c r="AI403" s="3" t="n">
        <v>633</v>
      </c>
      <c r="AJ403" s="7" t="n">
        <f aca="false">ROUND(AB403/I403,4)</f>
        <v>0.3828</v>
      </c>
      <c r="AK403" s="2" t="str">
        <f aca="false">IF(AND(AI403&gt;=750,AJ403&lt;=0.35),"Low",IF(AND(AI403&gt;=600,AJ403&lt;=0.5),"Medium","High"))</f>
        <v>Medium</v>
      </c>
      <c r="AL403" s="3" t="n">
        <v>2</v>
      </c>
      <c r="AM403" s="2" t="s">
        <v>58</v>
      </c>
      <c r="AN403" s="2" t="s">
        <v>59</v>
      </c>
      <c r="AO403" s="2" t="s">
        <v>60</v>
      </c>
      <c r="AP403" s="7" t="n">
        <v>0.355</v>
      </c>
    </row>
    <row r="404" customFormat="false" ht="15" hidden="false" customHeight="false" outlineLevel="0" collapsed="false">
      <c r="A404" s="2" t="s">
        <v>1702</v>
      </c>
      <c r="B404" s="2" t="s">
        <v>1703</v>
      </c>
      <c r="C404" s="2" t="s">
        <v>812</v>
      </c>
      <c r="D404" s="2" t="s">
        <v>45</v>
      </c>
      <c r="E404" s="3" t="n">
        <v>21</v>
      </c>
      <c r="F404" s="2" t="s">
        <v>64</v>
      </c>
      <c r="G404" s="2" t="s">
        <v>47</v>
      </c>
      <c r="H404" s="2" t="s">
        <v>48</v>
      </c>
      <c r="I404" s="4" t="n">
        <v>70500</v>
      </c>
      <c r="J404" s="2" t="s">
        <v>49</v>
      </c>
      <c r="K404" s="3" t="n">
        <v>0</v>
      </c>
      <c r="L404" s="2" t="s">
        <v>67</v>
      </c>
      <c r="M404" s="2" t="s">
        <v>67</v>
      </c>
      <c r="N404" s="2" t="s">
        <v>52</v>
      </c>
      <c r="O404" s="3" t="n">
        <v>1</v>
      </c>
      <c r="P404" s="2" t="s">
        <v>103</v>
      </c>
      <c r="Q404" s="2" t="s">
        <v>104</v>
      </c>
      <c r="R404" s="2" t="s">
        <v>67</v>
      </c>
      <c r="S404" s="2" t="s">
        <v>67</v>
      </c>
      <c r="T404" s="2" t="s">
        <v>1704</v>
      </c>
      <c r="U404" s="2" t="s">
        <v>118</v>
      </c>
      <c r="V404" s="4" t="n">
        <v>828000</v>
      </c>
      <c r="W404" s="5" t="n">
        <v>8.57</v>
      </c>
      <c r="X404" s="3" t="n">
        <v>36</v>
      </c>
      <c r="Y404" s="6" t="n">
        <v>46196</v>
      </c>
      <c r="Z404" s="6" t="n">
        <v>46206</v>
      </c>
      <c r="AA404" s="6" t="n">
        <v>46209</v>
      </c>
      <c r="AB404" s="4" t="n">
        <f aca="false">ROUND(PMT(W404/1200,X404,-V404),2)</f>
        <v>26164.79</v>
      </c>
      <c r="AC404" s="4"/>
      <c r="AD404" s="3" t="n">
        <v>2</v>
      </c>
      <c r="AE404" s="4" t="n">
        <v>159600</v>
      </c>
      <c r="AF404" s="4" t="n">
        <v>72500</v>
      </c>
      <c r="AG404" s="3" t="n">
        <v>20</v>
      </c>
      <c r="AH404" s="4" t="n">
        <v>35200</v>
      </c>
      <c r="AI404" s="3" t="n">
        <v>611</v>
      </c>
      <c r="AJ404" s="7" t="n">
        <f aca="false">ROUND(AB404/I404,4)</f>
        <v>0.3711</v>
      </c>
      <c r="AK404" s="2" t="str">
        <f aca="false">IF(AND(AI404&gt;=750,AJ404&lt;=0.35),"Low",IF(AND(AI404&gt;=600,AJ404&lt;=0.5),"Medium","High"))</f>
        <v>Medium</v>
      </c>
      <c r="AL404" s="3" t="n">
        <v>3</v>
      </c>
      <c r="AM404" s="2" t="s">
        <v>58</v>
      </c>
      <c r="AN404" s="2" t="s">
        <v>119</v>
      </c>
      <c r="AO404" s="2" t="s">
        <v>86</v>
      </c>
      <c r="AP404" s="7" t="n">
        <v>0.36</v>
      </c>
    </row>
    <row r="405" customFormat="false" ht="15" hidden="false" customHeight="false" outlineLevel="0" collapsed="false">
      <c r="A405" s="2" t="s">
        <v>1705</v>
      </c>
      <c r="B405" s="2" t="s">
        <v>1706</v>
      </c>
      <c r="C405" s="2" t="s">
        <v>1707</v>
      </c>
      <c r="D405" s="2" t="s">
        <v>45</v>
      </c>
      <c r="E405" s="3" t="n">
        <v>25</v>
      </c>
      <c r="F405" s="2" t="s">
        <v>434</v>
      </c>
      <c r="G405" s="2"/>
      <c r="H405" s="2" t="s">
        <v>48</v>
      </c>
      <c r="I405" s="4" t="n">
        <v>47500</v>
      </c>
      <c r="J405" s="2" t="s">
        <v>177</v>
      </c>
      <c r="K405" s="3" t="n">
        <v>0</v>
      </c>
      <c r="L405" s="2" t="s">
        <v>463</v>
      </c>
      <c r="M405" s="2" t="s">
        <v>51</v>
      </c>
      <c r="N405" s="2" t="s">
        <v>140</v>
      </c>
      <c r="O405" s="3" t="n">
        <v>0</v>
      </c>
      <c r="P405" s="2" t="s">
        <v>53</v>
      </c>
      <c r="Q405" s="2" t="s">
        <v>54</v>
      </c>
      <c r="R405" s="2" t="s">
        <v>55</v>
      </c>
      <c r="S405" s="2" t="s">
        <v>51</v>
      </c>
      <c r="T405" s="2" t="s">
        <v>1708</v>
      </c>
      <c r="U405" s="2" t="s">
        <v>192</v>
      </c>
      <c r="V405" s="4" t="n">
        <v>200000</v>
      </c>
      <c r="W405" s="5" t="n">
        <v>14.02</v>
      </c>
      <c r="X405" s="3" t="n">
        <v>12</v>
      </c>
      <c r="Y405" s="6" t="n">
        <v>46197</v>
      </c>
      <c r="Z405" s="6" t="n">
        <v>46202</v>
      </c>
      <c r="AA405" s="6" t="n">
        <v>46206</v>
      </c>
      <c r="AB405" s="4" t="n">
        <f aca="false">ROUND(PMT(W405/1200,X405,-V405),2)</f>
        <v>17959.31</v>
      </c>
      <c r="AC405" s="4" t="n">
        <v>294000</v>
      </c>
      <c r="AD405" s="3" t="n">
        <v>0</v>
      </c>
      <c r="AE405" s="4" t="n">
        <v>177400</v>
      </c>
      <c r="AF405" s="4" t="n">
        <v>19900</v>
      </c>
      <c r="AG405" s="3" t="n">
        <v>25</v>
      </c>
      <c r="AH405" s="4" t="n">
        <v>36300</v>
      </c>
      <c r="AI405" s="3" t="n">
        <v>697</v>
      </c>
      <c r="AJ405" s="7" t="n">
        <f aca="false">ROUND(AB405/I405,4)</f>
        <v>0.3781</v>
      </c>
      <c r="AK405" s="2" t="str">
        <f aca="false">IF(AND(AI405&gt;=750,AJ405&lt;=0.35),"Low",IF(AND(AI405&gt;=600,AJ405&lt;=0.5),"Medium","High"))</f>
        <v>Medium</v>
      </c>
      <c r="AL405" s="3" t="n">
        <v>2</v>
      </c>
      <c r="AM405" s="2" t="s">
        <v>233</v>
      </c>
      <c r="AN405" s="2" t="s">
        <v>59</v>
      </c>
      <c r="AO405" s="2" t="s">
        <v>60</v>
      </c>
      <c r="AP405" s="7" t="n">
        <v>0.269</v>
      </c>
    </row>
    <row r="406" customFormat="false" ht="15" hidden="false" customHeight="false" outlineLevel="0" collapsed="false">
      <c r="A406" s="2" t="s">
        <v>1709</v>
      </c>
      <c r="B406" s="2" t="s">
        <v>1710</v>
      </c>
      <c r="C406" s="2" t="s">
        <v>1711</v>
      </c>
      <c r="D406" s="2" t="s">
        <v>109</v>
      </c>
      <c r="E406" s="3" t="n">
        <v>21</v>
      </c>
      <c r="F406" s="2" t="s">
        <v>64</v>
      </c>
      <c r="G406" s="2" t="s">
        <v>90</v>
      </c>
      <c r="H406" s="2"/>
      <c r="I406" s="4" t="n">
        <v>21500</v>
      </c>
      <c r="J406" s="2" t="s">
        <v>90</v>
      </c>
      <c r="K406" s="3" t="n">
        <v>0</v>
      </c>
      <c r="L406" s="2" t="s">
        <v>139</v>
      </c>
      <c r="M406" s="2" t="s">
        <v>139</v>
      </c>
      <c r="N406" s="2" t="s">
        <v>52</v>
      </c>
      <c r="O406" s="3" t="n">
        <v>3</v>
      </c>
      <c r="P406" s="2" t="s">
        <v>197</v>
      </c>
      <c r="Q406" s="2" t="s">
        <v>198</v>
      </c>
      <c r="R406" s="2" t="s">
        <v>139</v>
      </c>
      <c r="S406" s="2" t="s">
        <v>139</v>
      </c>
      <c r="T406" s="2" t="s">
        <v>1712</v>
      </c>
      <c r="U406" s="2" t="s">
        <v>97</v>
      </c>
      <c r="V406" s="4" t="n">
        <v>241000</v>
      </c>
      <c r="W406" s="5" t="n">
        <v>12.32</v>
      </c>
      <c r="X406" s="3" t="n">
        <v>60</v>
      </c>
      <c r="Y406" s="6" t="n">
        <v>46174</v>
      </c>
      <c r="Z406" s="6" t="n">
        <v>46175</v>
      </c>
      <c r="AA406" s="6" t="n">
        <v>46180</v>
      </c>
      <c r="AB406" s="4" t="n">
        <f aca="false">ROUND(PMT(W406/1200,X406,-V406),2)</f>
        <v>5399.96</v>
      </c>
      <c r="AC406" s="4" t="n">
        <v>0</v>
      </c>
      <c r="AD406" s="3" t="n">
        <v>1</v>
      </c>
      <c r="AE406" s="4" t="n">
        <v>18800</v>
      </c>
      <c r="AF406" s="4" t="n">
        <v>8600</v>
      </c>
      <c r="AG406" s="3"/>
      <c r="AH406" s="4" t="n">
        <v>21100</v>
      </c>
      <c r="AI406" s="3" t="n">
        <v>617</v>
      </c>
      <c r="AJ406" s="7" t="n">
        <f aca="false">ROUND(AB406/I406,4)</f>
        <v>0.2512</v>
      </c>
      <c r="AK406" s="2" t="str">
        <f aca="false">IF(AND(AI406&gt;=750,AJ406&lt;=0.35),"Low",IF(AND(AI406&gt;=600,AJ406&lt;=0.5),"Medium","High"))</f>
        <v>Medium</v>
      </c>
      <c r="AL406" s="3" t="n">
        <v>0</v>
      </c>
      <c r="AM406" s="2" t="s">
        <v>58</v>
      </c>
      <c r="AN406" s="2" t="s">
        <v>119</v>
      </c>
      <c r="AO406" s="2" t="s">
        <v>60</v>
      </c>
      <c r="AP406" s="7" t="n">
        <v>0.271</v>
      </c>
    </row>
    <row r="407" customFormat="false" ht="15" hidden="false" customHeight="false" outlineLevel="0" collapsed="false">
      <c r="A407" s="2" t="s">
        <v>1713</v>
      </c>
      <c r="B407" s="2" t="s">
        <v>1714</v>
      </c>
      <c r="C407" s="2" t="s">
        <v>1715</v>
      </c>
      <c r="D407" s="2" t="s">
        <v>45</v>
      </c>
      <c r="E407" s="3" t="n">
        <v>36</v>
      </c>
      <c r="F407" s="2" t="s">
        <v>64</v>
      </c>
      <c r="G407" s="2" t="s">
        <v>154</v>
      </c>
      <c r="H407" s="2" t="s">
        <v>77</v>
      </c>
      <c r="I407" s="4" t="n">
        <v>24000</v>
      </c>
      <c r="J407" s="2" t="s">
        <v>145</v>
      </c>
      <c r="K407" s="3" t="n">
        <v>11</v>
      </c>
      <c r="L407" s="2" t="s">
        <v>159</v>
      </c>
      <c r="M407" s="2" t="s">
        <v>159</v>
      </c>
      <c r="N407" s="2"/>
      <c r="O407" s="3" t="n">
        <v>1</v>
      </c>
      <c r="P407" s="2" t="s">
        <v>160</v>
      </c>
      <c r="Q407" s="2" t="s">
        <v>161</v>
      </c>
      <c r="R407" s="2" t="s">
        <v>159</v>
      </c>
      <c r="S407" s="2" t="s">
        <v>159</v>
      </c>
      <c r="T407" s="2" t="s">
        <v>1716</v>
      </c>
      <c r="U407" s="2" t="s">
        <v>192</v>
      </c>
      <c r="V407" s="4" t="n">
        <v>200000</v>
      </c>
      <c r="W407" s="5" t="n">
        <v>13.19</v>
      </c>
      <c r="X407" s="3" t="n">
        <v>18</v>
      </c>
      <c r="Y407" s="6" t="n">
        <v>46175</v>
      </c>
      <c r="Z407" s="6"/>
      <c r="AA407" s="6"/>
      <c r="AB407" s="4" t="n">
        <f aca="false">ROUND(PMT(W407/1200,X407,-V407),2)</f>
        <v>12307.26</v>
      </c>
      <c r="AC407" s="4" t="n">
        <v>220000</v>
      </c>
      <c r="AD407" s="3" t="n">
        <v>0</v>
      </c>
      <c r="AE407" s="4" t="n">
        <v>85600</v>
      </c>
      <c r="AF407" s="4" t="n">
        <v>15300</v>
      </c>
      <c r="AG407" s="3" t="n">
        <v>22</v>
      </c>
      <c r="AH407" s="4"/>
      <c r="AI407" s="3" t="n">
        <v>523</v>
      </c>
      <c r="AJ407" s="7" t="n">
        <f aca="false">ROUND(AB407/I407,4)</f>
        <v>0.5128</v>
      </c>
      <c r="AK407" s="2" t="str">
        <f aca="false">IF(AND(AI407&gt;=750,AJ407&lt;=0.35),"Low",IF(AND(AI407&gt;=600,AJ407&lt;=0.5),"Medium","High"))</f>
        <v>High</v>
      </c>
      <c r="AL407" s="3" t="n">
        <v>6</v>
      </c>
      <c r="AM407" s="2" t="s">
        <v>233</v>
      </c>
      <c r="AN407" s="2"/>
      <c r="AO407" s="2" t="s">
        <v>134</v>
      </c>
      <c r="AP407" s="7" t="n">
        <v>0.518</v>
      </c>
    </row>
    <row r="408" customFormat="false" ht="15" hidden="false" customHeight="false" outlineLevel="0" collapsed="false">
      <c r="A408" s="2" t="s">
        <v>1717</v>
      </c>
      <c r="B408" s="2" t="s">
        <v>1718</v>
      </c>
      <c r="C408" s="2" t="s">
        <v>1719</v>
      </c>
      <c r="D408" s="2" t="s">
        <v>45</v>
      </c>
      <c r="E408" s="3" t="n">
        <v>55</v>
      </c>
      <c r="F408" s="2" t="s">
        <v>64</v>
      </c>
      <c r="G408" s="2" t="s">
        <v>246</v>
      </c>
      <c r="H408" s="2" t="s">
        <v>111</v>
      </c>
      <c r="I408" s="4" t="n">
        <v>20500</v>
      </c>
      <c r="J408" s="2" t="s">
        <v>145</v>
      </c>
      <c r="K408" s="3" t="n">
        <v>37</v>
      </c>
      <c r="L408" s="2" t="s">
        <v>302</v>
      </c>
      <c r="M408" s="2" t="s">
        <v>67</v>
      </c>
      <c r="N408" s="2" t="s">
        <v>52</v>
      </c>
      <c r="O408" s="3" t="n">
        <v>2</v>
      </c>
      <c r="P408" s="2" t="s">
        <v>68</v>
      </c>
      <c r="Q408" s="2" t="s">
        <v>69</v>
      </c>
      <c r="R408" s="2" t="s">
        <v>70</v>
      </c>
      <c r="S408" s="2" t="s">
        <v>67</v>
      </c>
      <c r="T408" s="2" t="s">
        <v>1720</v>
      </c>
      <c r="U408" s="2" t="s">
        <v>85</v>
      </c>
      <c r="V408" s="4" t="n">
        <v>58000</v>
      </c>
      <c r="W408" s="5" t="n">
        <v>7.49</v>
      </c>
      <c r="X408" s="3" t="n">
        <v>12</v>
      </c>
      <c r="Y408" s="6" t="n">
        <v>46198</v>
      </c>
      <c r="Z408" s="6" t="n">
        <v>46208</v>
      </c>
      <c r="AA408" s="6" t="n">
        <v>46214</v>
      </c>
      <c r="AB408" s="4" t="n">
        <f aca="false">ROUND(PMT(W408/1200,X408,-V408),2)</f>
        <v>5031.66</v>
      </c>
      <c r="AC408" s="4" t="n">
        <v>0</v>
      </c>
      <c r="AD408" s="3" t="n">
        <v>0</v>
      </c>
      <c r="AE408" s="4" t="n">
        <v>31500</v>
      </c>
      <c r="AF408" s="4" t="n">
        <v>11000</v>
      </c>
      <c r="AG408" s="3" t="n">
        <v>37</v>
      </c>
      <c r="AH408" s="4" t="n">
        <v>13100</v>
      </c>
      <c r="AI408" s="3" t="n">
        <v>721</v>
      </c>
      <c r="AJ408" s="7" t="n">
        <f aca="false">ROUND(AB408/I408,4)</f>
        <v>0.2454</v>
      </c>
      <c r="AK408" s="2" t="str">
        <f aca="false">IF(AND(AI408&gt;=750,AJ408&lt;=0.35),"Low",IF(AND(AI408&gt;=600,AJ408&lt;=0.5),"Medium","High"))</f>
        <v>Medium</v>
      </c>
      <c r="AL408" s="3" t="n">
        <v>4</v>
      </c>
      <c r="AM408" s="2" t="s">
        <v>233</v>
      </c>
      <c r="AN408" s="2" t="s">
        <v>59</v>
      </c>
      <c r="AO408" s="2" t="s">
        <v>60</v>
      </c>
      <c r="AP408" s="7" t="n">
        <v>0.4</v>
      </c>
    </row>
    <row r="409" customFormat="false" ht="15" hidden="false" customHeight="false" outlineLevel="0" collapsed="false">
      <c r="A409" s="2" t="s">
        <v>1721</v>
      </c>
      <c r="B409" s="2" t="s">
        <v>1722</v>
      </c>
      <c r="C409" s="2" t="s">
        <v>1723</v>
      </c>
      <c r="D409" s="2" t="s">
        <v>109</v>
      </c>
      <c r="E409" s="3" t="n">
        <v>22</v>
      </c>
      <c r="F409" s="2" t="s">
        <v>46</v>
      </c>
      <c r="G409" s="2" t="s">
        <v>110</v>
      </c>
      <c r="H409" s="2" t="s">
        <v>77</v>
      </c>
      <c r="I409" s="4" t="n">
        <v>12000</v>
      </c>
      <c r="J409" s="2" t="s">
        <v>112</v>
      </c>
      <c r="K409" s="3" t="n">
        <v>1</v>
      </c>
      <c r="L409" s="2" t="s">
        <v>188</v>
      </c>
      <c r="M409" s="2" t="s">
        <v>51</v>
      </c>
      <c r="N409" s="2" t="s">
        <v>52</v>
      </c>
      <c r="O409" s="3" t="n">
        <v>0</v>
      </c>
      <c r="P409" s="2" t="s">
        <v>189</v>
      </c>
      <c r="Q409" s="2" t="s">
        <v>190</v>
      </c>
      <c r="R409" s="2" t="s">
        <v>188</v>
      </c>
      <c r="S409" s="2" t="s">
        <v>51</v>
      </c>
      <c r="T409" s="2" t="s">
        <v>1724</v>
      </c>
      <c r="U409" s="2" t="s">
        <v>118</v>
      </c>
      <c r="V409" s="4" t="n">
        <v>100000</v>
      </c>
      <c r="W409" s="5" t="n">
        <v>10.16</v>
      </c>
      <c r="X409" s="3" t="n">
        <v>12</v>
      </c>
      <c r="Y409" s="6" t="n">
        <v>46199</v>
      </c>
      <c r="Z409" s="6"/>
      <c r="AA409" s="6"/>
      <c r="AB409" s="4" t="n">
        <f aca="false">ROUND(PMT(W409/1200,X409,-V409),2)</f>
        <v>8799.03</v>
      </c>
      <c r="AC409" s="4" t="n">
        <v>0</v>
      </c>
      <c r="AD409" s="3" t="n">
        <v>0</v>
      </c>
      <c r="AE409" s="4" t="n">
        <v>33500</v>
      </c>
      <c r="AF409" s="4" t="n">
        <v>9800</v>
      </c>
      <c r="AG409" s="3" t="n">
        <v>54</v>
      </c>
      <c r="AH409" s="4" t="n">
        <v>9800</v>
      </c>
      <c r="AI409" s="3" t="n">
        <v>643</v>
      </c>
      <c r="AJ409" s="7" t="n">
        <f aca="false">ROUND(AB409/I409,4)</f>
        <v>0.7333</v>
      </c>
      <c r="AK409" s="2" t="str">
        <f aca="false">IF(AND(AI409&gt;=750,AJ409&lt;=0.35),"Low",IF(AND(AI409&gt;=600,AJ409&lt;=0.5),"Medium","High"))</f>
        <v>High</v>
      </c>
      <c r="AL409" s="3" t="n">
        <v>1</v>
      </c>
      <c r="AM409" s="2" t="s">
        <v>233</v>
      </c>
      <c r="AN409" s="2"/>
      <c r="AO409" s="2" t="s">
        <v>127</v>
      </c>
      <c r="AP409" s="7" t="n">
        <v>0.482</v>
      </c>
    </row>
    <row r="410" customFormat="false" ht="15" hidden="false" customHeight="false" outlineLevel="0" collapsed="false">
      <c r="A410" s="2" t="s">
        <v>1725</v>
      </c>
      <c r="B410" s="2" t="s">
        <v>1417</v>
      </c>
      <c r="C410" s="2" t="s">
        <v>1726</v>
      </c>
      <c r="D410" s="2" t="s">
        <v>45</v>
      </c>
      <c r="E410" s="3" t="n">
        <v>61</v>
      </c>
      <c r="F410" s="2" t="s">
        <v>64</v>
      </c>
      <c r="G410" s="2" t="s">
        <v>76</v>
      </c>
      <c r="H410" s="2" t="s">
        <v>77</v>
      </c>
      <c r="I410" s="4" t="n">
        <v>26000</v>
      </c>
      <c r="J410" s="2" t="s">
        <v>78</v>
      </c>
      <c r="K410" s="3" t="n">
        <v>36</v>
      </c>
      <c r="L410" s="2" t="s">
        <v>564</v>
      </c>
      <c r="M410" s="2" t="s">
        <v>80</v>
      </c>
      <c r="N410" s="2" t="s">
        <v>140</v>
      </c>
      <c r="O410" s="3" t="n">
        <v>1</v>
      </c>
      <c r="P410" s="2" t="s">
        <v>82</v>
      </c>
      <c r="Q410" s="2" t="s">
        <v>83</v>
      </c>
      <c r="R410" s="2" t="s">
        <v>80</v>
      </c>
      <c r="S410" s="2" t="s">
        <v>80</v>
      </c>
      <c r="T410" s="2" t="s">
        <v>1727</v>
      </c>
      <c r="U410" s="2" t="s">
        <v>72</v>
      </c>
      <c r="V410" s="4" t="n">
        <v>319000</v>
      </c>
      <c r="W410" s="5" t="n">
        <v>14.38</v>
      </c>
      <c r="X410" s="3" t="n">
        <v>72</v>
      </c>
      <c r="Y410" s="6" t="n">
        <v>46192</v>
      </c>
      <c r="Z410" s="6"/>
      <c r="AA410" s="6"/>
      <c r="AB410" s="4" t="n">
        <f aca="false">ROUND(PMT(W410/1200,X410,-V410),2)</f>
        <v>6638.32</v>
      </c>
      <c r="AC410" s="4" t="n">
        <v>389000</v>
      </c>
      <c r="AD410" s="3" t="n">
        <v>1</v>
      </c>
      <c r="AE410" s="4" t="n">
        <v>77300</v>
      </c>
      <c r="AF410" s="4" t="n">
        <v>26700</v>
      </c>
      <c r="AG410" s="3" t="n">
        <v>27</v>
      </c>
      <c r="AH410" s="4" t="n">
        <v>13200</v>
      </c>
      <c r="AI410" s="3" t="n">
        <v>557</v>
      </c>
      <c r="AJ410" s="7" t="n">
        <f aca="false">ROUND(AB410/I410,4)</f>
        <v>0.2553</v>
      </c>
      <c r="AK410" s="2" t="str">
        <f aca="false">IF(AND(AI410&gt;=750,AJ410&lt;=0.35),"Low",IF(AND(AI410&gt;=600,AJ410&lt;=0.5),"Medium","High"))</f>
        <v>High</v>
      </c>
      <c r="AL410" s="3" t="n">
        <v>1</v>
      </c>
      <c r="AM410" s="2" t="s">
        <v>58</v>
      </c>
      <c r="AN410" s="2"/>
      <c r="AO410" s="2" t="s">
        <v>134</v>
      </c>
      <c r="AP410" s="7" t="n">
        <v>0.417</v>
      </c>
    </row>
    <row r="411" customFormat="false" ht="15" hidden="false" customHeight="false" outlineLevel="0" collapsed="false">
      <c r="A411" s="2" t="s">
        <v>1728</v>
      </c>
      <c r="B411" s="2" t="s">
        <v>1729</v>
      </c>
      <c r="C411" s="2" t="s">
        <v>1730</v>
      </c>
      <c r="D411" s="2" t="s">
        <v>109</v>
      </c>
      <c r="E411" s="3" t="n">
        <v>40</v>
      </c>
      <c r="F411" s="2" t="s">
        <v>64</v>
      </c>
      <c r="G411" s="2" t="s">
        <v>207</v>
      </c>
      <c r="H411" s="2" t="s">
        <v>77</v>
      </c>
      <c r="I411" s="4" t="n">
        <v>58000</v>
      </c>
      <c r="J411" s="2" t="s">
        <v>49</v>
      </c>
      <c r="K411" s="3" t="n">
        <v>14</v>
      </c>
      <c r="L411" s="2" t="s">
        <v>80</v>
      </c>
      <c r="M411" s="2" t="s">
        <v>80</v>
      </c>
      <c r="N411" s="2" t="s">
        <v>140</v>
      </c>
      <c r="O411" s="3" t="n">
        <v>1</v>
      </c>
      <c r="P411" s="2" t="s">
        <v>82</v>
      </c>
      <c r="Q411" s="2" t="s">
        <v>83</v>
      </c>
      <c r="R411" s="2" t="s">
        <v>80</v>
      </c>
      <c r="S411" s="2" t="s">
        <v>80</v>
      </c>
      <c r="T411" s="2" t="s">
        <v>1731</v>
      </c>
      <c r="U411" s="2" t="s">
        <v>57</v>
      </c>
      <c r="V411" s="4" t="n">
        <v>1492000</v>
      </c>
      <c r="W411" s="5" t="n">
        <v>10.17</v>
      </c>
      <c r="X411" s="3" t="n">
        <v>72</v>
      </c>
      <c r="Y411" s="6" t="n">
        <v>46203</v>
      </c>
      <c r="Z411" s="6" t="n">
        <v>46205</v>
      </c>
      <c r="AA411" s="6" t="n">
        <v>46208</v>
      </c>
      <c r="AB411" s="4" t="n">
        <f aca="false">ROUND(PMT(W411/1200,X411,-V411),2)</f>
        <v>27768.63</v>
      </c>
      <c r="AC411" s="4" t="n">
        <v>1494000</v>
      </c>
      <c r="AD411" s="3" t="n">
        <v>1</v>
      </c>
      <c r="AE411" s="4" t="n">
        <v>53600</v>
      </c>
      <c r="AF411" s="4" t="n">
        <v>8400</v>
      </c>
      <c r="AG411" s="3" t="n">
        <v>12</v>
      </c>
      <c r="AH411" s="4" t="n">
        <v>36500</v>
      </c>
      <c r="AI411" s="3" t="n">
        <v>676</v>
      </c>
      <c r="AJ411" s="7" t="n">
        <f aca="false">ROUND(AB411/I411,4)</f>
        <v>0.4788</v>
      </c>
      <c r="AK411" s="2" t="str">
        <f aca="false">IF(AND(AI411&gt;=750,AJ411&lt;=0.35),"Low",IF(AND(AI411&gt;=600,AJ411&lt;=0.5),"Medium","High"))</f>
        <v>Medium</v>
      </c>
      <c r="AL411" s="3" t="n">
        <v>2</v>
      </c>
      <c r="AM411" s="2" t="s">
        <v>58</v>
      </c>
      <c r="AN411" s="2" t="s">
        <v>59</v>
      </c>
      <c r="AO411" s="2" t="s">
        <v>60</v>
      </c>
      <c r="AP411" s="7" t="n">
        <v>0.306</v>
      </c>
    </row>
    <row r="412" customFormat="false" ht="15" hidden="false" customHeight="false" outlineLevel="0" collapsed="false">
      <c r="A412" s="2" t="s">
        <v>1732</v>
      </c>
      <c r="B412" s="2" t="s">
        <v>800</v>
      </c>
      <c r="C412" s="2" t="s">
        <v>1733</v>
      </c>
      <c r="D412" s="2" t="s">
        <v>45</v>
      </c>
      <c r="E412" s="3" t="n">
        <v>52</v>
      </c>
      <c r="F412" s="2" t="s">
        <v>64</v>
      </c>
      <c r="G412" s="2" t="s">
        <v>207</v>
      </c>
      <c r="H412" s="2" t="s">
        <v>77</v>
      </c>
      <c r="I412" s="4" t="n">
        <v>66000</v>
      </c>
      <c r="J412" s="2" t="s">
        <v>49</v>
      </c>
      <c r="K412" s="3" t="n">
        <v>26</v>
      </c>
      <c r="L412" s="2" t="s">
        <v>178</v>
      </c>
      <c r="M412" s="2" t="s">
        <v>92</v>
      </c>
      <c r="N412" s="2" t="s">
        <v>81</v>
      </c>
      <c r="O412" s="3" t="n">
        <v>0</v>
      </c>
      <c r="P412" s="2" t="s">
        <v>124</v>
      </c>
      <c r="Q412" s="2" t="s">
        <v>125</v>
      </c>
      <c r="R412" s="2" t="s">
        <v>91</v>
      </c>
      <c r="S412" s="2" t="s">
        <v>92</v>
      </c>
      <c r="T412" s="2" t="s">
        <v>1734</v>
      </c>
      <c r="U412" s="2" t="s">
        <v>72</v>
      </c>
      <c r="V412" s="4" t="n">
        <v>421000</v>
      </c>
      <c r="W412" s="5" t="n">
        <v>12.86</v>
      </c>
      <c r="X412" s="3" t="n">
        <v>18</v>
      </c>
      <c r="Y412" s="6" t="n">
        <v>46188</v>
      </c>
      <c r="Z412" s="6" t="n">
        <v>46192</v>
      </c>
      <c r="AA412" s="6" t="n">
        <v>46196</v>
      </c>
      <c r="AB412" s="4" t="n">
        <f aca="false">ROUND(PMT(W412/1200,X412,-V412),2)</f>
        <v>25841.95</v>
      </c>
      <c r="AC412" s="4" t="n">
        <v>528000</v>
      </c>
      <c r="AD412" s="3" t="n">
        <v>0</v>
      </c>
      <c r="AE412" s="4" t="n">
        <v>142800</v>
      </c>
      <c r="AF412" s="4" t="n">
        <v>40200</v>
      </c>
      <c r="AG412" s="3" t="n">
        <v>43</v>
      </c>
      <c r="AH412" s="4" t="n">
        <v>53600</v>
      </c>
      <c r="AI412" s="3" t="n">
        <v>682</v>
      </c>
      <c r="AJ412" s="7" t="n">
        <f aca="false">ROUND(AB412/I412,4)</f>
        <v>0.3915</v>
      </c>
      <c r="AK412" s="2" t="str">
        <f aca="false">IF(AND(AI412&gt;=750,AJ412&lt;=0.35),"Low",IF(AND(AI412&gt;=600,AJ412&lt;=0.5),"Medium","High"))</f>
        <v>Medium</v>
      </c>
      <c r="AL412" s="3" t="n">
        <v>3</v>
      </c>
      <c r="AM412" s="2" t="s">
        <v>58</v>
      </c>
      <c r="AN412" s="2" t="s">
        <v>119</v>
      </c>
      <c r="AO412" s="2" t="s">
        <v>60</v>
      </c>
      <c r="AP412" s="7" t="n">
        <v>0.211</v>
      </c>
    </row>
    <row r="413" customFormat="false" ht="15" hidden="false" customHeight="false" outlineLevel="0" collapsed="false">
      <c r="A413" s="2" t="s">
        <v>1735</v>
      </c>
      <c r="B413" s="2" t="s">
        <v>745</v>
      </c>
      <c r="C413" s="2" t="s">
        <v>1736</v>
      </c>
      <c r="D413" s="2" t="s">
        <v>45</v>
      </c>
      <c r="E413" s="3" t="n">
        <v>26</v>
      </c>
      <c r="F413" s="2" t="s">
        <v>64</v>
      </c>
      <c r="G413" s="2" t="s">
        <v>76</v>
      </c>
      <c r="H413" s="2" t="s">
        <v>77</v>
      </c>
      <c r="I413" s="4" t="n">
        <v>30000</v>
      </c>
      <c r="J413" s="2" t="s">
        <v>78</v>
      </c>
      <c r="K413" s="3" t="n">
        <v>4</v>
      </c>
      <c r="L413" s="2" t="s">
        <v>147</v>
      </c>
      <c r="M413" s="2" t="s">
        <v>147</v>
      </c>
      <c r="N413" s="2" t="s">
        <v>140</v>
      </c>
      <c r="O413" s="3" t="n">
        <v>3</v>
      </c>
      <c r="P413" s="2" t="s">
        <v>148</v>
      </c>
      <c r="Q413" s="2" t="s">
        <v>149</v>
      </c>
      <c r="R413" s="2" t="s">
        <v>147</v>
      </c>
      <c r="S413" s="2" t="s">
        <v>147</v>
      </c>
      <c r="T413" s="2" t="s">
        <v>1737</v>
      </c>
      <c r="U413" s="2" t="s">
        <v>118</v>
      </c>
      <c r="V413" s="4" t="n">
        <v>619000</v>
      </c>
      <c r="W413" s="5" t="n">
        <v>7.78</v>
      </c>
      <c r="X413" s="3" t="n">
        <v>72</v>
      </c>
      <c r="Y413" s="6" t="n">
        <v>46185</v>
      </c>
      <c r="Z413" s="6" t="n">
        <v>46186</v>
      </c>
      <c r="AA413" s="6" t="n">
        <v>46188</v>
      </c>
      <c r="AB413" s="4" t="n">
        <f aca="false">ROUND(PMT(W413/1200,X413,-V413),2)</f>
        <v>10786.7</v>
      </c>
      <c r="AC413" s="4" t="n">
        <v>0</v>
      </c>
      <c r="AD413" s="3" t="n">
        <v>1</v>
      </c>
      <c r="AE413" s="4" t="n">
        <v>64200</v>
      </c>
      <c r="AF413" s="4" t="n">
        <v>25600</v>
      </c>
      <c r="AG413" s="3" t="n">
        <v>22</v>
      </c>
      <c r="AH413" s="4" t="n">
        <v>9700</v>
      </c>
      <c r="AI413" s="3" t="n">
        <v>636</v>
      </c>
      <c r="AJ413" s="7" t="n">
        <f aca="false">ROUND(AB413/I413,4)</f>
        <v>0.3596</v>
      </c>
      <c r="AK413" s="2" t="str">
        <f aca="false">IF(AND(AI413&gt;=750,AJ413&lt;=0.35),"Low",IF(AND(AI413&gt;=600,AJ413&lt;=0.5),"Medium","High"))</f>
        <v>Medium</v>
      </c>
      <c r="AL413" s="3" t="n">
        <v>4</v>
      </c>
      <c r="AM413" s="2" t="s">
        <v>58</v>
      </c>
      <c r="AN413" s="2" t="s">
        <v>59</v>
      </c>
      <c r="AO413" s="2" t="s">
        <v>60</v>
      </c>
      <c r="AP413" s="7" t="n">
        <v>0.308</v>
      </c>
    </row>
    <row r="414" customFormat="false" ht="15" hidden="false" customHeight="false" outlineLevel="0" collapsed="false">
      <c r="A414" s="2" t="s">
        <v>1738</v>
      </c>
      <c r="B414" s="2" t="s">
        <v>1739</v>
      </c>
      <c r="C414" s="2" t="s">
        <v>1545</v>
      </c>
      <c r="D414" s="2" t="s">
        <v>45</v>
      </c>
      <c r="E414" s="3" t="n">
        <v>48</v>
      </c>
      <c r="F414" s="2" t="s">
        <v>64</v>
      </c>
      <c r="G414" s="2" t="s">
        <v>65</v>
      </c>
      <c r="H414" s="2" t="s">
        <v>48</v>
      </c>
      <c r="I414" s="4" t="n">
        <v>47000</v>
      </c>
      <c r="J414" s="2" t="s">
        <v>49</v>
      </c>
      <c r="K414" s="3" t="n">
        <v>29</v>
      </c>
      <c r="L414" s="2" t="s">
        <v>753</v>
      </c>
      <c r="M414" s="2" t="s">
        <v>147</v>
      </c>
      <c r="N414" s="2" t="s">
        <v>52</v>
      </c>
      <c r="O414" s="3" t="n">
        <v>2</v>
      </c>
      <c r="P414" s="2" t="s">
        <v>209</v>
      </c>
      <c r="Q414" s="2" t="s">
        <v>210</v>
      </c>
      <c r="R414" s="2" t="s">
        <v>211</v>
      </c>
      <c r="S414" s="2" t="s">
        <v>147</v>
      </c>
      <c r="T414" s="2" t="s">
        <v>1740</v>
      </c>
      <c r="U414" s="2" t="s">
        <v>85</v>
      </c>
      <c r="V414" s="4" t="n">
        <v>431000</v>
      </c>
      <c r="W414" s="5" t="n">
        <v>7.87</v>
      </c>
      <c r="X414" s="3" t="n">
        <v>24</v>
      </c>
      <c r="Y414" s="6" t="n">
        <v>46203</v>
      </c>
      <c r="Z414" s="6" t="n">
        <v>46211</v>
      </c>
      <c r="AA414" s="6" t="n">
        <v>46213</v>
      </c>
      <c r="AB414" s="4" t="n">
        <f aca="false">ROUND(PMT(W414/1200,X414,-V414),2)</f>
        <v>19467.42</v>
      </c>
      <c r="AC414" s="4" t="n">
        <v>0</v>
      </c>
      <c r="AD414" s="3"/>
      <c r="AE414" s="4" t="n">
        <v>152100</v>
      </c>
      <c r="AF414" s="4" t="n">
        <v>74800</v>
      </c>
      <c r="AG414" s="3" t="n">
        <v>7</v>
      </c>
      <c r="AH414" s="4" t="n">
        <v>31100</v>
      </c>
      <c r="AI414" s="3" t="n">
        <v>807</v>
      </c>
      <c r="AJ414" s="7" t="n">
        <f aca="false">ROUND(AB414/I414,4)</f>
        <v>0.4142</v>
      </c>
      <c r="AK414" s="2" t="str">
        <f aca="false">IF(AND(AI414&gt;=750,AJ414&lt;=0.35),"Low",IF(AND(AI414&gt;=600,AJ414&lt;=0.5),"Medium","High"))</f>
        <v>Medium</v>
      </c>
      <c r="AL414" s="3" t="n">
        <v>1</v>
      </c>
      <c r="AM414" s="2" t="s">
        <v>58</v>
      </c>
      <c r="AN414" s="2" t="s">
        <v>59</v>
      </c>
      <c r="AO414" s="2" t="s">
        <v>60</v>
      </c>
      <c r="AP414" s="7" t="n">
        <v>0.127</v>
      </c>
    </row>
    <row r="415" customFormat="false" ht="15" hidden="false" customHeight="false" outlineLevel="0" collapsed="false">
      <c r="A415" s="2" t="s">
        <v>1741</v>
      </c>
      <c r="B415" s="2" t="s">
        <v>1742</v>
      </c>
      <c r="C415" s="2" t="s">
        <v>1743</v>
      </c>
      <c r="D415" s="2" t="s">
        <v>109</v>
      </c>
      <c r="E415" s="3" t="n">
        <v>43</v>
      </c>
      <c r="F415" s="2" t="s">
        <v>64</v>
      </c>
      <c r="G415" s="2" t="s">
        <v>110</v>
      </c>
      <c r="H415" s="2" t="s">
        <v>48</v>
      </c>
      <c r="I415" s="4" t="n">
        <v>25000</v>
      </c>
      <c r="J415" s="2" t="s">
        <v>112</v>
      </c>
      <c r="K415" s="3" t="n">
        <v>18</v>
      </c>
      <c r="L415" s="2" t="s">
        <v>188</v>
      </c>
      <c r="M415" s="2" t="s">
        <v>51</v>
      </c>
      <c r="N415" s="2" t="s">
        <v>140</v>
      </c>
      <c r="O415" s="3"/>
      <c r="P415" s="2" t="s">
        <v>189</v>
      </c>
      <c r="Q415" s="2" t="s">
        <v>190</v>
      </c>
      <c r="R415" s="2" t="s">
        <v>188</v>
      </c>
      <c r="S415" s="2" t="s">
        <v>51</v>
      </c>
      <c r="T415" s="2" t="s">
        <v>1744</v>
      </c>
      <c r="U415" s="2" t="s">
        <v>85</v>
      </c>
      <c r="V415" s="4" t="n">
        <v>236000</v>
      </c>
      <c r="W415" s="5" t="n">
        <v>8.94</v>
      </c>
      <c r="X415" s="3" t="n">
        <v>36</v>
      </c>
      <c r="Y415" s="6" t="n">
        <v>46175</v>
      </c>
      <c r="Z415" s="6"/>
      <c r="AA415" s="6"/>
      <c r="AB415" s="4" t="n">
        <f aca="false">ROUND(PMT(W415/1200,X415,-V415),2)</f>
        <v>7498.15</v>
      </c>
      <c r="AC415" s="4" t="n">
        <v>0</v>
      </c>
      <c r="AD415" s="3" t="n">
        <v>0</v>
      </c>
      <c r="AE415" s="4" t="n">
        <v>72600</v>
      </c>
      <c r="AF415" s="4" t="n">
        <v>10700</v>
      </c>
      <c r="AG415" s="3" t="n">
        <v>20</v>
      </c>
      <c r="AH415" s="4" t="n">
        <v>26000</v>
      </c>
      <c r="AI415" s="3" t="n">
        <v>669</v>
      </c>
      <c r="AJ415" s="7" t="n">
        <f aca="false">ROUND(AB415/I415,4)</f>
        <v>0.2999</v>
      </c>
      <c r="AK415" s="2" t="str">
        <f aca="false">IF(AND(AI415&gt;=750,AJ415&lt;=0.35),"Low",IF(AND(AI415&gt;=600,AJ415&lt;=0.5),"Medium","High"))</f>
        <v>Medium</v>
      </c>
      <c r="AL415" s="3" t="n">
        <v>1</v>
      </c>
      <c r="AM415" s="2" t="s">
        <v>58</v>
      </c>
      <c r="AN415" s="2"/>
      <c r="AO415" s="2" t="s">
        <v>127</v>
      </c>
      <c r="AP415" s="7" t="n">
        <v>0.278</v>
      </c>
    </row>
    <row r="416" customFormat="false" ht="15" hidden="false" customHeight="false" outlineLevel="0" collapsed="false">
      <c r="A416" s="2" t="s">
        <v>1745</v>
      </c>
      <c r="B416" s="2" t="s">
        <v>1746</v>
      </c>
      <c r="C416" s="2" t="s">
        <v>1747</v>
      </c>
      <c r="D416" s="2" t="s">
        <v>45</v>
      </c>
      <c r="E416" s="3" t="n">
        <v>21</v>
      </c>
      <c r="F416" s="2" t="s">
        <v>46</v>
      </c>
      <c r="G416" s="2" t="s">
        <v>154</v>
      </c>
      <c r="H416" s="2" t="s">
        <v>101</v>
      </c>
      <c r="I416" s="4" t="n">
        <v>56500</v>
      </c>
      <c r="J416" s="2" t="s">
        <v>145</v>
      </c>
      <c r="K416" s="3"/>
      <c r="L416" s="2" t="s">
        <v>80</v>
      </c>
      <c r="M416" s="2" t="s">
        <v>80</v>
      </c>
      <c r="N416" s="2" t="s">
        <v>140</v>
      </c>
      <c r="O416" s="3"/>
      <c r="P416" s="2" t="s">
        <v>82</v>
      </c>
      <c r="Q416" s="2" t="s">
        <v>83</v>
      </c>
      <c r="R416" s="2" t="s">
        <v>80</v>
      </c>
      <c r="S416" s="2" t="s">
        <v>80</v>
      </c>
      <c r="T416" s="2" t="s">
        <v>1748</v>
      </c>
      <c r="U416" s="2" t="s">
        <v>192</v>
      </c>
      <c r="V416" s="4" t="n">
        <v>1234000</v>
      </c>
      <c r="W416" s="5" t="n">
        <v>13.22</v>
      </c>
      <c r="X416" s="3" t="n">
        <v>66</v>
      </c>
      <c r="Y416" s="6" t="n">
        <v>46193</v>
      </c>
      <c r="Z416" s="6" t="n">
        <v>46202</v>
      </c>
      <c r="AA416" s="6" t="n">
        <v>46206</v>
      </c>
      <c r="AB416" s="4" t="n">
        <f aca="false">ROUND(PMT(W416/1200,X416,-V416),2)</f>
        <v>26409.22</v>
      </c>
      <c r="AC416" s="4" t="n">
        <v>1526000</v>
      </c>
      <c r="AD416" s="3" t="n">
        <v>1</v>
      </c>
      <c r="AE416" s="4" t="n">
        <v>205100</v>
      </c>
      <c r="AF416" s="4" t="n">
        <v>71600</v>
      </c>
      <c r="AG416" s="3"/>
      <c r="AH416" s="4" t="n">
        <v>55000</v>
      </c>
      <c r="AI416" s="3" t="n">
        <v>696</v>
      </c>
      <c r="AJ416" s="7" t="n">
        <f aca="false">ROUND(AB416/I416,4)</f>
        <v>0.4674</v>
      </c>
      <c r="AK416" s="2" t="str">
        <f aca="false">IF(AND(AI416&gt;=750,AJ416&lt;=0.35),"Low",IF(AND(AI416&gt;=600,AJ416&lt;=0.5),"Medium","High"))</f>
        <v>Medium</v>
      </c>
      <c r="AL416" s="3" t="n">
        <v>1</v>
      </c>
      <c r="AM416" s="2" t="s">
        <v>58</v>
      </c>
      <c r="AN416" s="2" t="s">
        <v>119</v>
      </c>
      <c r="AO416" s="2" t="s">
        <v>60</v>
      </c>
      <c r="AP416" s="7" t="n">
        <v>0.209</v>
      </c>
    </row>
    <row r="417" customFormat="false" ht="15" hidden="false" customHeight="false" outlineLevel="0" collapsed="false">
      <c r="A417" s="2" t="s">
        <v>1749</v>
      </c>
      <c r="B417" s="2" t="s">
        <v>1750</v>
      </c>
      <c r="C417" s="2" t="s">
        <v>1751</v>
      </c>
      <c r="D417" s="2" t="s">
        <v>45</v>
      </c>
      <c r="E417" s="3" t="n">
        <v>33</v>
      </c>
      <c r="F417" s="2" t="s">
        <v>46</v>
      </c>
      <c r="G417" s="2" t="s">
        <v>65</v>
      </c>
      <c r="H417" s="2" t="s">
        <v>101</v>
      </c>
      <c r="I417" s="4" t="n">
        <v>67500</v>
      </c>
      <c r="J417" s="2" t="s">
        <v>49</v>
      </c>
      <c r="K417" s="3" t="n">
        <v>6</v>
      </c>
      <c r="L417" s="2" t="s">
        <v>231</v>
      </c>
      <c r="M417" s="2" t="s">
        <v>92</v>
      </c>
      <c r="N417" s="2" t="s">
        <v>140</v>
      </c>
      <c r="O417" s="3" t="n">
        <v>0</v>
      </c>
      <c r="P417" s="2" t="s">
        <v>229</v>
      </c>
      <c r="Q417" s="2" t="s">
        <v>230</v>
      </c>
      <c r="R417" s="2" t="s">
        <v>231</v>
      </c>
      <c r="S417" s="2" t="s">
        <v>92</v>
      </c>
      <c r="T417" s="2" t="s">
        <v>1752</v>
      </c>
      <c r="U417" s="2" t="s">
        <v>118</v>
      </c>
      <c r="V417" s="4" t="n">
        <v>725000</v>
      </c>
      <c r="W417" s="5" t="n">
        <v>9.45</v>
      </c>
      <c r="X417" s="3" t="n">
        <v>30</v>
      </c>
      <c r="Y417" s="6" t="n">
        <v>46194</v>
      </c>
      <c r="Z417" s="6" t="n">
        <v>46198</v>
      </c>
      <c r="AA417" s="6" t="n">
        <v>46200</v>
      </c>
      <c r="AB417" s="4" t="n">
        <f aca="false">ROUND(PMT(W417/1200,X417,-V417),2)</f>
        <v>27228.25</v>
      </c>
      <c r="AC417" s="4" t="n">
        <v>0</v>
      </c>
      <c r="AD417" s="3" t="n">
        <v>0</v>
      </c>
      <c r="AE417" s="4" t="n">
        <v>57100</v>
      </c>
      <c r="AF417" s="4" t="n">
        <v>13500</v>
      </c>
      <c r="AG417" s="3" t="n">
        <v>24</v>
      </c>
      <c r="AH417" s="4" t="n">
        <v>66400</v>
      </c>
      <c r="AI417" s="3" t="n">
        <v>689</v>
      </c>
      <c r="AJ417" s="7" t="n">
        <f aca="false">ROUND(AB417/I417,4)</f>
        <v>0.4034</v>
      </c>
      <c r="AK417" s="2" t="str">
        <f aca="false">IF(AND(AI417&gt;=750,AJ417&lt;=0.35),"Low",IF(AND(AI417&gt;=600,AJ417&lt;=0.5),"Medium","High"))</f>
        <v>Medium</v>
      </c>
      <c r="AL417" s="3" t="n">
        <v>2</v>
      </c>
      <c r="AM417" s="2" t="s">
        <v>58</v>
      </c>
      <c r="AN417" s="2" t="s">
        <v>59</v>
      </c>
      <c r="AO417" s="2" t="s">
        <v>60</v>
      </c>
      <c r="AP417" s="7" t="n">
        <v>0.269</v>
      </c>
    </row>
    <row r="418" customFormat="false" ht="15" hidden="false" customHeight="false" outlineLevel="0" collapsed="false">
      <c r="A418" s="2" t="s">
        <v>1753</v>
      </c>
      <c r="B418" s="2" t="s">
        <v>1754</v>
      </c>
      <c r="C418" s="2" t="s">
        <v>1755</v>
      </c>
      <c r="D418" s="2" t="s">
        <v>45</v>
      </c>
      <c r="E418" s="3" t="n">
        <v>39</v>
      </c>
      <c r="F418" s="2" t="s">
        <v>64</v>
      </c>
      <c r="G418" s="2" t="s">
        <v>65</v>
      </c>
      <c r="H418" s="2" t="s">
        <v>101</v>
      </c>
      <c r="I418" s="4" t="n">
        <v>49000</v>
      </c>
      <c r="J418" s="2" t="s">
        <v>49</v>
      </c>
      <c r="K418" s="3" t="n">
        <v>12</v>
      </c>
      <c r="L418" s="2" t="s">
        <v>66</v>
      </c>
      <c r="M418" s="2" t="s">
        <v>67</v>
      </c>
      <c r="N418" s="2" t="s">
        <v>52</v>
      </c>
      <c r="O418" s="3" t="n">
        <v>2</v>
      </c>
      <c r="P418" s="2" t="s">
        <v>115</v>
      </c>
      <c r="Q418" s="2" t="s">
        <v>116</v>
      </c>
      <c r="R418" s="2" t="s">
        <v>114</v>
      </c>
      <c r="S418" s="2" t="s">
        <v>114</v>
      </c>
      <c r="T418" s="2" t="s">
        <v>1756</v>
      </c>
      <c r="U418" s="2" t="s">
        <v>97</v>
      </c>
      <c r="V418" s="4" t="n">
        <v>204000</v>
      </c>
      <c r="W418" s="5" t="n">
        <v>15.73</v>
      </c>
      <c r="X418" s="3" t="n">
        <v>18</v>
      </c>
      <c r="Y418" s="6" t="n">
        <v>46184</v>
      </c>
      <c r="Z418" s="6" t="n">
        <v>46192</v>
      </c>
      <c r="AA418" s="6" t="n">
        <v>46196</v>
      </c>
      <c r="AB418" s="4" t="n">
        <f aca="false">ROUND(PMT(W418/1200,X418,-V418),2)</f>
        <v>12796.69</v>
      </c>
      <c r="AC418" s="4" t="n">
        <v>0</v>
      </c>
      <c r="AD418" s="3" t="n">
        <v>1</v>
      </c>
      <c r="AE418" s="4" t="n">
        <v>189200</v>
      </c>
      <c r="AF418" s="4" t="n">
        <v>84500</v>
      </c>
      <c r="AG418" s="3" t="n">
        <v>25</v>
      </c>
      <c r="AH418" s="4" t="n">
        <v>46100</v>
      </c>
      <c r="AI418" s="3" t="n">
        <v>750</v>
      </c>
      <c r="AJ418" s="7" t="n">
        <f aca="false">ROUND(AB418/I418,4)</f>
        <v>0.2612</v>
      </c>
      <c r="AK418" s="2" t="str">
        <f aca="false">IF(AND(AI418&gt;=750,AJ418&lt;=0.35),"Low",IF(AND(AI418&gt;=600,AJ418&lt;=0.5),"Medium","High"))</f>
        <v>Low</v>
      </c>
      <c r="AL418" s="3" t="n">
        <v>0</v>
      </c>
      <c r="AM418" s="2" t="s">
        <v>58</v>
      </c>
      <c r="AN418" s="2" t="s">
        <v>59</v>
      </c>
      <c r="AO418" s="2" t="s">
        <v>60</v>
      </c>
      <c r="AP418" s="7" t="n">
        <v>0.172</v>
      </c>
    </row>
    <row r="419" customFormat="false" ht="15" hidden="false" customHeight="false" outlineLevel="0" collapsed="false">
      <c r="A419" s="2" t="s">
        <v>1757</v>
      </c>
      <c r="B419" s="2" t="s">
        <v>1758</v>
      </c>
      <c r="C419" s="2" t="s">
        <v>1759</v>
      </c>
      <c r="D419" s="2" t="s">
        <v>109</v>
      </c>
      <c r="E419" s="3" t="n">
        <v>21</v>
      </c>
      <c r="F419" s="2"/>
      <c r="G419" s="2" t="s">
        <v>110</v>
      </c>
      <c r="H419" s="2" t="s">
        <v>111</v>
      </c>
      <c r="I419" s="4" t="n">
        <v>8000</v>
      </c>
      <c r="J419" s="2" t="s">
        <v>112</v>
      </c>
      <c r="K419" s="3" t="n">
        <v>0</v>
      </c>
      <c r="L419" s="2" t="s">
        <v>113</v>
      </c>
      <c r="M419" s="2" t="s">
        <v>114</v>
      </c>
      <c r="N419" s="2" t="s">
        <v>52</v>
      </c>
      <c r="O419" s="3" t="n">
        <v>1</v>
      </c>
      <c r="P419" s="2" t="s">
        <v>115</v>
      </c>
      <c r="Q419" s="2" t="s">
        <v>116</v>
      </c>
      <c r="R419" s="2" t="s">
        <v>114</v>
      </c>
      <c r="S419" s="2" t="s">
        <v>114</v>
      </c>
      <c r="T419" s="2" t="s">
        <v>1760</v>
      </c>
      <c r="U419" s="2" t="s">
        <v>97</v>
      </c>
      <c r="V419" s="4" t="n">
        <v>88000</v>
      </c>
      <c r="W419" s="5" t="n">
        <v>13.63</v>
      </c>
      <c r="X419" s="3" t="n">
        <v>48</v>
      </c>
      <c r="Y419" s="6" t="n">
        <v>46180</v>
      </c>
      <c r="Z419" s="6" t="n">
        <v>46186</v>
      </c>
      <c r="AA419" s="6" t="n">
        <v>46189</v>
      </c>
      <c r="AB419" s="4" t="n">
        <f aca="false">ROUND(PMT(W419/1200,X419,-V419),2)</f>
        <v>2388.43</v>
      </c>
      <c r="AC419" s="4"/>
      <c r="AD419" s="3" t="n">
        <v>1</v>
      </c>
      <c r="AE419" s="4" t="n">
        <v>11000</v>
      </c>
      <c r="AF419" s="4" t="n">
        <v>4500</v>
      </c>
      <c r="AG419" s="3" t="n">
        <v>35</v>
      </c>
      <c r="AH419" s="4"/>
      <c r="AI419" s="3" t="n">
        <v>679</v>
      </c>
      <c r="AJ419" s="7" t="n">
        <f aca="false">ROUND(AB419/I419,4)</f>
        <v>0.2986</v>
      </c>
      <c r="AK419" s="2" t="str">
        <f aca="false">IF(AND(AI419&gt;=750,AJ419&lt;=0.35),"Low",IF(AND(AI419&gt;=600,AJ419&lt;=0.5),"Medium","High"))</f>
        <v>Medium</v>
      </c>
      <c r="AL419" s="3" t="n">
        <v>3</v>
      </c>
      <c r="AM419" s="2" t="s">
        <v>233</v>
      </c>
      <c r="AN419" s="2" t="s">
        <v>59</v>
      </c>
      <c r="AO419" s="2" t="s">
        <v>60</v>
      </c>
      <c r="AP419" s="7" t="n">
        <v>0.422</v>
      </c>
    </row>
    <row r="420" customFormat="false" ht="15" hidden="false" customHeight="false" outlineLevel="0" collapsed="false">
      <c r="A420" s="2" t="s">
        <v>1761</v>
      </c>
      <c r="B420" s="2" t="s">
        <v>205</v>
      </c>
      <c r="C420" s="2" t="s">
        <v>1762</v>
      </c>
      <c r="D420" s="2" t="s">
        <v>45</v>
      </c>
      <c r="E420" s="3" t="n">
        <v>35</v>
      </c>
      <c r="F420" s="2" t="s">
        <v>64</v>
      </c>
      <c r="G420" s="2" t="s">
        <v>65</v>
      </c>
      <c r="H420" s="2" t="s">
        <v>101</v>
      </c>
      <c r="I420" s="4" t="n">
        <v>24500</v>
      </c>
      <c r="J420" s="2" t="s">
        <v>49</v>
      </c>
      <c r="K420" s="3" t="n">
        <v>11</v>
      </c>
      <c r="L420" s="2" t="s">
        <v>380</v>
      </c>
      <c r="M420" s="2" t="s">
        <v>92</v>
      </c>
      <c r="N420" s="2" t="s">
        <v>140</v>
      </c>
      <c r="O420" s="3" t="n">
        <v>1</v>
      </c>
      <c r="P420" s="2" t="s">
        <v>124</v>
      </c>
      <c r="Q420" s="2" t="s">
        <v>125</v>
      </c>
      <c r="R420" s="2" t="s">
        <v>91</v>
      </c>
      <c r="S420" s="2" t="s">
        <v>92</v>
      </c>
      <c r="T420" s="2" t="s">
        <v>1763</v>
      </c>
      <c r="U420" s="2" t="s">
        <v>118</v>
      </c>
      <c r="V420" s="4" t="n">
        <v>333000</v>
      </c>
      <c r="W420" s="5" t="n">
        <v>10.06</v>
      </c>
      <c r="X420" s="3" t="n">
        <v>72</v>
      </c>
      <c r="Y420" s="6" t="n">
        <v>46178</v>
      </c>
      <c r="Z420" s="6"/>
      <c r="AA420" s="6"/>
      <c r="AB420" s="4" t="n">
        <f aca="false">ROUND(PMT(W420/1200,X420,-V420),2)</f>
        <v>6179.18</v>
      </c>
      <c r="AC420" s="4"/>
      <c r="AD420" s="3" t="n">
        <v>0</v>
      </c>
      <c r="AE420" s="4" t="n">
        <v>95900</v>
      </c>
      <c r="AF420" s="4" t="n">
        <v>35100</v>
      </c>
      <c r="AG420" s="3" t="n">
        <v>8</v>
      </c>
      <c r="AH420" s="4" t="n">
        <v>25100</v>
      </c>
      <c r="AI420" s="3" t="n">
        <v>738</v>
      </c>
      <c r="AJ420" s="7" t="n">
        <f aca="false">ROUND(AB420/I420,4)</f>
        <v>0.2522</v>
      </c>
      <c r="AK420" s="2" t="str">
        <f aca="false">IF(AND(AI420&gt;=750,AJ420&lt;=0.35),"Low",IF(AND(AI420&gt;=600,AJ420&lt;=0.5),"Medium","High"))</f>
        <v>Medium</v>
      </c>
      <c r="AL420" s="3" t="n">
        <v>3</v>
      </c>
      <c r="AM420" s="2" t="s">
        <v>58</v>
      </c>
      <c r="AN420" s="2"/>
      <c r="AO420" s="2" t="s">
        <v>134</v>
      </c>
      <c r="AP420" s="7" t="n">
        <v>0.315</v>
      </c>
    </row>
    <row r="421" customFormat="false" ht="15" hidden="false" customHeight="false" outlineLevel="0" collapsed="false">
      <c r="A421" s="2" t="s">
        <v>1764</v>
      </c>
      <c r="B421" s="2" t="s">
        <v>1765</v>
      </c>
      <c r="C421" s="2" t="s">
        <v>1766</v>
      </c>
      <c r="D421" s="2" t="s">
        <v>109</v>
      </c>
      <c r="E421" s="3" t="n">
        <v>60</v>
      </c>
      <c r="F421" s="2" t="s">
        <v>64</v>
      </c>
      <c r="G421" s="2" t="s">
        <v>145</v>
      </c>
      <c r="H421" s="2" t="s">
        <v>123</v>
      </c>
      <c r="I421" s="4" t="n">
        <v>24500</v>
      </c>
      <c r="J421" s="2" t="s">
        <v>145</v>
      </c>
      <c r="K421" s="3" t="n">
        <v>33</v>
      </c>
      <c r="L421" s="2" t="s">
        <v>429</v>
      </c>
      <c r="M421" s="2" t="s">
        <v>159</v>
      </c>
      <c r="N421" s="2" t="s">
        <v>52</v>
      </c>
      <c r="O421" s="3" t="n">
        <v>3</v>
      </c>
      <c r="P421" s="2" t="s">
        <v>160</v>
      </c>
      <c r="Q421" s="2" t="s">
        <v>161</v>
      </c>
      <c r="R421" s="2" t="s">
        <v>159</v>
      </c>
      <c r="S421" s="2" t="s">
        <v>159</v>
      </c>
      <c r="T421" s="2" t="s">
        <v>1767</v>
      </c>
      <c r="U421" s="2" t="s">
        <v>192</v>
      </c>
      <c r="V421" s="4" t="n">
        <v>200000</v>
      </c>
      <c r="W421" s="5" t="n">
        <v>14.38</v>
      </c>
      <c r="X421" s="3" t="n">
        <v>60</v>
      </c>
      <c r="Y421" s="6" t="n">
        <v>46185</v>
      </c>
      <c r="Z421" s="6" t="n">
        <v>46188</v>
      </c>
      <c r="AA421" s="6" t="n">
        <v>46191</v>
      </c>
      <c r="AB421" s="4" t="n">
        <f aca="false">ROUND(PMT(W421/1200,X421,-V421),2)</f>
        <v>4693.15</v>
      </c>
      <c r="AC421" s="4" t="n">
        <v>241000</v>
      </c>
      <c r="AD421" s="3" t="n">
        <v>1</v>
      </c>
      <c r="AE421" s="4" t="n">
        <v>33000</v>
      </c>
      <c r="AF421" s="4" t="n">
        <v>6100</v>
      </c>
      <c r="AG421" s="3" t="n">
        <v>15</v>
      </c>
      <c r="AH421" s="4" t="n">
        <v>17700</v>
      </c>
      <c r="AI421" s="3" t="n">
        <v>706</v>
      </c>
      <c r="AJ421" s="7" t="n">
        <f aca="false">ROUND(AB421/I421,4)</f>
        <v>0.1916</v>
      </c>
      <c r="AK421" s="2" t="str">
        <f aca="false">IF(AND(AI421&gt;=750,AJ421&lt;=0.35),"Low",IF(AND(AI421&gt;=600,AJ421&lt;=0.5),"Medium","High"))</f>
        <v>Medium</v>
      </c>
      <c r="AL421" s="3" t="n">
        <v>3</v>
      </c>
      <c r="AM421" s="2" t="s">
        <v>58</v>
      </c>
      <c r="AN421" s="2" t="s">
        <v>258</v>
      </c>
      <c r="AO421" s="2" t="s">
        <v>60</v>
      </c>
      <c r="AP421" s="7" t="n">
        <v>0.3</v>
      </c>
    </row>
    <row r="422" customFormat="false" ht="15" hidden="false" customHeight="false" outlineLevel="0" collapsed="false">
      <c r="A422" s="2" t="s">
        <v>1768</v>
      </c>
      <c r="B422" s="2" t="s">
        <v>1769</v>
      </c>
      <c r="C422" s="2" t="s">
        <v>1109</v>
      </c>
      <c r="D422" s="2" t="s">
        <v>109</v>
      </c>
      <c r="E422" s="3" t="n">
        <v>47</v>
      </c>
      <c r="F422" s="2" t="s">
        <v>46</v>
      </c>
      <c r="G422" s="2" t="s">
        <v>47</v>
      </c>
      <c r="H422" s="2"/>
      <c r="I422" s="4" t="n">
        <v>73000</v>
      </c>
      <c r="J422" s="2" t="s">
        <v>49</v>
      </c>
      <c r="K422" s="3" t="n">
        <v>26</v>
      </c>
      <c r="L422" s="2" t="s">
        <v>138</v>
      </c>
      <c r="M422" s="2" t="s">
        <v>139</v>
      </c>
      <c r="N422" s="2" t="s">
        <v>102</v>
      </c>
      <c r="O422" s="3" t="n">
        <v>0</v>
      </c>
      <c r="P422" s="2" t="s">
        <v>197</v>
      </c>
      <c r="Q422" s="2" t="s">
        <v>198</v>
      </c>
      <c r="R422" s="2" t="s">
        <v>139</v>
      </c>
      <c r="S422" s="2" t="s">
        <v>139</v>
      </c>
      <c r="T422" s="2" t="s">
        <v>1770</v>
      </c>
      <c r="U422" s="2" t="s">
        <v>85</v>
      </c>
      <c r="V422" s="4" t="n">
        <v>103000</v>
      </c>
      <c r="W422" s="5" t="n">
        <v>9.33</v>
      </c>
      <c r="X422" s="3" t="n">
        <v>6</v>
      </c>
      <c r="Y422" s="6" t="n">
        <v>46199</v>
      </c>
      <c r="Z422" s="6" t="n">
        <v>46209</v>
      </c>
      <c r="AA422" s="6" t="n">
        <v>46214</v>
      </c>
      <c r="AB422" s="4" t="n">
        <f aca="false">ROUND(PMT(W422/1200,X422,-V422),2)</f>
        <v>17636.83</v>
      </c>
      <c r="AC422" s="4" t="n">
        <v>0</v>
      </c>
      <c r="AD422" s="3" t="n">
        <v>1</v>
      </c>
      <c r="AE422" s="4" t="n">
        <v>174200</v>
      </c>
      <c r="AF422" s="4" t="n">
        <v>42500</v>
      </c>
      <c r="AG422" s="3" t="n">
        <v>26</v>
      </c>
      <c r="AH422" s="4" t="n">
        <v>28900</v>
      </c>
      <c r="AI422" s="3" t="n">
        <v>787</v>
      </c>
      <c r="AJ422" s="7" t="n">
        <f aca="false">ROUND(AB422/I422,4)</f>
        <v>0.2416</v>
      </c>
      <c r="AK422" s="2" t="str">
        <f aca="false">IF(AND(AI422&gt;=750,AJ422&lt;=0.35),"Low",IF(AND(AI422&gt;=600,AJ422&lt;=0.5),"Medium","High"))</f>
        <v>Low</v>
      </c>
      <c r="AL422" s="3" t="n">
        <v>2</v>
      </c>
      <c r="AM422" s="2" t="s">
        <v>58</v>
      </c>
      <c r="AN422" s="2" t="s">
        <v>119</v>
      </c>
      <c r="AO422" s="2" t="s">
        <v>60</v>
      </c>
      <c r="AP422" s="7" t="n">
        <v>0.19</v>
      </c>
    </row>
    <row r="423" customFormat="false" ht="15" hidden="false" customHeight="false" outlineLevel="0" collapsed="false">
      <c r="A423" s="2" t="s">
        <v>1771</v>
      </c>
      <c r="B423" s="2" t="s">
        <v>1772</v>
      </c>
      <c r="C423" s="2" t="s">
        <v>375</v>
      </c>
      <c r="D423" s="2" t="s">
        <v>45</v>
      </c>
      <c r="E423" s="3" t="n">
        <v>48</v>
      </c>
      <c r="F423" s="2" t="s">
        <v>64</v>
      </c>
      <c r="G423" s="2" t="s">
        <v>90</v>
      </c>
      <c r="H423" s="2" t="s">
        <v>123</v>
      </c>
      <c r="I423" s="4" t="n">
        <v>35000</v>
      </c>
      <c r="J423" s="2" t="s">
        <v>90</v>
      </c>
      <c r="K423" s="3"/>
      <c r="L423" s="2" t="s">
        <v>168</v>
      </c>
      <c r="M423" s="2" t="s">
        <v>92</v>
      </c>
      <c r="N423" s="2" t="s">
        <v>140</v>
      </c>
      <c r="O423" s="3" t="n">
        <v>2</v>
      </c>
      <c r="P423" s="2" t="s">
        <v>229</v>
      </c>
      <c r="Q423" s="2" t="s">
        <v>230</v>
      </c>
      <c r="R423" s="2" t="s">
        <v>231</v>
      </c>
      <c r="S423" s="2" t="s">
        <v>92</v>
      </c>
      <c r="T423" s="2" t="s">
        <v>1773</v>
      </c>
      <c r="U423" s="2" t="s">
        <v>57</v>
      </c>
      <c r="V423" s="4" t="n">
        <v>1443000</v>
      </c>
      <c r="W423" s="5" t="n">
        <v>10.06</v>
      </c>
      <c r="X423" s="3" t="n">
        <v>258</v>
      </c>
      <c r="Y423" s="6" t="n">
        <v>46193</v>
      </c>
      <c r="Z423" s="6" t="n">
        <v>46196</v>
      </c>
      <c r="AA423" s="6" t="n">
        <v>46198</v>
      </c>
      <c r="AB423" s="4" t="n">
        <f aca="false">ROUND(PMT(W423/1200,X423,-V423),2)</f>
        <v>13685.06</v>
      </c>
      <c r="AC423" s="4" t="n">
        <v>1517000</v>
      </c>
      <c r="AD423" s="3" t="n">
        <v>0</v>
      </c>
      <c r="AE423" s="4" t="n">
        <v>64700</v>
      </c>
      <c r="AF423" s="4" t="n">
        <v>19500</v>
      </c>
      <c r="AG423" s="3" t="n">
        <v>15</v>
      </c>
      <c r="AH423" s="4" t="n">
        <v>32400</v>
      </c>
      <c r="AI423" s="3" t="n">
        <v>716</v>
      </c>
      <c r="AJ423" s="7" t="n">
        <f aca="false">ROUND(AB423/I423,4)</f>
        <v>0.391</v>
      </c>
      <c r="AK423" s="2" t="str">
        <f aca="false">IF(AND(AI423&gt;=750,AJ423&lt;=0.35),"Low",IF(AND(AI423&gt;=600,AJ423&lt;=0.5),"Medium","High"))</f>
        <v>Medium</v>
      </c>
      <c r="AL423" s="3" t="n">
        <v>0</v>
      </c>
      <c r="AM423" s="2" t="s">
        <v>58</v>
      </c>
      <c r="AN423" s="2" t="s">
        <v>59</v>
      </c>
      <c r="AO423" s="2" t="s">
        <v>60</v>
      </c>
      <c r="AP423" s="7" t="n">
        <v>0.232</v>
      </c>
    </row>
    <row r="424" customFormat="false" ht="15" hidden="false" customHeight="false" outlineLevel="0" collapsed="false">
      <c r="A424" s="2" t="s">
        <v>1774</v>
      </c>
      <c r="B424" s="2" t="s">
        <v>346</v>
      </c>
      <c r="C424" s="2" t="s">
        <v>1775</v>
      </c>
      <c r="D424" s="2" t="s">
        <v>45</v>
      </c>
      <c r="E424" s="3" t="n">
        <v>31</v>
      </c>
      <c r="F424" s="2"/>
      <c r="G424" s="2" t="s">
        <v>207</v>
      </c>
      <c r="H424" s="2" t="s">
        <v>48</v>
      </c>
      <c r="I424" s="4" t="n">
        <v>23000</v>
      </c>
      <c r="J424" s="2" t="s">
        <v>49</v>
      </c>
      <c r="K424" s="3"/>
      <c r="L424" s="2" t="s">
        <v>80</v>
      </c>
      <c r="M424" s="2" t="s">
        <v>80</v>
      </c>
      <c r="N424" s="2" t="s">
        <v>102</v>
      </c>
      <c r="O424" s="3" t="n">
        <v>1</v>
      </c>
      <c r="P424" s="2" t="s">
        <v>82</v>
      </c>
      <c r="Q424" s="2" t="s">
        <v>83</v>
      </c>
      <c r="R424" s="2" t="s">
        <v>80</v>
      </c>
      <c r="S424" s="2" t="s">
        <v>80</v>
      </c>
      <c r="T424" s="2" t="s">
        <v>1776</v>
      </c>
      <c r="U424" s="2" t="s">
        <v>97</v>
      </c>
      <c r="V424" s="4" t="n">
        <v>358000</v>
      </c>
      <c r="W424" s="5" t="n">
        <v>15.67</v>
      </c>
      <c r="X424" s="3" t="n">
        <v>36</v>
      </c>
      <c r="Y424" s="6" t="n">
        <v>46197</v>
      </c>
      <c r="Z424" s="6" t="n">
        <v>46201</v>
      </c>
      <c r="AA424" s="6" t="n">
        <v>46203</v>
      </c>
      <c r="AB424" s="4" t="n">
        <f aca="false">ROUND(PMT(W424/1200,X424,-V424),2)</f>
        <v>12527.97</v>
      </c>
      <c r="AC424" s="4" t="n">
        <v>0</v>
      </c>
      <c r="AD424" s="3" t="n">
        <v>0</v>
      </c>
      <c r="AE424" s="4" t="n">
        <v>34700</v>
      </c>
      <c r="AF424" s="4" t="n">
        <v>7600</v>
      </c>
      <c r="AG424" s="3" t="n">
        <v>8</v>
      </c>
      <c r="AH424" s="4" t="n">
        <v>20300</v>
      </c>
      <c r="AI424" s="3" t="n">
        <v>636</v>
      </c>
      <c r="AJ424" s="7" t="n">
        <f aca="false">ROUND(AB424/I424,4)</f>
        <v>0.5447</v>
      </c>
      <c r="AK424" s="2" t="str">
        <f aca="false">IF(AND(AI424&gt;=750,AJ424&lt;=0.35),"Low",IF(AND(AI424&gt;=600,AJ424&lt;=0.5),"Medium","High"))</f>
        <v>High</v>
      </c>
      <c r="AL424" s="3" t="n">
        <v>1</v>
      </c>
      <c r="AM424" s="2" t="s">
        <v>58</v>
      </c>
      <c r="AN424" s="2" t="s">
        <v>258</v>
      </c>
      <c r="AO424" s="2" t="s">
        <v>60</v>
      </c>
      <c r="AP424" s="7" t="n">
        <v>0.335</v>
      </c>
    </row>
    <row r="425" customFormat="false" ht="15" hidden="false" customHeight="false" outlineLevel="0" collapsed="false">
      <c r="A425" s="2" t="s">
        <v>1777</v>
      </c>
      <c r="B425" s="2" t="s">
        <v>1778</v>
      </c>
      <c r="C425" s="2" t="s">
        <v>338</v>
      </c>
      <c r="D425" s="2" t="s">
        <v>45</v>
      </c>
      <c r="E425" s="3" t="n">
        <v>29</v>
      </c>
      <c r="F425" s="2" t="s">
        <v>46</v>
      </c>
      <c r="G425" s="2" t="s">
        <v>176</v>
      </c>
      <c r="H425" s="2" t="s">
        <v>123</v>
      </c>
      <c r="I425" s="4" t="n">
        <v>42500</v>
      </c>
      <c r="J425" s="2" t="s">
        <v>177</v>
      </c>
      <c r="K425" s="3" t="n">
        <v>6</v>
      </c>
      <c r="L425" s="2" t="s">
        <v>348</v>
      </c>
      <c r="M425" s="2" t="s">
        <v>67</v>
      </c>
      <c r="N425" s="2" t="s">
        <v>52</v>
      </c>
      <c r="O425" s="3" t="n">
        <v>0</v>
      </c>
      <c r="P425" s="2" t="s">
        <v>103</v>
      </c>
      <c r="Q425" s="2" t="s">
        <v>104</v>
      </c>
      <c r="R425" s="2" t="s">
        <v>67</v>
      </c>
      <c r="S425" s="2" t="s">
        <v>67</v>
      </c>
      <c r="T425" s="2" t="s">
        <v>1779</v>
      </c>
      <c r="U425" s="2" t="s">
        <v>192</v>
      </c>
      <c r="V425" s="4" t="n">
        <v>258000</v>
      </c>
      <c r="W425" s="5" t="n">
        <v>11.65</v>
      </c>
      <c r="X425" s="3" t="n">
        <v>24</v>
      </c>
      <c r="Y425" s="6" t="n">
        <v>46190</v>
      </c>
      <c r="Z425" s="6" t="n">
        <v>46200</v>
      </c>
      <c r="AA425" s="6" t="n">
        <v>46204</v>
      </c>
      <c r="AB425" s="4" t="n">
        <f aca="false">ROUND(PMT(W425/1200,X425,-V425),2)</f>
        <v>12102.83</v>
      </c>
      <c r="AC425" s="4" t="n">
        <v>307000</v>
      </c>
      <c r="AD425" s="3" t="n">
        <v>1</v>
      </c>
      <c r="AE425" s="4" t="n">
        <v>64300</v>
      </c>
      <c r="AF425" s="4" t="n">
        <v>25000</v>
      </c>
      <c r="AG425" s="3" t="n">
        <v>11</v>
      </c>
      <c r="AH425" s="4" t="n">
        <v>15000</v>
      </c>
      <c r="AI425" s="3" t="n">
        <v>777</v>
      </c>
      <c r="AJ425" s="7" t="n">
        <f aca="false">ROUND(AB425/I425,4)</f>
        <v>0.2848</v>
      </c>
      <c r="AK425" s="2" t="str">
        <f aca="false">IF(AND(AI425&gt;=750,AJ425&lt;=0.35),"Low",IF(AND(AI425&gt;=600,AJ425&lt;=0.5),"Medium","High"))</f>
        <v>Low</v>
      </c>
      <c r="AL425" s="3"/>
      <c r="AM425" s="2" t="s">
        <v>58</v>
      </c>
      <c r="AN425" s="2" t="s">
        <v>59</v>
      </c>
      <c r="AO425" s="2" t="s">
        <v>60</v>
      </c>
      <c r="AP425" s="7" t="n">
        <v>0.198</v>
      </c>
    </row>
    <row r="426" customFormat="false" ht="15" hidden="false" customHeight="false" outlineLevel="0" collapsed="false">
      <c r="A426" s="2" t="s">
        <v>1780</v>
      </c>
      <c r="B426" s="2" t="s">
        <v>1781</v>
      </c>
      <c r="C426" s="2" t="s">
        <v>1782</v>
      </c>
      <c r="D426" s="2" t="s">
        <v>109</v>
      </c>
      <c r="E426" s="3" t="n">
        <v>33</v>
      </c>
      <c r="F426" s="2" t="s">
        <v>46</v>
      </c>
      <c r="G426" s="2" t="s">
        <v>246</v>
      </c>
      <c r="H426" s="2" t="s">
        <v>111</v>
      </c>
      <c r="I426" s="4" t="n">
        <v>8500</v>
      </c>
      <c r="J426" s="2" t="s">
        <v>145</v>
      </c>
      <c r="K426" s="3" t="n">
        <v>8</v>
      </c>
      <c r="L426" s="2" t="s">
        <v>79</v>
      </c>
      <c r="M426" s="2" t="s">
        <v>80</v>
      </c>
      <c r="N426" s="2" t="s">
        <v>52</v>
      </c>
      <c r="O426" s="3" t="n">
        <v>1</v>
      </c>
      <c r="P426" s="2" t="s">
        <v>82</v>
      </c>
      <c r="Q426" s="2" t="s">
        <v>83</v>
      </c>
      <c r="R426" s="2" t="s">
        <v>80</v>
      </c>
      <c r="S426" s="2" t="s">
        <v>80</v>
      </c>
      <c r="T426" s="2" t="s">
        <v>1783</v>
      </c>
      <c r="U426" s="2" t="s">
        <v>85</v>
      </c>
      <c r="V426" s="4" t="n">
        <v>56000</v>
      </c>
      <c r="W426" s="5" t="n">
        <v>7.78</v>
      </c>
      <c r="X426" s="3" t="n">
        <v>24</v>
      </c>
      <c r="Y426" s="6" t="n">
        <v>46186</v>
      </c>
      <c r="Z426" s="6"/>
      <c r="AA426" s="6"/>
      <c r="AB426" s="4" t="n">
        <f aca="false">ROUND(PMT(W426/1200,X426,-V426),2)</f>
        <v>2527.11</v>
      </c>
      <c r="AC426" s="4" t="n">
        <v>0</v>
      </c>
      <c r="AD426" s="3" t="n">
        <v>1</v>
      </c>
      <c r="AE426" s="4" t="n">
        <v>21000</v>
      </c>
      <c r="AF426" s="4" t="n">
        <v>5400</v>
      </c>
      <c r="AG426" s="3" t="n">
        <v>2</v>
      </c>
      <c r="AH426" s="4" t="n">
        <v>4600</v>
      </c>
      <c r="AI426" s="3" t="n">
        <v>607</v>
      </c>
      <c r="AJ426" s="7" t="n">
        <f aca="false">ROUND(AB426/I426,4)</f>
        <v>0.2973</v>
      </c>
      <c r="AK426" s="2" t="str">
        <f aca="false">IF(AND(AI426&gt;=750,AJ426&lt;=0.35),"Low",IF(AND(AI426&gt;=600,AJ426&lt;=0.5),"Medium","High"))</f>
        <v>Medium</v>
      </c>
      <c r="AL426" s="3" t="n">
        <v>1</v>
      </c>
      <c r="AM426" s="2" t="s">
        <v>58</v>
      </c>
      <c r="AN426" s="2"/>
      <c r="AO426" s="2" t="s">
        <v>134</v>
      </c>
      <c r="AP426" s="7" t="n">
        <v>0.328</v>
      </c>
    </row>
    <row r="427" customFormat="false" ht="15" hidden="false" customHeight="false" outlineLevel="0" collapsed="false">
      <c r="A427" s="2" t="s">
        <v>1784</v>
      </c>
      <c r="B427" s="2" t="s">
        <v>1785</v>
      </c>
      <c r="C427" s="2" t="s">
        <v>1786</v>
      </c>
      <c r="D427" s="2" t="s">
        <v>45</v>
      </c>
      <c r="E427" s="3" t="n">
        <v>44</v>
      </c>
      <c r="F427" s="2" t="s">
        <v>46</v>
      </c>
      <c r="G427" s="2" t="s">
        <v>145</v>
      </c>
      <c r="H427" s="2" t="s">
        <v>111</v>
      </c>
      <c r="I427" s="4" t="n">
        <v>30500</v>
      </c>
      <c r="J427" s="2" t="s">
        <v>145</v>
      </c>
      <c r="K427" s="3" t="n">
        <v>20</v>
      </c>
      <c r="L427" s="2" t="s">
        <v>556</v>
      </c>
      <c r="M427" s="2" t="s">
        <v>147</v>
      </c>
      <c r="N427" s="2" t="s">
        <v>52</v>
      </c>
      <c r="O427" s="3" t="n">
        <v>0</v>
      </c>
      <c r="P427" s="2" t="s">
        <v>209</v>
      </c>
      <c r="Q427" s="2" t="s">
        <v>210</v>
      </c>
      <c r="R427" s="2" t="s">
        <v>211</v>
      </c>
      <c r="S427" s="2" t="s">
        <v>147</v>
      </c>
      <c r="T427" s="2" t="s">
        <v>1787</v>
      </c>
      <c r="U427" s="2" t="s">
        <v>85</v>
      </c>
      <c r="V427" s="4" t="n">
        <v>278000</v>
      </c>
      <c r="W427" s="5" t="n">
        <v>9.29</v>
      </c>
      <c r="X427" s="3" t="n">
        <v>24</v>
      </c>
      <c r="Y427" s="6" t="n">
        <v>46185</v>
      </c>
      <c r="Z427" s="6" t="n">
        <v>46187</v>
      </c>
      <c r="AA427" s="6" t="n">
        <v>46192</v>
      </c>
      <c r="AB427" s="4" t="n">
        <f aca="false">ROUND(PMT(W427/1200,X427,-V427),2)</f>
        <v>12737.38</v>
      </c>
      <c r="AC427" s="4" t="n">
        <v>0</v>
      </c>
      <c r="AD427" s="3" t="n">
        <v>0</v>
      </c>
      <c r="AE427" s="4" t="n">
        <v>100300</v>
      </c>
      <c r="AF427" s="4" t="n">
        <v>39600</v>
      </c>
      <c r="AG427" s="3" t="n">
        <v>8</v>
      </c>
      <c r="AH427" s="4" t="n">
        <v>11500</v>
      </c>
      <c r="AI427" s="3" t="n">
        <v>693</v>
      </c>
      <c r="AJ427" s="7" t="n">
        <f aca="false">ROUND(AB427/I427,4)</f>
        <v>0.4176</v>
      </c>
      <c r="AK427" s="2" t="str">
        <f aca="false">IF(AND(AI427&gt;=750,AJ427&lt;=0.35),"Low",IF(AND(AI427&gt;=600,AJ427&lt;=0.5),"Medium","High"))</f>
        <v>Medium</v>
      </c>
      <c r="AL427" s="3" t="n">
        <v>2</v>
      </c>
      <c r="AM427" s="2" t="s">
        <v>233</v>
      </c>
      <c r="AN427" s="2" t="s">
        <v>119</v>
      </c>
      <c r="AO427" s="2" t="s">
        <v>60</v>
      </c>
      <c r="AP427" s="7" t="n">
        <v>0.349</v>
      </c>
    </row>
    <row r="428" customFormat="false" ht="15" hidden="false" customHeight="false" outlineLevel="0" collapsed="false">
      <c r="A428" s="2" t="s">
        <v>1788</v>
      </c>
      <c r="B428" s="2" t="s">
        <v>1789</v>
      </c>
      <c r="C428" s="2" t="s">
        <v>1790</v>
      </c>
      <c r="D428" s="2" t="s">
        <v>45</v>
      </c>
      <c r="E428" s="3" t="n">
        <v>58</v>
      </c>
      <c r="F428" s="2" t="s">
        <v>46</v>
      </c>
      <c r="G428" s="2" t="s">
        <v>47</v>
      </c>
      <c r="H428" s="2" t="s">
        <v>101</v>
      </c>
      <c r="I428" s="4" t="n">
        <v>161500</v>
      </c>
      <c r="J428" s="2" t="s">
        <v>49</v>
      </c>
      <c r="K428" s="3" t="n">
        <v>32</v>
      </c>
      <c r="L428" s="2" t="s">
        <v>80</v>
      </c>
      <c r="M428" s="2" t="s">
        <v>80</v>
      </c>
      <c r="N428" s="2" t="s">
        <v>140</v>
      </c>
      <c r="O428" s="3" t="n">
        <v>1</v>
      </c>
      <c r="P428" s="2" t="s">
        <v>82</v>
      </c>
      <c r="Q428" s="2" t="s">
        <v>83</v>
      </c>
      <c r="R428" s="2" t="s">
        <v>80</v>
      </c>
      <c r="S428" s="2" t="s">
        <v>80</v>
      </c>
      <c r="T428" s="2" t="s">
        <v>1791</v>
      </c>
      <c r="U428" s="2" t="s">
        <v>72</v>
      </c>
      <c r="V428" s="4" t="n">
        <v>2095000</v>
      </c>
      <c r="W428" s="5" t="n">
        <v>13.18</v>
      </c>
      <c r="X428" s="3" t="n">
        <v>36</v>
      </c>
      <c r="Y428" s="6" t="n">
        <v>46174</v>
      </c>
      <c r="Z428" s="6" t="n">
        <v>46177</v>
      </c>
      <c r="AA428" s="6" t="n">
        <v>46180</v>
      </c>
      <c r="AB428" s="4" t="n">
        <f aca="false">ROUND(PMT(W428/1200,X428,-V428),2)</f>
        <v>70770.6</v>
      </c>
      <c r="AC428" s="4" t="n">
        <v>2796000</v>
      </c>
      <c r="AD428" s="3" t="n">
        <v>0</v>
      </c>
      <c r="AE428" s="4" t="n">
        <v>596900</v>
      </c>
      <c r="AF428" s="4" t="n">
        <v>297800</v>
      </c>
      <c r="AG428" s="3" t="n">
        <v>8</v>
      </c>
      <c r="AH428" s="4" t="n">
        <v>167500</v>
      </c>
      <c r="AI428" s="3" t="n">
        <v>851</v>
      </c>
      <c r="AJ428" s="7" t="n">
        <f aca="false">ROUND(AB428/I428,4)</f>
        <v>0.4382</v>
      </c>
      <c r="AK428" s="2" t="str">
        <f aca="false">IF(AND(AI428&gt;=750,AJ428&lt;=0.35),"Low",IF(AND(AI428&gt;=600,AJ428&lt;=0.5),"Medium","High"))</f>
        <v>Medium</v>
      </c>
      <c r="AL428" s="3"/>
      <c r="AM428" s="2" t="s">
        <v>58</v>
      </c>
      <c r="AN428" s="2" t="s">
        <v>59</v>
      </c>
      <c r="AO428" s="2" t="s">
        <v>60</v>
      </c>
      <c r="AP428" s="7" t="n">
        <v>0.102</v>
      </c>
    </row>
    <row r="429" customFormat="false" ht="15" hidden="false" customHeight="false" outlineLevel="0" collapsed="false">
      <c r="A429" s="2" t="s">
        <v>1792</v>
      </c>
      <c r="B429" s="2" t="s">
        <v>1793</v>
      </c>
      <c r="C429" s="2" t="s">
        <v>1794</v>
      </c>
      <c r="D429" s="2" t="s">
        <v>109</v>
      </c>
      <c r="E429" s="3" t="n">
        <v>24</v>
      </c>
      <c r="F429" s="2" t="s">
        <v>64</v>
      </c>
      <c r="G429" s="2" t="s">
        <v>154</v>
      </c>
      <c r="H429" s="2" t="s">
        <v>77</v>
      </c>
      <c r="I429" s="4" t="n">
        <v>50500</v>
      </c>
      <c r="J429" s="2" t="s">
        <v>145</v>
      </c>
      <c r="K429" s="3" t="n">
        <v>6</v>
      </c>
      <c r="L429" s="2" t="s">
        <v>51</v>
      </c>
      <c r="M429" s="2" t="s">
        <v>51</v>
      </c>
      <c r="N429" s="2" t="s">
        <v>52</v>
      </c>
      <c r="O429" s="3" t="n">
        <v>3</v>
      </c>
      <c r="P429" s="2" t="s">
        <v>131</v>
      </c>
      <c r="Q429" s="2" t="s">
        <v>132</v>
      </c>
      <c r="R429" s="2" t="s">
        <v>51</v>
      </c>
      <c r="S429" s="2" t="s">
        <v>51</v>
      </c>
      <c r="T429" s="2" t="s">
        <v>1795</v>
      </c>
      <c r="U429" s="2" t="s">
        <v>97</v>
      </c>
      <c r="V429" s="4" t="n">
        <v>137000</v>
      </c>
      <c r="W429" s="5" t="n">
        <v>15.41</v>
      </c>
      <c r="X429" s="3" t="n">
        <v>12</v>
      </c>
      <c r="Y429" s="6" t="n">
        <v>46179</v>
      </c>
      <c r="Z429" s="6" t="n">
        <v>46180</v>
      </c>
      <c r="AA429" s="6" t="n">
        <v>46186</v>
      </c>
      <c r="AB429" s="4" t="n">
        <f aca="false">ROUND(PMT(W429/1200,X429,-V429),2)</f>
        <v>12391.91</v>
      </c>
      <c r="AC429" s="4" t="n">
        <v>0</v>
      </c>
      <c r="AD429" s="3" t="n">
        <v>1</v>
      </c>
      <c r="AE429" s="4" t="n">
        <v>133300</v>
      </c>
      <c r="AF429" s="4" t="n">
        <v>59700</v>
      </c>
      <c r="AG429" s="3" t="n">
        <v>47</v>
      </c>
      <c r="AH429" s="4"/>
      <c r="AI429" s="3" t="n">
        <v>770</v>
      </c>
      <c r="AJ429" s="7" t="n">
        <f aca="false">ROUND(AB429/I429,4)</f>
        <v>0.2454</v>
      </c>
      <c r="AK429" s="2" t="str">
        <f aca="false">IF(AND(AI429&gt;=750,AJ429&lt;=0.35),"Low",IF(AND(AI429&gt;=600,AJ429&lt;=0.5),"Medium","High"))</f>
        <v>Low</v>
      </c>
      <c r="AL429" s="3" t="n">
        <v>0</v>
      </c>
      <c r="AM429" s="2" t="s">
        <v>58</v>
      </c>
      <c r="AN429" s="2" t="s">
        <v>59</v>
      </c>
      <c r="AO429" s="2" t="s">
        <v>60</v>
      </c>
      <c r="AP429" s="7" t="n">
        <v>0.11</v>
      </c>
    </row>
    <row r="430" customFormat="false" ht="15" hidden="false" customHeight="false" outlineLevel="0" collapsed="false">
      <c r="A430" s="2" t="s">
        <v>1796</v>
      </c>
      <c r="B430" s="2" t="s">
        <v>144</v>
      </c>
      <c r="C430" s="2" t="s">
        <v>1797</v>
      </c>
      <c r="D430" s="2" t="s">
        <v>45</v>
      </c>
      <c r="E430" s="3" t="n">
        <v>44</v>
      </c>
      <c r="F430" s="2" t="s">
        <v>64</v>
      </c>
      <c r="G430" s="2" t="s">
        <v>246</v>
      </c>
      <c r="H430" s="2" t="s">
        <v>77</v>
      </c>
      <c r="I430" s="4" t="n">
        <v>46000</v>
      </c>
      <c r="J430" s="2" t="s">
        <v>145</v>
      </c>
      <c r="K430" s="3" t="n">
        <v>22</v>
      </c>
      <c r="L430" s="2" t="s">
        <v>753</v>
      </c>
      <c r="M430" s="2" t="s">
        <v>147</v>
      </c>
      <c r="N430" s="2" t="s">
        <v>140</v>
      </c>
      <c r="O430" s="3" t="n">
        <v>2</v>
      </c>
      <c r="P430" s="2" t="s">
        <v>209</v>
      </c>
      <c r="Q430" s="2" t="s">
        <v>210</v>
      </c>
      <c r="R430" s="2" t="s">
        <v>211</v>
      </c>
      <c r="S430" s="2" t="s">
        <v>147</v>
      </c>
      <c r="T430" s="2" t="s">
        <v>1798</v>
      </c>
      <c r="U430" s="2" t="s">
        <v>85</v>
      </c>
      <c r="V430" s="4" t="n">
        <v>50000</v>
      </c>
      <c r="W430" s="5" t="n">
        <v>7.19</v>
      </c>
      <c r="X430" s="3" t="n">
        <v>6</v>
      </c>
      <c r="Y430" s="6" t="n">
        <v>46175</v>
      </c>
      <c r="Z430" s="6" t="n">
        <v>46179</v>
      </c>
      <c r="AA430" s="6" t="n">
        <v>46181</v>
      </c>
      <c r="AB430" s="4" t="n">
        <f aca="false">ROUND(PMT(W430/1200,X430,-V430),2)</f>
        <v>8508.96</v>
      </c>
      <c r="AC430" s="4" t="n">
        <v>0</v>
      </c>
      <c r="AD430" s="3" t="n">
        <v>0</v>
      </c>
      <c r="AE430" s="4" t="n">
        <v>134600</v>
      </c>
      <c r="AF430" s="4" t="n">
        <v>18200</v>
      </c>
      <c r="AG430" s="3" t="n">
        <v>28</v>
      </c>
      <c r="AH430" s="4" t="n">
        <v>20800</v>
      </c>
      <c r="AI430" s="3" t="n">
        <v>847</v>
      </c>
      <c r="AJ430" s="7" t="n">
        <f aca="false">ROUND(AB430/I430,4)</f>
        <v>0.185</v>
      </c>
      <c r="AK430" s="2" t="str">
        <f aca="false">IF(AND(AI430&gt;=750,AJ430&lt;=0.35),"Low",IF(AND(AI430&gt;=600,AJ430&lt;=0.5),"Medium","High"))</f>
        <v>Low</v>
      </c>
      <c r="AL430" s="3" t="n">
        <v>1</v>
      </c>
      <c r="AM430" s="2" t="s">
        <v>58</v>
      </c>
      <c r="AN430" s="2" t="s">
        <v>59</v>
      </c>
      <c r="AO430" s="2" t="s">
        <v>86</v>
      </c>
      <c r="AP430" s="7" t="n">
        <v>0.123</v>
      </c>
    </row>
    <row r="431" customFormat="false" ht="15" hidden="false" customHeight="false" outlineLevel="0" collapsed="false">
      <c r="A431" s="2" t="s">
        <v>1799</v>
      </c>
      <c r="B431" s="2" t="s">
        <v>1800</v>
      </c>
      <c r="C431" s="2" t="s">
        <v>462</v>
      </c>
      <c r="D431" s="2" t="s">
        <v>109</v>
      </c>
      <c r="E431" s="3" t="n">
        <v>44</v>
      </c>
      <c r="F431" s="2" t="s">
        <v>46</v>
      </c>
      <c r="G431" s="2" t="s">
        <v>110</v>
      </c>
      <c r="H431" s="2" t="s">
        <v>111</v>
      </c>
      <c r="I431" s="4" t="n">
        <v>14000</v>
      </c>
      <c r="J431" s="2" t="s">
        <v>112</v>
      </c>
      <c r="K431" s="3" t="n">
        <v>23</v>
      </c>
      <c r="L431" s="2" t="s">
        <v>114</v>
      </c>
      <c r="M431" s="2" t="s">
        <v>114</v>
      </c>
      <c r="N431" s="2" t="s">
        <v>52</v>
      </c>
      <c r="O431" s="3" t="n">
        <v>0</v>
      </c>
      <c r="P431" s="2" t="s">
        <v>115</v>
      </c>
      <c r="Q431" s="2" t="s">
        <v>116</v>
      </c>
      <c r="R431" s="2" t="s">
        <v>114</v>
      </c>
      <c r="S431" s="2" t="s">
        <v>114</v>
      </c>
      <c r="T431" s="2" t="s">
        <v>1801</v>
      </c>
      <c r="U431" s="2" t="s">
        <v>118</v>
      </c>
      <c r="V431" s="4" t="n">
        <v>117000</v>
      </c>
      <c r="W431" s="5" t="n">
        <v>9.48</v>
      </c>
      <c r="X431" s="3" t="n">
        <v>24</v>
      </c>
      <c r="Y431" s="6" t="n">
        <v>46184</v>
      </c>
      <c r="Z431" s="6" t="n">
        <v>46188</v>
      </c>
      <c r="AA431" s="6" t="n">
        <v>46193</v>
      </c>
      <c r="AB431" s="4" t="n">
        <f aca="false">ROUND(PMT(W431/1200,X431,-V431),2)</f>
        <v>5370.92</v>
      </c>
      <c r="AC431" s="4"/>
      <c r="AD431" s="3" t="n">
        <v>1</v>
      </c>
      <c r="AE431" s="4" t="n">
        <v>27500</v>
      </c>
      <c r="AF431" s="4" t="n">
        <v>9700</v>
      </c>
      <c r="AG431" s="3" t="n">
        <v>13</v>
      </c>
      <c r="AH431" s="4" t="n">
        <v>9500</v>
      </c>
      <c r="AI431" s="3" t="n">
        <v>760</v>
      </c>
      <c r="AJ431" s="7" t="n">
        <f aca="false">ROUND(AB431/I431,4)</f>
        <v>0.3836</v>
      </c>
      <c r="AK431" s="2" t="str">
        <f aca="false">IF(AND(AI431&gt;=750,AJ431&lt;=0.35),"Low",IF(AND(AI431&gt;=600,AJ431&lt;=0.5),"Medium","High"))</f>
        <v>Medium</v>
      </c>
      <c r="AL431" s="3" t="n">
        <v>0</v>
      </c>
      <c r="AM431" s="2" t="s">
        <v>58</v>
      </c>
      <c r="AN431" s="2" t="s">
        <v>59</v>
      </c>
      <c r="AO431" s="2" t="s">
        <v>60</v>
      </c>
      <c r="AP431" s="7" t="n">
        <v>0.148</v>
      </c>
    </row>
    <row r="432" customFormat="false" ht="15" hidden="false" customHeight="false" outlineLevel="0" collapsed="false">
      <c r="A432" s="2" t="s">
        <v>1802</v>
      </c>
      <c r="B432" s="2" t="s">
        <v>424</v>
      </c>
      <c r="C432" s="2" t="s">
        <v>1803</v>
      </c>
      <c r="D432" s="2" t="s">
        <v>45</v>
      </c>
      <c r="E432" s="3" t="n">
        <v>21</v>
      </c>
      <c r="F432" s="2"/>
      <c r="G432" s="2" t="s">
        <v>176</v>
      </c>
      <c r="H432" s="2" t="s">
        <v>77</v>
      </c>
      <c r="I432" s="4" t="n">
        <v>86500</v>
      </c>
      <c r="J432" s="2" t="s">
        <v>177</v>
      </c>
      <c r="K432" s="3" t="n">
        <v>0</v>
      </c>
      <c r="L432" s="2" t="s">
        <v>147</v>
      </c>
      <c r="M432" s="2" t="s">
        <v>147</v>
      </c>
      <c r="N432" s="2" t="s">
        <v>52</v>
      </c>
      <c r="O432" s="3" t="n">
        <v>2</v>
      </c>
      <c r="P432" s="2" t="s">
        <v>148</v>
      </c>
      <c r="Q432" s="2" t="s">
        <v>149</v>
      </c>
      <c r="R432" s="2" t="s">
        <v>147</v>
      </c>
      <c r="S432" s="2" t="s">
        <v>147</v>
      </c>
      <c r="T432" s="2" t="s">
        <v>1804</v>
      </c>
      <c r="U432" s="2" t="s">
        <v>192</v>
      </c>
      <c r="V432" s="4" t="n">
        <v>346000</v>
      </c>
      <c r="W432" s="5" t="n">
        <v>12.16</v>
      </c>
      <c r="X432" s="3" t="n">
        <v>18</v>
      </c>
      <c r="Y432" s="6" t="n">
        <v>46193</v>
      </c>
      <c r="Z432" s="6" t="n">
        <v>46195</v>
      </c>
      <c r="AA432" s="6" t="n">
        <v>46197</v>
      </c>
      <c r="AB432" s="4" t="n">
        <f aca="false">ROUND(PMT(W432/1200,X432,-V432),2)</f>
        <v>21125.51</v>
      </c>
      <c r="AC432" s="4" t="n">
        <v>489000</v>
      </c>
      <c r="AD432" s="3" t="n">
        <v>1</v>
      </c>
      <c r="AE432" s="4" t="n">
        <v>268600</v>
      </c>
      <c r="AF432" s="4"/>
      <c r="AG432" s="3" t="n">
        <v>43</v>
      </c>
      <c r="AH432" s="4" t="n">
        <v>81500</v>
      </c>
      <c r="AI432" s="3" t="n">
        <v>740</v>
      </c>
      <c r="AJ432" s="7" t="n">
        <f aca="false">ROUND(AB432/I432,4)</f>
        <v>0.2442</v>
      </c>
      <c r="AK432" s="2" t="str">
        <f aca="false">IF(AND(AI432&gt;=750,AJ432&lt;=0.35),"Low",IF(AND(AI432&gt;=600,AJ432&lt;=0.5),"Medium","High"))</f>
        <v>Medium</v>
      </c>
      <c r="AL432" s="3" t="n">
        <v>0</v>
      </c>
      <c r="AM432" s="2" t="s">
        <v>58</v>
      </c>
      <c r="AN432" s="2" t="s">
        <v>59</v>
      </c>
      <c r="AO432" s="2" t="s">
        <v>60</v>
      </c>
      <c r="AP432" s="7" t="n">
        <v>0.182</v>
      </c>
    </row>
    <row r="433" customFormat="false" ht="15" hidden="false" customHeight="false" outlineLevel="0" collapsed="false">
      <c r="A433" s="2" t="s">
        <v>1805</v>
      </c>
      <c r="B433" s="2" t="s">
        <v>1806</v>
      </c>
      <c r="C433" s="2" t="s">
        <v>1807</v>
      </c>
      <c r="D433" s="2" t="s">
        <v>45</v>
      </c>
      <c r="E433" s="3" t="n">
        <v>53</v>
      </c>
      <c r="F433" s="2" t="s">
        <v>64</v>
      </c>
      <c r="G433" s="2" t="s">
        <v>47</v>
      </c>
      <c r="H433" s="2" t="s">
        <v>101</v>
      </c>
      <c r="I433" s="4" t="n">
        <v>128500</v>
      </c>
      <c r="J433" s="2" t="s">
        <v>49</v>
      </c>
      <c r="K433" s="3" t="n">
        <v>31</v>
      </c>
      <c r="L433" s="2" t="s">
        <v>70</v>
      </c>
      <c r="M433" s="2" t="s">
        <v>67</v>
      </c>
      <c r="N433" s="2" t="s">
        <v>52</v>
      </c>
      <c r="O433" s="3" t="n">
        <v>3</v>
      </c>
      <c r="P433" s="2" t="s">
        <v>68</v>
      </c>
      <c r="Q433" s="2" t="s">
        <v>69</v>
      </c>
      <c r="R433" s="2" t="s">
        <v>70</v>
      </c>
      <c r="S433" s="2" t="s">
        <v>67</v>
      </c>
      <c r="T433" s="2" t="s">
        <v>1808</v>
      </c>
      <c r="U433" s="2" t="s">
        <v>72</v>
      </c>
      <c r="V433" s="4" t="n">
        <v>1028000</v>
      </c>
      <c r="W433" s="5" t="n">
        <v>13.8</v>
      </c>
      <c r="X433" s="3" t="n">
        <v>60</v>
      </c>
      <c r="Y433" s="6" t="n">
        <v>46201</v>
      </c>
      <c r="Z433" s="6" t="n">
        <v>46203</v>
      </c>
      <c r="AA433" s="6" t="n">
        <v>46206</v>
      </c>
      <c r="AB433" s="4" t="n">
        <f aca="false">ROUND(PMT(W433/1200,X433,-V433),2)</f>
        <v>23813.3</v>
      </c>
      <c r="AC433" s="4" t="n">
        <v>1455000</v>
      </c>
      <c r="AD433" s="3" t="n">
        <v>2</v>
      </c>
      <c r="AE433" s="4" t="n">
        <v>206900</v>
      </c>
      <c r="AF433" s="4"/>
      <c r="AG433" s="3" t="n">
        <v>31</v>
      </c>
      <c r="AH433" s="4" t="n">
        <v>93100</v>
      </c>
      <c r="AI433" s="3" t="n">
        <v>716</v>
      </c>
      <c r="AJ433" s="7" t="n">
        <f aca="false">ROUND(AB433/I433,4)</f>
        <v>0.1853</v>
      </c>
      <c r="AK433" s="2" t="str">
        <f aca="false">IF(AND(AI433&gt;=750,AJ433&lt;=0.35),"Low",IF(AND(AI433&gt;=600,AJ433&lt;=0.5),"Medium","High"))</f>
        <v>Medium</v>
      </c>
      <c r="AL433" s="3" t="n">
        <v>3</v>
      </c>
      <c r="AM433" s="2" t="s">
        <v>58</v>
      </c>
      <c r="AN433" s="2" t="s">
        <v>59</v>
      </c>
      <c r="AO433" s="2" t="s">
        <v>86</v>
      </c>
      <c r="AP433" s="7" t="n">
        <v>0.196</v>
      </c>
    </row>
    <row r="434" customFormat="false" ht="15" hidden="false" customHeight="false" outlineLevel="0" collapsed="false">
      <c r="A434" s="2" t="s">
        <v>1809</v>
      </c>
      <c r="B434" s="2" t="s">
        <v>1810</v>
      </c>
      <c r="C434" s="2" t="s">
        <v>1811</v>
      </c>
      <c r="D434" s="2" t="s">
        <v>45</v>
      </c>
      <c r="E434" s="3" t="n">
        <v>34</v>
      </c>
      <c r="F434" s="2" t="s">
        <v>64</v>
      </c>
      <c r="G434" s="2" t="s">
        <v>90</v>
      </c>
      <c r="H434" s="2" t="s">
        <v>48</v>
      </c>
      <c r="I434" s="4" t="n">
        <v>31500</v>
      </c>
      <c r="J434" s="2" t="s">
        <v>90</v>
      </c>
      <c r="K434" s="3" t="n">
        <v>10</v>
      </c>
      <c r="L434" s="2" t="s">
        <v>51</v>
      </c>
      <c r="M434" s="2" t="s">
        <v>51</v>
      </c>
      <c r="N434" s="2" t="s">
        <v>81</v>
      </c>
      <c r="O434" s="3" t="n">
        <v>1</v>
      </c>
      <c r="P434" s="2" t="s">
        <v>53</v>
      </c>
      <c r="Q434" s="2" t="s">
        <v>54</v>
      </c>
      <c r="R434" s="2" t="s">
        <v>55</v>
      </c>
      <c r="S434" s="2" t="s">
        <v>51</v>
      </c>
      <c r="T434" s="2" t="s">
        <v>1812</v>
      </c>
      <c r="U434" s="2" t="s">
        <v>192</v>
      </c>
      <c r="V434" s="4" t="n">
        <v>307000</v>
      </c>
      <c r="W434" s="5" t="n">
        <v>10.75</v>
      </c>
      <c r="X434" s="3" t="n">
        <v>42</v>
      </c>
      <c r="Y434" s="6" t="n">
        <v>46185</v>
      </c>
      <c r="Z434" s="6" t="n">
        <v>46189</v>
      </c>
      <c r="AA434" s="6" t="n">
        <v>46191</v>
      </c>
      <c r="AB434" s="4" t="n">
        <f aca="false">ROUND(PMT(W434/1200,X434,-V434),2)</f>
        <v>8802.97</v>
      </c>
      <c r="AC434" s="4" t="n">
        <v>368000</v>
      </c>
      <c r="AD434" s="3" t="n">
        <v>1</v>
      </c>
      <c r="AE434" s="4" t="n">
        <v>58500</v>
      </c>
      <c r="AF434" s="4" t="n">
        <v>10800</v>
      </c>
      <c r="AG434" s="3" t="n">
        <v>49</v>
      </c>
      <c r="AH434" s="4" t="n">
        <v>15200</v>
      </c>
      <c r="AI434" s="3" t="n">
        <v>850</v>
      </c>
      <c r="AJ434" s="7" t="n">
        <f aca="false">ROUND(AB434/I434,4)</f>
        <v>0.2795</v>
      </c>
      <c r="AK434" s="2" t="str">
        <f aca="false">IF(AND(AI434&gt;=750,AJ434&lt;=0.35),"Low",IF(AND(AI434&gt;=600,AJ434&lt;=0.5),"Medium","High"))</f>
        <v>Low</v>
      </c>
      <c r="AL434" s="3" t="n">
        <v>1</v>
      </c>
      <c r="AM434" s="2" t="s">
        <v>233</v>
      </c>
      <c r="AN434" s="2" t="s">
        <v>59</v>
      </c>
      <c r="AO434" s="2" t="s">
        <v>60</v>
      </c>
      <c r="AP434" s="7" t="n">
        <v>0.221</v>
      </c>
    </row>
    <row r="435" customFormat="false" ht="15" hidden="false" customHeight="false" outlineLevel="0" collapsed="false">
      <c r="A435" s="2" t="s">
        <v>1813</v>
      </c>
      <c r="B435" s="2" t="s">
        <v>1814</v>
      </c>
      <c r="C435" s="2" t="s">
        <v>676</v>
      </c>
      <c r="D435" s="2" t="s">
        <v>45</v>
      </c>
      <c r="E435" s="3" t="n">
        <v>21</v>
      </c>
      <c r="F435" s="2" t="s">
        <v>46</v>
      </c>
      <c r="G435" s="2" t="s">
        <v>76</v>
      </c>
      <c r="H435" s="2" t="s">
        <v>48</v>
      </c>
      <c r="I435" s="4" t="n">
        <v>68000</v>
      </c>
      <c r="J435" s="2" t="s">
        <v>78</v>
      </c>
      <c r="K435" s="3" t="n">
        <v>0</v>
      </c>
      <c r="L435" s="2" t="s">
        <v>274</v>
      </c>
      <c r="M435" s="2" t="s">
        <v>67</v>
      </c>
      <c r="N435" s="2" t="s">
        <v>52</v>
      </c>
      <c r="O435" s="3" t="n">
        <v>0</v>
      </c>
      <c r="P435" s="2" t="s">
        <v>209</v>
      </c>
      <c r="Q435" s="2" t="s">
        <v>210</v>
      </c>
      <c r="R435" s="2" t="s">
        <v>211</v>
      </c>
      <c r="S435" s="2" t="s">
        <v>147</v>
      </c>
      <c r="T435" s="2" t="s">
        <v>1815</v>
      </c>
      <c r="U435" s="2" t="s">
        <v>72</v>
      </c>
      <c r="V435" s="4" t="n">
        <v>1324000</v>
      </c>
      <c r="W435" s="5" t="n">
        <v>13.68</v>
      </c>
      <c r="X435" s="3" t="n">
        <v>84</v>
      </c>
      <c r="Y435" s="6" t="n">
        <v>46180</v>
      </c>
      <c r="Z435" s="6" t="n">
        <v>46184</v>
      </c>
      <c r="AA435" s="6" t="n">
        <v>46190</v>
      </c>
      <c r="AB435" s="4" t="n">
        <f aca="false">ROUND(PMT(W435/1200,X435,-V435),2)</f>
        <v>24578.32</v>
      </c>
      <c r="AC435" s="4" t="n">
        <v>1545000</v>
      </c>
      <c r="AD435" s="3"/>
      <c r="AE435" s="4" t="n">
        <v>178200</v>
      </c>
      <c r="AF435" s="4" t="n">
        <v>25800</v>
      </c>
      <c r="AG435" s="3" t="n">
        <v>30</v>
      </c>
      <c r="AH435" s="4" t="n">
        <v>72600</v>
      </c>
      <c r="AI435" s="3" t="n">
        <v>810</v>
      </c>
      <c r="AJ435" s="7" t="n">
        <f aca="false">ROUND(AB435/I435,4)</f>
        <v>0.3614</v>
      </c>
      <c r="AK435" s="2" t="str">
        <f aca="false">IF(AND(AI435&gt;=750,AJ435&lt;=0.35),"Low",IF(AND(AI435&gt;=600,AJ435&lt;=0.5),"Medium","High"))</f>
        <v>Medium</v>
      </c>
      <c r="AL435" s="3" t="n">
        <v>0</v>
      </c>
      <c r="AM435" s="2" t="s">
        <v>58</v>
      </c>
      <c r="AN435" s="2" t="s">
        <v>119</v>
      </c>
      <c r="AO435" s="2" t="s">
        <v>60</v>
      </c>
      <c r="AP435" s="7" t="n">
        <v>0.09</v>
      </c>
    </row>
    <row r="436" customFormat="false" ht="15" hidden="false" customHeight="false" outlineLevel="0" collapsed="false">
      <c r="A436" s="2" t="s">
        <v>1816</v>
      </c>
      <c r="B436" s="2" t="s">
        <v>1817</v>
      </c>
      <c r="C436" s="2" t="s">
        <v>1818</v>
      </c>
      <c r="D436" s="2" t="s">
        <v>109</v>
      </c>
      <c r="E436" s="3" t="n">
        <v>48</v>
      </c>
      <c r="F436" s="2" t="s">
        <v>64</v>
      </c>
      <c r="G436" s="2" t="s">
        <v>110</v>
      </c>
      <c r="H436" s="2" t="s">
        <v>123</v>
      </c>
      <c r="I436" s="4" t="n">
        <v>19000</v>
      </c>
      <c r="J436" s="2" t="s">
        <v>112</v>
      </c>
      <c r="K436" s="3" t="n">
        <v>26</v>
      </c>
      <c r="L436" s="2" t="s">
        <v>67</v>
      </c>
      <c r="M436" s="2" t="s">
        <v>67</v>
      </c>
      <c r="N436" s="2" t="s">
        <v>52</v>
      </c>
      <c r="O436" s="3" t="n">
        <v>2</v>
      </c>
      <c r="P436" s="2" t="s">
        <v>103</v>
      </c>
      <c r="Q436" s="2" t="s">
        <v>104</v>
      </c>
      <c r="R436" s="2" t="s">
        <v>67</v>
      </c>
      <c r="S436" s="2" t="s">
        <v>67</v>
      </c>
      <c r="T436" s="2" t="s">
        <v>1819</v>
      </c>
      <c r="U436" s="2" t="s">
        <v>192</v>
      </c>
      <c r="V436" s="4" t="n">
        <v>200000</v>
      </c>
      <c r="W436" s="5" t="n">
        <v>11.27</v>
      </c>
      <c r="X436" s="3" t="n">
        <v>12</v>
      </c>
      <c r="Y436" s="6" t="n">
        <v>46203</v>
      </c>
      <c r="Z436" s="6" t="n">
        <v>46212</v>
      </c>
      <c r="AA436" s="6" t="n">
        <v>46213</v>
      </c>
      <c r="AB436" s="4" t="n">
        <f aca="false">ROUND(PMT(W436/1200,X436,-V436),2)</f>
        <v>17701.53</v>
      </c>
      <c r="AC436" s="4" t="n">
        <v>224000</v>
      </c>
      <c r="AD436" s="3" t="n">
        <v>2</v>
      </c>
      <c r="AE436" s="4" t="n">
        <v>39300</v>
      </c>
      <c r="AF436" s="4" t="n">
        <v>23200</v>
      </c>
      <c r="AG436" s="3" t="n">
        <v>30</v>
      </c>
      <c r="AH436" s="4" t="n">
        <v>11000</v>
      </c>
      <c r="AI436" s="3" t="n">
        <v>727</v>
      </c>
      <c r="AJ436" s="7" t="n">
        <f aca="false">ROUND(AB436/I436,4)</f>
        <v>0.9317</v>
      </c>
      <c r="AK436" s="2" t="str">
        <f aca="false">IF(AND(AI436&gt;=750,AJ436&lt;=0.35),"Low",IF(AND(AI436&gt;=600,AJ436&lt;=0.5),"Medium","High"))</f>
        <v>High</v>
      </c>
      <c r="AL436" s="3" t="n">
        <v>1</v>
      </c>
      <c r="AM436" s="2" t="s">
        <v>58</v>
      </c>
      <c r="AN436" s="2" t="s">
        <v>59</v>
      </c>
      <c r="AO436" s="2" t="s">
        <v>60</v>
      </c>
      <c r="AP436" s="7" t="n">
        <v>0.118</v>
      </c>
    </row>
    <row r="437" customFormat="false" ht="15" hidden="false" customHeight="false" outlineLevel="0" collapsed="false">
      <c r="A437" s="2" t="s">
        <v>1820</v>
      </c>
      <c r="B437" s="2" t="s">
        <v>1821</v>
      </c>
      <c r="C437" s="2" t="s">
        <v>1775</v>
      </c>
      <c r="D437" s="2" t="s">
        <v>45</v>
      </c>
      <c r="E437" s="3" t="n">
        <v>26</v>
      </c>
      <c r="F437" s="2" t="s">
        <v>64</v>
      </c>
      <c r="G437" s="2" t="s">
        <v>246</v>
      </c>
      <c r="H437" s="2" t="s">
        <v>123</v>
      </c>
      <c r="I437" s="4" t="n">
        <v>13000</v>
      </c>
      <c r="J437" s="2" t="s">
        <v>145</v>
      </c>
      <c r="K437" s="3" t="n">
        <v>1</v>
      </c>
      <c r="L437" s="2" t="s">
        <v>288</v>
      </c>
      <c r="M437" s="2" t="s">
        <v>147</v>
      </c>
      <c r="N437" s="2" t="s">
        <v>102</v>
      </c>
      <c r="O437" s="3" t="n">
        <v>0</v>
      </c>
      <c r="P437" s="2" t="s">
        <v>148</v>
      </c>
      <c r="Q437" s="2" t="s">
        <v>149</v>
      </c>
      <c r="R437" s="2" t="s">
        <v>147</v>
      </c>
      <c r="S437" s="2" t="s">
        <v>147</v>
      </c>
      <c r="T437" s="2" t="s">
        <v>1822</v>
      </c>
      <c r="U437" s="2" t="s">
        <v>85</v>
      </c>
      <c r="V437" s="4" t="n">
        <v>50000</v>
      </c>
      <c r="W437" s="5" t="n">
        <v>8.36</v>
      </c>
      <c r="X437" s="3" t="n">
        <v>6</v>
      </c>
      <c r="Y437" s="6" t="n">
        <v>46189</v>
      </c>
      <c r="Z437" s="6" t="n">
        <v>46198</v>
      </c>
      <c r="AA437" s="6" t="n">
        <v>46203</v>
      </c>
      <c r="AB437" s="4" t="n">
        <f aca="false">ROUND(PMT(W437/1200,X437,-V437),2)</f>
        <v>8537.7</v>
      </c>
      <c r="AC437" s="4" t="n">
        <v>0</v>
      </c>
      <c r="AD437" s="3" t="n">
        <v>1</v>
      </c>
      <c r="AE437" s="4"/>
      <c r="AF437" s="4" t="n">
        <v>7000</v>
      </c>
      <c r="AG437" s="3" t="n">
        <v>17</v>
      </c>
      <c r="AH437" s="4" t="n">
        <v>7100</v>
      </c>
      <c r="AI437" s="3" t="n">
        <v>630</v>
      </c>
      <c r="AJ437" s="7" t="n">
        <f aca="false">ROUND(AB437/I437,4)</f>
        <v>0.6567</v>
      </c>
      <c r="AK437" s="2" t="str">
        <f aca="false">IF(AND(AI437&gt;=750,AJ437&lt;=0.35),"Low",IF(AND(AI437&gt;=600,AJ437&lt;=0.5),"Medium","High"))</f>
        <v>High</v>
      </c>
      <c r="AL437" s="3" t="n">
        <v>1</v>
      </c>
      <c r="AM437" s="2" t="s">
        <v>58</v>
      </c>
      <c r="AN437" s="2" t="s">
        <v>119</v>
      </c>
      <c r="AO437" s="2" t="s">
        <v>60</v>
      </c>
      <c r="AP437" s="7" t="n">
        <v>0.286</v>
      </c>
    </row>
    <row r="438" customFormat="false" ht="15" hidden="false" customHeight="false" outlineLevel="0" collapsed="false">
      <c r="A438" s="2" t="s">
        <v>1823</v>
      </c>
      <c r="B438" s="2" t="s">
        <v>1824</v>
      </c>
      <c r="C438" s="2" t="s">
        <v>157</v>
      </c>
      <c r="D438" s="2" t="s">
        <v>109</v>
      </c>
      <c r="E438" s="3" t="n">
        <v>34</v>
      </c>
      <c r="F438" s="2" t="s">
        <v>175</v>
      </c>
      <c r="G438" s="2" t="s">
        <v>207</v>
      </c>
      <c r="H438" s="2" t="s">
        <v>101</v>
      </c>
      <c r="I438" s="4" t="n">
        <v>59500</v>
      </c>
      <c r="J438" s="2" t="s">
        <v>49</v>
      </c>
      <c r="K438" s="3" t="n">
        <v>12</v>
      </c>
      <c r="L438" s="2" t="s">
        <v>231</v>
      </c>
      <c r="M438" s="2" t="s">
        <v>92</v>
      </c>
      <c r="N438" s="2" t="s">
        <v>52</v>
      </c>
      <c r="O438" s="3" t="n">
        <v>0</v>
      </c>
      <c r="P438" s="2" t="s">
        <v>169</v>
      </c>
      <c r="Q438" s="2" t="s">
        <v>170</v>
      </c>
      <c r="R438" s="2" t="s">
        <v>92</v>
      </c>
      <c r="S438" s="2" t="s">
        <v>92</v>
      </c>
      <c r="T438" s="2" t="s">
        <v>1825</v>
      </c>
      <c r="U438" s="2" t="s">
        <v>57</v>
      </c>
      <c r="V438" s="4" t="n">
        <v>804000</v>
      </c>
      <c r="W438" s="5" t="n">
        <v>10.43</v>
      </c>
      <c r="X438" s="3" t="n">
        <v>156</v>
      </c>
      <c r="Y438" s="6" t="n">
        <v>46191</v>
      </c>
      <c r="Z438" s="6" t="n">
        <v>46193</v>
      </c>
      <c r="AA438" s="6" t="n">
        <v>46196</v>
      </c>
      <c r="AB438" s="4" t="n">
        <f aca="false">ROUND(PMT(W438/1200,X438,-V438),2)</f>
        <v>9433.56</v>
      </c>
      <c r="AC438" s="4" t="n">
        <v>913000</v>
      </c>
      <c r="AD438" s="3" t="n">
        <v>0</v>
      </c>
      <c r="AE438" s="4" t="n">
        <v>116400</v>
      </c>
      <c r="AF438" s="4" t="n">
        <v>22100</v>
      </c>
      <c r="AG438" s="3" t="n">
        <v>12</v>
      </c>
      <c r="AH438" s="4" t="n">
        <v>50700</v>
      </c>
      <c r="AI438" s="3" t="n">
        <v>696</v>
      </c>
      <c r="AJ438" s="7" t="n">
        <f aca="false">ROUND(AB438/I438,4)</f>
        <v>0.1585</v>
      </c>
      <c r="AK438" s="2" t="str">
        <f aca="false">IF(AND(AI438&gt;=750,AJ438&lt;=0.35),"Low",IF(AND(AI438&gt;=600,AJ438&lt;=0.5),"Medium","High"))</f>
        <v>Medium</v>
      </c>
      <c r="AL438" s="3" t="n">
        <v>0</v>
      </c>
      <c r="AM438" s="2" t="s">
        <v>58</v>
      </c>
      <c r="AN438" s="2" t="s">
        <v>59</v>
      </c>
      <c r="AO438" s="2" t="s">
        <v>60</v>
      </c>
      <c r="AP438" s="7" t="n">
        <v>0.251</v>
      </c>
    </row>
    <row r="439" customFormat="false" ht="15" hidden="false" customHeight="false" outlineLevel="0" collapsed="false">
      <c r="A439" s="2" t="s">
        <v>1826</v>
      </c>
      <c r="B439" s="2" t="s">
        <v>1818</v>
      </c>
      <c r="C439" s="2" t="s">
        <v>1827</v>
      </c>
      <c r="D439" s="2" t="s">
        <v>45</v>
      </c>
      <c r="E439" s="3" t="n">
        <v>50</v>
      </c>
      <c r="F439" s="2"/>
      <c r="G439" s="2" t="s">
        <v>90</v>
      </c>
      <c r="H439" s="2" t="s">
        <v>48</v>
      </c>
      <c r="I439" s="4" t="n">
        <v>36000</v>
      </c>
      <c r="J439" s="2" t="s">
        <v>90</v>
      </c>
      <c r="K439" s="3" t="n">
        <v>23</v>
      </c>
      <c r="L439" s="2" t="s">
        <v>168</v>
      </c>
      <c r="M439" s="2" t="s">
        <v>92</v>
      </c>
      <c r="N439" s="2" t="s">
        <v>52</v>
      </c>
      <c r="O439" s="3" t="n">
        <v>0</v>
      </c>
      <c r="P439" s="2" t="s">
        <v>169</v>
      </c>
      <c r="Q439" s="2" t="s">
        <v>170</v>
      </c>
      <c r="R439" s="2" t="s">
        <v>92</v>
      </c>
      <c r="S439" s="2" t="s">
        <v>92</v>
      </c>
      <c r="T439" s="2" t="s">
        <v>1828</v>
      </c>
      <c r="U439" s="2" t="s">
        <v>85</v>
      </c>
      <c r="V439" s="4" t="n">
        <v>220000</v>
      </c>
      <c r="W439" s="5" t="n">
        <v>10.44</v>
      </c>
      <c r="X439" s="3" t="n">
        <v>12</v>
      </c>
      <c r="Y439" s="6" t="n">
        <v>46202</v>
      </c>
      <c r="Z439" s="6" t="n">
        <v>46204</v>
      </c>
      <c r="AA439" s="6" t="n">
        <v>46208</v>
      </c>
      <c r="AB439" s="4" t="n">
        <f aca="false">ROUND(PMT(W439/1200,X439,-V439),2)</f>
        <v>19386.54</v>
      </c>
      <c r="AC439" s="4" t="n">
        <v>0</v>
      </c>
      <c r="AD439" s="3" t="n">
        <v>2</v>
      </c>
      <c r="AE439" s="4" t="n">
        <v>143400</v>
      </c>
      <c r="AF439" s="4" t="n">
        <v>32500</v>
      </c>
      <c r="AG439" s="3" t="n">
        <v>19</v>
      </c>
      <c r="AH439" s="4" t="n">
        <v>23400</v>
      </c>
      <c r="AI439" s="3" t="n">
        <v>672</v>
      </c>
      <c r="AJ439" s="7" t="n">
        <f aca="false">ROUND(AB439/I439,4)</f>
        <v>0.5385</v>
      </c>
      <c r="AK439" s="2" t="str">
        <f aca="false">IF(AND(AI439&gt;=750,AJ439&lt;=0.35),"Low",IF(AND(AI439&gt;=600,AJ439&lt;=0.5),"Medium","High"))</f>
        <v>High</v>
      </c>
      <c r="AL439" s="3" t="n">
        <v>3</v>
      </c>
      <c r="AM439" s="2" t="s">
        <v>233</v>
      </c>
      <c r="AN439" s="2" t="s">
        <v>258</v>
      </c>
      <c r="AO439" s="2" t="s">
        <v>60</v>
      </c>
      <c r="AP439" s="7" t="n">
        <v>0.425</v>
      </c>
    </row>
    <row r="440" customFormat="false" ht="15" hidden="false" customHeight="false" outlineLevel="0" collapsed="false">
      <c r="A440" s="2" t="s">
        <v>1829</v>
      </c>
      <c r="B440" s="2" t="s">
        <v>1830</v>
      </c>
      <c r="C440" s="2" t="s">
        <v>1831</v>
      </c>
      <c r="D440" s="2" t="s">
        <v>45</v>
      </c>
      <c r="E440" s="3" t="n">
        <v>21</v>
      </c>
      <c r="F440" s="2" t="s">
        <v>64</v>
      </c>
      <c r="G440" s="2" t="s">
        <v>166</v>
      </c>
      <c r="H440" s="2" t="s">
        <v>167</v>
      </c>
      <c r="I440" s="4" t="n">
        <v>180500</v>
      </c>
      <c r="J440" s="2" t="s">
        <v>145</v>
      </c>
      <c r="K440" s="3" t="n">
        <v>0</v>
      </c>
      <c r="L440" s="2" t="s">
        <v>79</v>
      </c>
      <c r="M440" s="2" t="s">
        <v>80</v>
      </c>
      <c r="N440" s="2" t="s">
        <v>81</v>
      </c>
      <c r="O440" s="3" t="n">
        <v>0</v>
      </c>
      <c r="P440" s="2" t="s">
        <v>82</v>
      </c>
      <c r="Q440" s="2" t="s">
        <v>83</v>
      </c>
      <c r="R440" s="2" t="s">
        <v>80</v>
      </c>
      <c r="S440" s="2" t="s">
        <v>80</v>
      </c>
      <c r="T440" s="2" t="s">
        <v>1832</v>
      </c>
      <c r="U440" s="2" t="s">
        <v>72</v>
      </c>
      <c r="V440" s="4" t="n">
        <v>1089000</v>
      </c>
      <c r="W440" s="5" t="n">
        <v>15.92</v>
      </c>
      <c r="X440" s="3" t="n">
        <v>60</v>
      </c>
      <c r="Y440" s="6" t="n">
        <v>46175</v>
      </c>
      <c r="Z440" s="6"/>
      <c r="AA440" s="6"/>
      <c r="AB440" s="4" t="n">
        <f aca="false">ROUND(PMT(W440/1200,X440,-V440),2)</f>
        <v>26436.1</v>
      </c>
      <c r="AC440" s="4" t="n">
        <v>1135000</v>
      </c>
      <c r="AD440" s="3" t="n">
        <v>0</v>
      </c>
      <c r="AE440" s="4" t="n">
        <v>694300</v>
      </c>
      <c r="AF440" s="4" t="n">
        <v>70500</v>
      </c>
      <c r="AG440" s="3" t="n">
        <v>45</v>
      </c>
      <c r="AH440" s="4" t="n">
        <v>90000</v>
      </c>
      <c r="AI440" s="3" t="n">
        <v>680</v>
      </c>
      <c r="AJ440" s="7" t="n">
        <f aca="false">ROUND(AB440/I440,4)</f>
        <v>0.1465</v>
      </c>
      <c r="AK440" s="2" t="str">
        <f aca="false">IF(AND(AI440&gt;=750,AJ440&lt;=0.35),"Low",IF(AND(AI440&gt;=600,AJ440&lt;=0.5),"Medium","High"))</f>
        <v>Medium</v>
      </c>
      <c r="AL440" s="3" t="n">
        <v>0</v>
      </c>
      <c r="AM440" s="2" t="s">
        <v>58</v>
      </c>
      <c r="AN440" s="2"/>
      <c r="AO440" s="2" t="s">
        <v>134</v>
      </c>
      <c r="AP440" s="7" t="n">
        <v>0.294</v>
      </c>
    </row>
    <row r="441" customFormat="false" ht="15" hidden="false" customHeight="false" outlineLevel="0" collapsed="false">
      <c r="A441" s="2" t="s">
        <v>1833</v>
      </c>
      <c r="B441" s="2" t="s">
        <v>1834</v>
      </c>
      <c r="C441" s="2" t="s">
        <v>792</v>
      </c>
      <c r="D441" s="2" t="s">
        <v>45</v>
      </c>
      <c r="E441" s="3" t="n">
        <v>48</v>
      </c>
      <c r="F441" s="2" t="s">
        <v>64</v>
      </c>
      <c r="G441" s="2" t="s">
        <v>90</v>
      </c>
      <c r="H441" s="2" t="s">
        <v>77</v>
      </c>
      <c r="I441" s="4" t="n">
        <v>36000</v>
      </c>
      <c r="J441" s="2" t="s">
        <v>90</v>
      </c>
      <c r="K441" s="3" t="n">
        <v>30</v>
      </c>
      <c r="L441" s="2" t="s">
        <v>247</v>
      </c>
      <c r="M441" s="2" t="s">
        <v>80</v>
      </c>
      <c r="N441" s="2" t="s">
        <v>81</v>
      </c>
      <c r="O441" s="3" t="n">
        <v>0</v>
      </c>
      <c r="P441" s="2" t="s">
        <v>82</v>
      </c>
      <c r="Q441" s="2" t="s">
        <v>83</v>
      </c>
      <c r="R441" s="2" t="s">
        <v>80</v>
      </c>
      <c r="S441" s="2" t="s">
        <v>80</v>
      </c>
      <c r="T441" s="2" t="s">
        <v>1835</v>
      </c>
      <c r="U441" s="2" t="s">
        <v>72</v>
      </c>
      <c r="V441" s="4" t="n">
        <v>495000</v>
      </c>
      <c r="W441" s="5" t="n">
        <v>13.65</v>
      </c>
      <c r="X441" s="3" t="n">
        <v>78</v>
      </c>
      <c r="Y441" s="6" t="n">
        <v>46186</v>
      </c>
      <c r="Z441" s="6" t="n">
        <v>46188</v>
      </c>
      <c r="AA441" s="6" t="n">
        <v>46193</v>
      </c>
      <c r="AB441" s="4" t="n">
        <f aca="false">ROUND(PMT(W441/1200,X441,-V441),2)</f>
        <v>9606.18</v>
      </c>
      <c r="AC441" s="4" t="n">
        <v>541000</v>
      </c>
      <c r="AD441" s="3" t="n">
        <v>1</v>
      </c>
      <c r="AE441" s="4" t="n">
        <v>57800</v>
      </c>
      <c r="AF441" s="4" t="n">
        <v>18000</v>
      </c>
      <c r="AG441" s="3" t="n">
        <v>30</v>
      </c>
      <c r="AH441" s="4" t="n">
        <v>19700</v>
      </c>
      <c r="AI441" s="3" t="n">
        <v>777</v>
      </c>
      <c r="AJ441" s="7" t="n">
        <f aca="false">ROUND(AB441/I441,4)</f>
        <v>0.2668</v>
      </c>
      <c r="AK441" s="2" t="str">
        <f aca="false">IF(AND(AI441&gt;=750,AJ441&lt;=0.35),"Low",IF(AND(AI441&gt;=600,AJ441&lt;=0.5),"Medium","High"))</f>
        <v>Low</v>
      </c>
      <c r="AL441" s="3" t="n">
        <v>0</v>
      </c>
      <c r="AM441" s="2" t="s">
        <v>58</v>
      </c>
      <c r="AN441" s="2" t="s">
        <v>119</v>
      </c>
      <c r="AO441" s="2" t="s">
        <v>86</v>
      </c>
      <c r="AP441" s="7" t="n">
        <v>0.103</v>
      </c>
    </row>
    <row r="442" customFormat="false" ht="15" hidden="false" customHeight="false" outlineLevel="0" collapsed="false">
      <c r="A442" s="2" t="s">
        <v>1836</v>
      </c>
      <c r="B442" s="2" t="s">
        <v>1657</v>
      </c>
      <c r="C442" s="2" t="s">
        <v>1837</v>
      </c>
      <c r="D442" s="2" t="s">
        <v>45</v>
      </c>
      <c r="E442" s="3" t="n">
        <v>43</v>
      </c>
      <c r="F442" s="2" t="s">
        <v>46</v>
      </c>
      <c r="G442" s="2"/>
      <c r="H442" s="2" t="s">
        <v>48</v>
      </c>
      <c r="I442" s="4" t="n">
        <v>86500</v>
      </c>
      <c r="J442" s="2" t="s">
        <v>49</v>
      </c>
      <c r="K442" s="3" t="n">
        <v>22</v>
      </c>
      <c r="L442" s="2" t="s">
        <v>564</v>
      </c>
      <c r="M442" s="2" t="s">
        <v>80</v>
      </c>
      <c r="N442" s="2" t="s">
        <v>81</v>
      </c>
      <c r="O442" s="3" t="n">
        <v>0</v>
      </c>
      <c r="P442" s="2" t="s">
        <v>82</v>
      </c>
      <c r="Q442" s="2" t="s">
        <v>83</v>
      </c>
      <c r="R442" s="2" t="s">
        <v>80</v>
      </c>
      <c r="S442" s="2" t="s">
        <v>80</v>
      </c>
      <c r="T442" s="2" t="s">
        <v>1838</v>
      </c>
      <c r="U442" s="2" t="s">
        <v>57</v>
      </c>
      <c r="V442" s="4" t="n">
        <v>2064000</v>
      </c>
      <c r="W442" s="5" t="n">
        <v>9.1</v>
      </c>
      <c r="X442" s="3" t="n">
        <v>288</v>
      </c>
      <c r="Y442" s="6" t="n">
        <v>46197</v>
      </c>
      <c r="Z442" s="6" t="n">
        <v>46202</v>
      </c>
      <c r="AA442" s="6" t="n">
        <v>46203</v>
      </c>
      <c r="AB442" s="4" t="n">
        <f aca="false">ROUND(PMT(W442/1200,X442,-V442),2)</f>
        <v>17656.38</v>
      </c>
      <c r="AC442" s="4" t="n">
        <v>3017000</v>
      </c>
      <c r="AD442" s="3" t="n">
        <v>2</v>
      </c>
      <c r="AE442" s="4"/>
      <c r="AF442" s="4" t="n">
        <v>56300</v>
      </c>
      <c r="AG442" s="3" t="n">
        <v>25</v>
      </c>
      <c r="AH442" s="4" t="n">
        <v>36800</v>
      </c>
      <c r="AI442" s="3" t="n">
        <v>763</v>
      </c>
      <c r="AJ442" s="7" t="n">
        <f aca="false">ROUND(AB442/I442,4)</f>
        <v>0.2041</v>
      </c>
      <c r="AK442" s="2" t="str">
        <f aca="false">IF(AND(AI442&gt;=750,AJ442&lt;=0.35),"Low",IF(AND(AI442&gt;=600,AJ442&lt;=0.5),"Medium","High"))</f>
        <v>Low</v>
      </c>
      <c r="AL442" s="3" t="n">
        <v>2</v>
      </c>
      <c r="AM442" s="2" t="s">
        <v>58</v>
      </c>
      <c r="AN442" s="2" t="s">
        <v>258</v>
      </c>
      <c r="AO442" s="2" t="s">
        <v>60</v>
      </c>
      <c r="AP442" s="7" t="n">
        <v>0.242</v>
      </c>
    </row>
    <row r="443" customFormat="false" ht="15" hidden="false" customHeight="false" outlineLevel="0" collapsed="false">
      <c r="A443" s="2" t="s">
        <v>1839</v>
      </c>
      <c r="B443" s="2" t="s">
        <v>1840</v>
      </c>
      <c r="C443" s="2" t="s">
        <v>823</v>
      </c>
      <c r="D443" s="2" t="s">
        <v>109</v>
      </c>
      <c r="E443" s="3" t="n">
        <v>51</v>
      </c>
      <c r="F443" s="2" t="s">
        <v>46</v>
      </c>
      <c r="G443" s="2" t="s">
        <v>110</v>
      </c>
      <c r="H443" s="2" t="s">
        <v>77</v>
      </c>
      <c r="I443" s="4" t="n">
        <v>9500</v>
      </c>
      <c r="J443" s="2" t="s">
        <v>112</v>
      </c>
      <c r="K443" s="3" t="n">
        <v>30</v>
      </c>
      <c r="L443" s="2" t="s">
        <v>1251</v>
      </c>
      <c r="M443" s="2" t="s">
        <v>51</v>
      </c>
      <c r="N443" s="2"/>
      <c r="O443" s="3" t="n">
        <v>0</v>
      </c>
      <c r="P443" s="2" t="s">
        <v>131</v>
      </c>
      <c r="Q443" s="2" t="s">
        <v>132</v>
      </c>
      <c r="R443" s="2" t="s">
        <v>51</v>
      </c>
      <c r="S443" s="2" t="s">
        <v>51</v>
      </c>
      <c r="T443" s="2" t="s">
        <v>1841</v>
      </c>
      <c r="U443" s="2" t="s">
        <v>57</v>
      </c>
      <c r="V443" s="4" t="n">
        <v>800000</v>
      </c>
      <c r="W443" s="5" t="n">
        <v>9.97</v>
      </c>
      <c r="X443" s="3" t="n">
        <v>246</v>
      </c>
      <c r="Y443" s="6" t="n">
        <v>46188</v>
      </c>
      <c r="Z443" s="6" t="n">
        <v>46192</v>
      </c>
      <c r="AA443" s="6" t="n">
        <v>46194</v>
      </c>
      <c r="AB443" s="4" t="n">
        <f aca="false">ROUND(PMT(W443/1200,X443,-V443),2)</f>
        <v>7645.36</v>
      </c>
      <c r="AC443" s="4" t="n">
        <v>1017000</v>
      </c>
      <c r="AD443" s="3"/>
      <c r="AE443" s="4" t="n">
        <v>34300</v>
      </c>
      <c r="AF443" s="4" t="n">
        <v>11500</v>
      </c>
      <c r="AG443" s="3" t="n">
        <v>22</v>
      </c>
      <c r="AH443" s="4" t="n">
        <v>9500</v>
      </c>
      <c r="AI443" s="3" t="n">
        <v>779</v>
      </c>
      <c r="AJ443" s="7" t="n">
        <f aca="false">ROUND(AB443/I443,4)</f>
        <v>0.8048</v>
      </c>
      <c r="AK443" s="2" t="str">
        <f aca="false">IF(AND(AI443&gt;=750,AJ443&lt;=0.35),"Low",IF(AND(AI443&gt;=600,AJ443&lt;=0.5),"Medium","High"))</f>
        <v>High</v>
      </c>
      <c r="AL443" s="3" t="n">
        <v>2</v>
      </c>
      <c r="AM443" s="2" t="s">
        <v>58</v>
      </c>
      <c r="AN443" s="2" t="s">
        <v>59</v>
      </c>
      <c r="AO443" s="2" t="s">
        <v>86</v>
      </c>
      <c r="AP443" s="7" t="n">
        <v>0.146</v>
      </c>
    </row>
    <row r="444" customFormat="false" ht="15" hidden="false" customHeight="false" outlineLevel="0" collapsed="false">
      <c r="A444" s="2" t="s">
        <v>1842</v>
      </c>
      <c r="B444" s="2" t="s">
        <v>1843</v>
      </c>
      <c r="C444" s="2" t="s">
        <v>1844</v>
      </c>
      <c r="D444" s="2" t="s">
        <v>109</v>
      </c>
      <c r="E444" s="3" t="n">
        <v>57</v>
      </c>
      <c r="F444" s="2" t="s">
        <v>46</v>
      </c>
      <c r="G444" s="2" t="s">
        <v>176</v>
      </c>
      <c r="H444" s="2" t="s">
        <v>77</v>
      </c>
      <c r="I444" s="4" t="n">
        <v>101500</v>
      </c>
      <c r="J444" s="2" t="s">
        <v>177</v>
      </c>
      <c r="K444" s="3" t="n">
        <v>35</v>
      </c>
      <c r="L444" s="2" t="s">
        <v>252</v>
      </c>
      <c r="M444" s="2" t="s">
        <v>114</v>
      </c>
      <c r="N444" s="2" t="s">
        <v>52</v>
      </c>
      <c r="O444" s="3" t="n">
        <v>1</v>
      </c>
      <c r="P444" s="2" t="s">
        <v>82</v>
      </c>
      <c r="Q444" s="2" t="s">
        <v>83</v>
      </c>
      <c r="R444" s="2" t="s">
        <v>80</v>
      </c>
      <c r="S444" s="2" t="s">
        <v>80</v>
      </c>
      <c r="T444" s="2" t="s">
        <v>1845</v>
      </c>
      <c r="U444" s="2" t="s">
        <v>97</v>
      </c>
      <c r="V444" s="4" t="n">
        <v>1325000</v>
      </c>
      <c r="W444" s="5" t="n">
        <v>11.54</v>
      </c>
      <c r="X444" s="3" t="n">
        <v>54</v>
      </c>
      <c r="Y444" s="6" t="n">
        <v>46181</v>
      </c>
      <c r="Z444" s="6" t="n">
        <v>46183</v>
      </c>
      <c r="AA444" s="6" t="n">
        <v>46184</v>
      </c>
      <c r="AB444" s="4" t="n">
        <f aca="false">ROUND(PMT(W444/1200,X444,-V444),2)</f>
        <v>31572.22</v>
      </c>
      <c r="AC444" s="4" t="n">
        <v>0</v>
      </c>
      <c r="AD444" s="3" t="n">
        <v>0</v>
      </c>
      <c r="AE444" s="4" t="n">
        <v>197500</v>
      </c>
      <c r="AF444" s="4" t="n">
        <v>59800</v>
      </c>
      <c r="AG444" s="3"/>
      <c r="AH444" s="4" t="n">
        <v>85600</v>
      </c>
      <c r="AI444" s="3" t="n">
        <v>875</v>
      </c>
      <c r="AJ444" s="7" t="n">
        <f aca="false">ROUND(AB444/I444,4)</f>
        <v>0.3111</v>
      </c>
      <c r="AK444" s="2" t="str">
        <f aca="false">IF(AND(AI444&gt;=750,AJ444&lt;=0.35),"Low",IF(AND(AI444&gt;=600,AJ444&lt;=0.5),"Medium","High"))</f>
        <v>Low</v>
      </c>
      <c r="AL444" s="3" t="n">
        <v>1</v>
      </c>
      <c r="AM444" s="2" t="s">
        <v>233</v>
      </c>
      <c r="AN444" s="2" t="s">
        <v>59</v>
      </c>
      <c r="AO444" s="2" t="s">
        <v>60</v>
      </c>
      <c r="AP444" s="7" t="n">
        <v>0.187</v>
      </c>
    </row>
    <row r="445" customFormat="false" ht="15" hidden="false" customHeight="false" outlineLevel="0" collapsed="false">
      <c r="A445" s="2" t="s">
        <v>1846</v>
      </c>
      <c r="B445" s="2" t="s">
        <v>1847</v>
      </c>
      <c r="C445" s="2" t="s">
        <v>1848</v>
      </c>
      <c r="D445" s="2" t="s">
        <v>45</v>
      </c>
      <c r="E445" s="3" t="n">
        <v>39</v>
      </c>
      <c r="F445" s="2" t="s">
        <v>434</v>
      </c>
      <c r="G445" s="2" t="s">
        <v>65</v>
      </c>
      <c r="H445" s="2" t="s">
        <v>101</v>
      </c>
      <c r="I445" s="4" t="n">
        <v>40500</v>
      </c>
      <c r="J445" s="2" t="s">
        <v>49</v>
      </c>
      <c r="K445" s="3" t="n">
        <v>12</v>
      </c>
      <c r="L445" s="2" t="s">
        <v>1251</v>
      </c>
      <c r="M445" s="2" t="s">
        <v>51</v>
      </c>
      <c r="N445" s="2" t="s">
        <v>140</v>
      </c>
      <c r="O445" s="3" t="n">
        <v>1</v>
      </c>
      <c r="P445" s="2" t="s">
        <v>131</v>
      </c>
      <c r="Q445" s="2" t="s">
        <v>132</v>
      </c>
      <c r="R445" s="2" t="s">
        <v>51</v>
      </c>
      <c r="S445" s="2" t="s">
        <v>51</v>
      </c>
      <c r="T445" s="2" t="s">
        <v>1849</v>
      </c>
      <c r="U445" s="2" t="s">
        <v>57</v>
      </c>
      <c r="V445" s="4" t="n">
        <v>1636000</v>
      </c>
      <c r="W445" s="5" t="n">
        <v>11.13</v>
      </c>
      <c r="X445" s="3" t="n">
        <v>276</v>
      </c>
      <c r="Y445" s="6" t="n">
        <v>46184</v>
      </c>
      <c r="Z445" s="6"/>
      <c r="AA445" s="6"/>
      <c r="AB445" s="4" t="n">
        <f aca="false">ROUND(PMT(W445/1200,X445,-V445),2)</f>
        <v>16461.7</v>
      </c>
      <c r="AC445" s="4" t="n">
        <v>2003000</v>
      </c>
      <c r="AD445" s="3" t="n">
        <v>0</v>
      </c>
      <c r="AE445" s="4" t="n">
        <v>75200</v>
      </c>
      <c r="AF445" s="4" t="n">
        <v>18300</v>
      </c>
      <c r="AG445" s="3" t="n">
        <v>6</v>
      </c>
      <c r="AH445" s="4" t="n">
        <v>20900</v>
      </c>
      <c r="AI445" s="3" t="n">
        <v>750</v>
      </c>
      <c r="AJ445" s="7" t="n">
        <f aca="false">ROUND(AB445/I445,4)</f>
        <v>0.4065</v>
      </c>
      <c r="AK445" s="2" t="str">
        <f aca="false">IF(AND(AI445&gt;=750,AJ445&lt;=0.35),"Low",IF(AND(AI445&gt;=600,AJ445&lt;=0.5),"Medium","High"))</f>
        <v>Medium</v>
      </c>
      <c r="AL445" s="3" t="n">
        <v>2</v>
      </c>
      <c r="AM445" s="2" t="s">
        <v>58</v>
      </c>
      <c r="AN445" s="2"/>
      <c r="AO445" s="2" t="s">
        <v>134</v>
      </c>
      <c r="AP445" s="7" t="n">
        <v>0.178</v>
      </c>
    </row>
    <row r="446" customFormat="false" ht="15" hidden="false" customHeight="false" outlineLevel="0" collapsed="false">
      <c r="A446" s="2" t="s">
        <v>1850</v>
      </c>
      <c r="B446" s="2" t="s">
        <v>1851</v>
      </c>
      <c r="C446" s="2" t="s">
        <v>1852</v>
      </c>
      <c r="D446" s="2" t="s">
        <v>109</v>
      </c>
      <c r="E446" s="3" t="n">
        <v>27</v>
      </c>
      <c r="F446" s="2" t="s">
        <v>64</v>
      </c>
      <c r="G446" s="2" t="s">
        <v>145</v>
      </c>
      <c r="H446" s="2" t="s">
        <v>123</v>
      </c>
      <c r="I446" s="4" t="n">
        <v>35000</v>
      </c>
      <c r="J446" s="2" t="s">
        <v>145</v>
      </c>
      <c r="K446" s="3" t="n">
        <v>9</v>
      </c>
      <c r="L446" s="2" t="s">
        <v>533</v>
      </c>
      <c r="M446" s="2" t="s">
        <v>114</v>
      </c>
      <c r="N446" s="2" t="s">
        <v>81</v>
      </c>
      <c r="O446" s="3" t="n">
        <v>1</v>
      </c>
      <c r="P446" s="2" t="s">
        <v>115</v>
      </c>
      <c r="Q446" s="2" t="s">
        <v>116</v>
      </c>
      <c r="R446" s="2" t="s">
        <v>114</v>
      </c>
      <c r="S446" s="2" t="s">
        <v>114</v>
      </c>
      <c r="T446" s="2" t="s">
        <v>1853</v>
      </c>
      <c r="U446" s="2" t="s">
        <v>118</v>
      </c>
      <c r="V446" s="4" t="n">
        <v>504000</v>
      </c>
      <c r="W446" s="5" t="n">
        <v>8.77</v>
      </c>
      <c r="X446" s="3" t="n">
        <v>48</v>
      </c>
      <c r="Y446" s="6" t="n">
        <v>46200</v>
      </c>
      <c r="Z446" s="6" t="n">
        <v>46208</v>
      </c>
      <c r="AA446" s="6" t="n">
        <v>46213</v>
      </c>
      <c r="AB446" s="4" t="n">
        <f aca="false">ROUND(PMT(W446/1200,X446,-V446),2)</f>
        <v>12487.09</v>
      </c>
      <c r="AC446" s="4" t="n">
        <v>0</v>
      </c>
      <c r="AD446" s="3" t="n">
        <v>0</v>
      </c>
      <c r="AE446" s="4" t="n">
        <v>80400</v>
      </c>
      <c r="AF446" s="4" t="n">
        <v>35000</v>
      </c>
      <c r="AG446" s="3" t="n">
        <v>34</v>
      </c>
      <c r="AH446" s="4" t="n">
        <v>34200</v>
      </c>
      <c r="AI446" s="3" t="n">
        <v>750</v>
      </c>
      <c r="AJ446" s="7" t="n">
        <f aca="false">ROUND(AB446/I446,4)</f>
        <v>0.3568</v>
      </c>
      <c r="AK446" s="2" t="str">
        <f aca="false">IF(AND(AI446&gt;=750,AJ446&lt;=0.35),"Low",IF(AND(AI446&gt;=600,AJ446&lt;=0.5),"Medium","High"))</f>
        <v>Medium</v>
      </c>
      <c r="AL446" s="3" t="n">
        <v>0</v>
      </c>
      <c r="AM446" s="2" t="s">
        <v>58</v>
      </c>
      <c r="AN446" s="2" t="s">
        <v>119</v>
      </c>
      <c r="AO446" s="2" t="s">
        <v>60</v>
      </c>
      <c r="AP446" s="7" t="n">
        <v>0.191</v>
      </c>
    </row>
    <row r="447" customFormat="false" ht="15" hidden="false" customHeight="false" outlineLevel="0" collapsed="false">
      <c r="A447" s="2" t="s">
        <v>1854</v>
      </c>
      <c r="B447" s="2" t="s">
        <v>445</v>
      </c>
      <c r="C447" s="2" t="s">
        <v>1855</v>
      </c>
      <c r="D447" s="2" t="s">
        <v>45</v>
      </c>
      <c r="E447" s="3" t="n">
        <v>37</v>
      </c>
      <c r="F447" s="2" t="s">
        <v>64</v>
      </c>
      <c r="G447" s="2" t="s">
        <v>76</v>
      </c>
      <c r="H447" s="2" t="s">
        <v>101</v>
      </c>
      <c r="I447" s="4" t="n">
        <v>57000</v>
      </c>
      <c r="J447" s="2" t="s">
        <v>78</v>
      </c>
      <c r="K447" s="3" t="n">
        <v>11</v>
      </c>
      <c r="L447" s="2" t="s">
        <v>463</v>
      </c>
      <c r="M447" s="2" t="s">
        <v>51</v>
      </c>
      <c r="N447" s="2" t="s">
        <v>52</v>
      </c>
      <c r="O447" s="3" t="n">
        <v>3</v>
      </c>
      <c r="P447" s="2" t="s">
        <v>53</v>
      </c>
      <c r="Q447" s="2" t="s">
        <v>54</v>
      </c>
      <c r="R447" s="2" t="s">
        <v>55</v>
      </c>
      <c r="S447" s="2" t="s">
        <v>51</v>
      </c>
      <c r="T447" s="2" t="s">
        <v>1856</v>
      </c>
      <c r="U447" s="2" t="s">
        <v>180</v>
      </c>
      <c r="V447" s="4" t="n">
        <v>851000</v>
      </c>
      <c r="W447" s="5" t="n">
        <v>11.86</v>
      </c>
      <c r="X447" s="3" t="n">
        <v>60</v>
      </c>
      <c r="Y447" s="6" t="n">
        <v>46199</v>
      </c>
      <c r="Z447" s="6" t="n">
        <v>46206</v>
      </c>
      <c r="AA447" s="6" t="n">
        <v>46210</v>
      </c>
      <c r="AB447" s="4" t="n">
        <f aca="false">ROUND(PMT(W447/1200,X447,-V447),2)</f>
        <v>18869.87</v>
      </c>
      <c r="AC447" s="4" t="n">
        <v>917000</v>
      </c>
      <c r="AD447" s="3" t="n">
        <v>0</v>
      </c>
      <c r="AE447" s="4" t="n">
        <v>165600</v>
      </c>
      <c r="AF447" s="4"/>
      <c r="AG447" s="3" t="n">
        <v>11</v>
      </c>
      <c r="AH447" s="4" t="n">
        <v>46300</v>
      </c>
      <c r="AI447" s="3" t="n">
        <v>900</v>
      </c>
      <c r="AJ447" s="7" t="n">
        <f aca="false">ROUND(AB447/I447,4)</f>
        <v>0.3311</v>
      </c>
      <c r="AK447" s="2" t="str">
        <f aca="false">IF(AND(AI447&gt;=750,AJ447&lt;=0.35),"Low",IF(AND(AI447&gt;=600,AJ447&lt;=0.5),"Medium","High"))</f>
        <v>Low</v>
      </c>
      <c r="AL447" s="3" t="n">
        <v>0</v>
      </c>
      <c r="AM447" s="2" t="s">
        <v>58</v>
      </c>
      <c r="AN447" s="2" t="s">
        <v>258</v>
      </c>
      <c r="AO447" s="2" t="s">
        <v>60</v>
      </c>
      <c r="AP447" s="7" t="n">
        <v>0.01</v>
      </c>
    </row>
    <row r="448" customFormat="false" ht="15" hidden="false" customHeight="false" outlineLevel="0" collapsed="false">
      <c r="A448" s="2" t="s">
        <v>1857</v>
      </c>
      <c r="B448" s="2" t="s">
        <v>1472</v>
      </c>
      <c r="C448" s="2" t="s">
        <v>1858</v>
      </c>
      <c r="D448" s="2" t="s">
        <v>45</v>
      </c>
      <c r="E448" s="3" t="n">
        <v>35</v>
      </c>
      <c r="F448" s="2" t="s">
        <v>46</v>
      </c>
      <c r="G448" s="2" t="s">
        <v>176</v>
      </c>
      <c r="H448" s="2" t="s">
        <v>48</v>
      </c>
      <c r="I448" s="4" t="n">
        <v>101500</v>
      </c>
      <c r="J448" s="2" t="s">
        <v>177</v>
      </c>
      <c r="K448" s="3" t="n">
        <v>6</v>
      </c>
      <c r="L448" s="2" t="s">
        <v>80</v>
      </c>
      <c r="M448" s="2" t="s">
        <v>80</v>
      </c>
      <c r="N448" s="2" t="s">
        <v>52</v>
      </c>
      <c r="O448" s="3" t="n">
        <v>2</v>
      </c>
      <c r="P448" s="2" t="s">
        <v>82</v>
      </c>
      <c r="Q448" s="2" t="s">
        <v>83</v>
      </c>
      <c r="R448" s="2" t="s">
        <v>80</v>
      </c>
      <c r="S448" s="2" t="s">
        <v>80</v>
      </c>
      <c r="T448" s="2" t="s">
        <v>1859</v>
      </c>
      <c r="U448" s="2" t="s">
        <v>192</v>
      </c>
      <c r="V448" s="4" t="n">
        <v>472000</v>
      </c>
      <c r="W448" s="5" t="n">
        <v>12.86</v>
      </c>
      <c r="X448" s="3" t="n">
        <v>30</v>
      </c>
      <c r="Y448" s="6" t="n">
        <v>46195</v>
      </c>
      <c r="Z448" s="6" t="n">
        <v>46199</v>
      </c>
      <c r="AA448" s="6" t="n">
        <v>46201</v>
      </c>
      <c r="AB448" s="4" t="n">
        <f aca="false">ROUND(PMT(W448/1200,X448,-V448),2)</f>
        <v>18481.19</v>
      </c>
      <c r="AC448" s="4" t="n">
        <v>676000</v>
      </c>
      <c r="AD448" s="3" t="n">
        <v>0</v>
      </c>
      <c r="AE448" s="4" t="n">
        <v>290300</v>
      </c>
      <c r="AF448" s="4" t="n">
        <v>61200</v>
      </c>
      <c r="AG448" s="3" t="n">
        <v>12</v>
      </c>
      <c r="AH448" s="4" t="n">
        <v>33300</v>
      </c>
      <c r="AI448" s="3" t="n">
        <v>725</v>
      </c>
      <c r="AJ448" s="7" t="n">
        <f aca="false">ROUND(AB448/I448,4)</f>
        <v>0.1821</v>
      </c>
      <c r="AK448" s="2" t="str">
        <f aca="false">IF(AND(AI448&gt;=750,AJ448&lt;=0.35),"Low",IF(AND(AI448&gt;=600,AJ448&lt;=0.5),"Medium","High"))</f>
        <v>Medium</v>
      </c>
      <c r="AL448" s="3" t="n">
        <v>1</v>
      </c>
      <c r="AM448" s="2" t="s">
        <v>233</v>
      </c>
      <c r="AN448" s="2" t="s">
        <v>59</v>
      </c>
      <c r="AO448" s="2" t="s">
        <v>60</v>
      </c>
      <c r="AP448" s="7" t="n">
        <v>0.354</v>
      </c>
    </row>
    <row r="449" customFormat="false" ht="15" hidden="false" customHeight="false" outlineLevel="0" collapsed="false">
      <c r="A449" s="2" t="s">
        <v>1860</v>
      </c>
      <c r="B449" s="2" t="s">
        <v>1861</v>
      </c>
      <c r="C449" s="2" t="s">
        <v>437</v>
      </c>
      <c r="D449" s="2" t="s">
        <v>109</v>
      </c>
      <c r="E449" s="3" t="n">
        <v>21</v>
      </c>
      <c r="F449" s="2" t="s">
        <v>46</v>
      </c>
      <c r="G449" s="2" t="s">
        <v>176</v>
      </c>
      <c r="H449" s="2" t="s">
        <v>77</v>
      </c>
      <c r="I449" s="4" t="n">
        <v>44500</v>
      </c>
      <c r="J449" s="2" t="s">
        <v>177</v>
      </c>
      <c r="K449" s="3" t="n">
        <v>1</v>
      </c>
      <c r="L449" s="2" t="s">
        <v>416</v>
      </c>
      <c r="M449" s="2" t="s">
        <v>147</v>
      </c>
      <c r="N449" s="2" t="s">
        <v>81</v>
      </c>
      <c r="O449" s="3" t="n">
        <v>1</v>
      </c>
      <c r="P449" s="2" t="s">
        <v>209</v>
      </c>
      <c r="Q449" s="2" t="s">
        <v>210</v>
      </c>
      <c r="R449" s="2" t="s">
        <v>211</v>
      </c>
      <c r="S449" s="2" t="s">
        <v>147</v>
      </c>
      <c r="T449" s="2" t="s">
        <v>1862</v>
      </c>
      <c r="U449" s="2" t="s">
        <v>72</v>
      </c>
      <c r="V449" s="4" t="n">
        <v>551000</v>
      </c>
      <c r="W449" s="5" t="n">
        <v>12.53</v>
      </c>
      <c r="X449" s="3" t="n">
        <v>30</v>
      </c>
      <c r="Y449" s="6" t="n">
        <v>46199</v>
      </c>
      <c r="Z449" s="6" t="n">
        <v>46203</v>
      </c>
      <c r="AA449" s="6" t="n">
        <v>46208</v>
      </c>
      <c r="AB449" s="4" t="n">
        <f aca="false">ROUND(PMT(W449/1200,X449,-V449),2)</f>
        <v>21488.24</v>
      </c>
      <c r="AC449" s="4" t="n">
        <v>699000</v>
      </c>
      <c r="AD449" s="3" t="n">
        <v>0</v>
      </c>
      <c r="AE449" s="4" t="n">
        <v>36400</v>
      </c>
      <c r="AF449" s="4" t="n">
        <v>16700</v>
      </c>
      <c r="AG449" s="3" t="n">
        <v>3</v>
      </c>
      <c r="AH449" s="4" t="n">
        <v>21000</v>
      </c>
      <c r="AI449" s="3" t="n">
        <v>840</v>
      </c>
      <c r="AJ449" s="7" t="n">
        <f aca="false">ROUND(AB449/I449,4)</f>
        <v>0.4829</v>
      </c>
      <c r="AK449" s="2" t="str">
        <f aca="false">IF(AND(AI449&gt;=750,AJ449&lt;=0.35),"Low",IF(AND(AI449&gt;=600,AJ449&lt;=0.5),"Medium","High"))</f>
        <v>Medium</v>
      </c>
      <c r="AL449" s="3" t="n">
        <v>1</v>
      </c>
      <c r="AM449" s="2" t="s">
        <v>58</v>
      </c>
      <c r="AN449" s="2" t="s">
        <v>119</v>
      </c>
      <c r="AO449" s="2" t="s">
        <v>86</v>
      </c>
      <c r="AP449" s="7" t="n">
        <v>0.026</v>
      </c>
    </row>
    <row r="450" customFormat="false" ht="15" hidden="false" customHeight="false" outlineLevel="0" collapsed="false">
      <c r="A450" s="2" t="s">
        <v>1863</v>
      </c>
      <c r="B450" s="2" t="s">
        <v>1864</v>
      </c>
      <c r="C450" s="2" t="s">
        <v>1865</v>
      </c>
      <c r="D450" s="2" t="s">
        <v>109</v>
      </c>
      <c r="E450" s="3" t="n">
        <v>33</v>
      </c>
      <c r="F450" s="2" t="s">
        <v>64</v>
      </c>
      <c r="G450" s="2" t="s">
        <v>110</v>
      </c>
      <c r="H450" s="2" t="s">
        <v>111</v>
      </c>
      <c r="I450" s="4" t="n">
        <v>8000</v>
      </c>
      <c r="J450" s="2" t="s">
        <v>112</v>
      </c>
      <c r="K450" s="3" t="n">
        <v>14</v>
      </c>
      <c r="L450" s="2" t="s">
        <v>1866</v>
      </c>
      <c r="M450" s="2" t="s">
        <v>114</v>
      </c>
      <c r="N450" s="2" t="s">
        <v>52</v>
      </c>
      <c r="O450" s="3" t="n">
        <v>1</v>
      </c>
      <c r="P450" s="2" t="s">
        <v>115</v>
      </c>
      <c r="Q450" s="2" t="s">
        <v>116</v>
      </c>
      <c r="R450" s="2" t="s">
        <v>114</v>
      </c>
      <c r="S450" s="2" t="s">
        <v>114</v>
      </c>
      <c r="T450" s="2" t="s">
        <v>1867</v>
      </c>
      <c r="U450" s="2" t="s">
        <v>72</v>
      </c>
      <c r="V450" s="4" t="n">
        <v>300000</v>
      </c>
      <c r="W450" s="5" t="n">
        <v>11.87</v>
      </c>
      <c r="X450" s="3" t="n">
        <v>72</v>
      </c>
      <c r="Y450" s="6" t="n">
        <v>46177</v>
      </c>
      <c r="Z450" s="6" t="n">
        <v>46180</v>
      </c>
      <c r="AA450" s="6" t="n">
        <v>46183</v>
      </c>
      <c r="AB450" s="4" t="n">
        <f aca="false">ROUND(PMT(W450/1200,X450,-V450),2)</f>
        <v>5844.8</v>
      </c>
      <c r="AC450" s="4" t="n">
        <v>365000</v>
      </c>
      <c r="AD450" s="3" t="n">
        <v>0</v>
      </c>
      <c r="AE450" s="4" t="n">
        <v>17900</v>
      </c>
      <c r="AF450" s="4" t="n">
        <v>6700</v>
      </c>
      <c r="AG450" s="3" t="n">
        <v>26</v>
      </c>
      <c r="AH450" s="4" t="n">
        <v>6000</v>
      </c>
      <c r="AI450" s="3" t="n">
        <v>865</v>
      </c>
      <c r="AJ450" s="7" t="n">
        <f aca="false">ROUND(AB450/I450,4)</f>
        <v>0.7306</v>
      </c>
      <c r="AK450" s="2" t="str">
        <f aca="false">IF(AND(AI450&gt;=750,AJ450&lt;=0.35),"Low",IF(AND(AI450&gt;=600,AJ450&lt;=0.5),"Medium","High"))</f>
        <v>High</v>
      </c>
      <c r="AL450" s="3" t="n">
        <v>0</v>
      </c>
      <c r="AM450" s="2" t="s">
        <v>58</v>
      </c>
      <c r="AN450" s="2" t="s">
        <v>258</v>
      </c>
      <c r="AO450" s="2" t="s">
        <v>86</v>
      </c>
      <c r="AP450" s="7" t="n">
        <v>0.053</v>
      </c>
    </row>
    <row r="451" customFormat="false" ht="15" hidden="false" customHeight="false" outlineLevel="0" collapsed="false">
      <c r="A451" s="2" t="s">
        <v>1868</v>
      </c>
      <c r="B451" s="2" t="s">
        <v>1869</v>
      </c>
      <c r="C451" s="2" t="s">
        <v>1870</v>
      </c>
      <c r="D451" s="2" t="s">
        <v>45</v>
      </c>
      <c r="E451" s="3" t="n">
        <v>28</v>
      </c>
      <c r="F451" s="2" t="s">
        <v>64</v>
      </c>
      <c r="G451" s="2" t="s">
        <v>65</v>
      </c>
      <c r="H451" s="2" t="s">
        <v>48</v>
      </c>
      <c r="I451" s="4" t="n">
        <v>41500</v>
      </c>
      <c r="J451" s="2" t="s">
        <v>49</v>
      </c>
      <c r="K451" s="3" t="n">
        <v>1</v>
      </c>
      <c r="L451" s="2" t="s">
        <v>327</v>
      </c>
      <c r="M451" s="2" t="s">
        <v>92</v>
      </c>
      <c r="N451" s="2" t="s">
        <v>52</v>
      </c>
      <c r="O451" s="3" t="n">
        <v>2</v>
      </c>
      <c r="P451" s="2" t="s">
        <v>93</v>
      </c>
      <c r="Q451" s="2" t="s">
        <v>94</v>
      </c>
      <c r="R451" s="2" t="s">
        <v>95</v>
      </c>
      <c r="S451" s="2" t="s">
        <v>92</v>
      </c>
      <c r="T451" s="2" t="s">
        <v>1871</v>
      </c>
      <c r="U451" s="2" t="s">
        <v>97</v>
      </c>
      <c r="V451" s="4" t="n">
        <v>238000</v>
      </c>
      <c r="W451" s="5" t="n">
        <v>13.46</v>
      </c>
      <c r="X451" s="3" t="n">
        <v>18</v>
      </c>
      <c r="Y451" s="6" t="n">
        <v>46184</v>
      </c>
      <c r="Z451" s="6" t="n">
        <v>46189</v>
      </c>
      <c r="AA451" s="6" t="n">
        <v>46191</v>
      </c>
      <c r="AB451" s="4" t="n">
        <f aca="false">ROUND(PMT(W451/1200,X451,-V451),2)</f>
        <v>14675.66</v>
      </c>
      <c r="AC451" s="4"/>
      <c r="AD451" s="3" t="n">
        <v>0</v>
      </c>
      <c r="AE451" s="4" t="n">
        <v>41600</v>
      </c>
      <c r="AF451" s="4" t="n">
        <v>4400</v>
      </c>
      <c r="AG451" s="3" t="n">
        <v>53</v>
      </c>
      <c r="AH451" s="4" t="n">
        <v>39300</v>
      </c>
      <c r="AI451" s="3" t="n">
        <v>568</v>
      </c>
      <c r="AJ451" s="7" t="n">
        <f aca="false">ROUND(AB451/I451,4)</f>
        <v>0.3536</v>
      </c>
      <c r="AK451" s="2" t="str">
        <f aca="false">IF(AND(AI451&gt;=750,AJ451&lt;=0.35),"Low",IF(AND(AI451&gt;=600,AJ451&lt;=0.5),"Medium","High"))</f>
        <v>High</v>
      </c>
      <c r="AL451" s="3" t="n">
        <v>0</v>
      </c>
      <c r="AM451" s="2" t="s">
        <v>58</v>
      </c>
      <c r="AN451" s="2" t="s">
        <v>119</v>
      </c>
      <c r="AO451" s="2" t="s">
        <v>60</v>
      </c>
      <c r="AP451" s="7" t="n">
        <v>0.356</v>
      </c>
    </row>
    <row r="452" customFormat="false" ht="15" hidden="false" customHeight="false" outlineLevel="0" collapsed="false">
      <c r="A452" s="2" t="s">
        <v>1872</v>
      </c>
      <c r="B452" s="2" t="s">
        <v>375</v>
      </c>
      <c r="C452" s="2" t="s">
        <v>1873</v>
      </c>
      <c r="D452" s="2" t="s">
        <v>45</v>
      </c>
      <c r="E452" s="3" t="n">
        <v>42</v>
      </c>
      <c r="F452" s="2" t="s">
        <v>64</v>
      </c>
      <c r="G452" s="2"/>
      <c r="H452" s="2" t="s">
        <v>123</v>
      </c>
      <c r="I452" s="4" t="n">
        <v>14500</v>
      </c>
      <c r="J452" s="2" t="s">
        <v>90</v>
      </c>
      <c r="K452" s="3" t="n">
        <v>17</v>
      </c>
      <c r="L452" s="2" t="s">
        <v>67</v>
      </c>
      <c r="M452" s="2" t="s">
        <v>67</v>
      </c>
      <c r="N452" s="2" t="s">
        <v>140</v>
      </c>
      <c r="O452" s="3" t="n">
        <v>1</v>
      </c>
      <c r="P452" s="2" t="s">
        <v>103</v>
      </c>
      <c r="Q452" s="2" t="s">
        <v>104</v>
      </c>
      <c r="R452" s="2" t="s">
        <v>67</v>
      </c>
      <c r="S452" s="2" t="s">
        <v>67</v>
      </c>
      <c r="T452" s="2" t="s">
        <v>1874</v>
      </c>
      <c r="U452" s="2" t="s">
        <v>57</v>
      </c>
      <c r="V452" s="4" t="n">
        <v>800000</v>
      </c>
      <c r="W452" s="5" t="n">
        <v>9.77</v>
      </c>
      <c r="X452" s="3" t="n">
        <v>216</v>
      </c>
      <c r="Y452" s="6" t="n">
        <v>46186</v>
      </c>
      <c r="Z452" s="6" t="n">
        <v>46192</v>
      </c>
      <c r="AA452" s="6" t="n">
        <v>46194</v>
      </c>
      <c r="AB452" s="4" t="n">
        <f aca="false">ROUND(PMT(W452/1200,X452,-V452),2)</f>
        <v>7880.78</v>
      </c>
      <c r="AC452" s="4" t="n">
        <v>906000</v>
      </c>
      <c r="AD452" s="3" t="n">
        <v>0</v>
      </c>
      <c r="AE452" s="4" t="n">
        <v>38000</v>
      </c>
      <c r="AF452" s="4" t="n">
        <v>22100</v>
      </c>
      <c r="AG452" s="3" t="n">
        <v>23</v>
      </c>
      <c r="AH452" s="4" t="n">
        <v>11200</v>
      </c>
      <c r="AI452" s="3" t="n">
        <v>704</v>
      </c>
      <c r="AJ452" s="7" t="n">
        <f aca="false">ROUND(AB452/I452,4)</f>
        <v>0.5435</v>
      </c>
      <c r="AK452" s="2" t="str">
        <f aca="false">IF(AND(AI452&gt;=750,AJ452&lt;=0.35),"Low",IF(AND(AI452&gt;=600,AJ452&lt;=0.5),"Medium","High"))</f>
        <v>High</v>
      </c>
      <c r="AL452" s="3" t="n">
        <v>0</v>
      </c>
      <c r="AM452" s="2" t="s">
        <v>58</v>
      </c>
      <c r="AN452" s="2" t="s">
        <v>258</v>
      </c>
      <c r="AO452" s="2" t="s">
        <v>60</v>
      </c>
      <c r="AP452" s="7" t="n">
        <v>0.22</v>
      </c>
    </row>
    <row r="453" customFormat="false" ht="15" hidden="false" customHeight="false" outlineLevel="0" collapsed="false">
      <c r="A453" s="2" t="s">
        <v>1875</v>
      </c>
      <c r="B453" s="2" t="s">
        <v>1876</v>
      </c>
      <c r="C453" s="2" t="s">
        <v>1877</v>
      </c>
      <c r="D453" s="2" t="s">
        <v>109</v>
      </c>
      <c r="E453" s="3" t="n">
        <v>20</v>
      </c>
      <c r="F453" s="2"/>
      <c r="G453" s="2"/>
      <c r="H453" s="2" t="s">
        <v>77</v>
      </c>
      <c r="I453" s="4" t="n">
        <v>29000</v>
      </c>
      <c r="J453" s="2" t="s">
        <v>145</v>
      </c>
      <c r="K453" s="3" t="n">
        <v>44</v>
      </c>
      <c r="L453" s="2" t="s">
        <v>302</v>
      </c>
      <c r="M453" s="2" t="s">
        <v>67</v>
      </c>
      <c r="N453" s="2" t="s">
        <v>52</v>
      </c>
      <c r="O453" s="3" t="n">
        <v>3</v>
      </c>
      <c r="P453" s="2" t="s">
        <v>189</v>
      </c>
      <c r="Q453" s="2" t="s">
        <v>190</v>
      </c>
      <c r="R453" s="2" t="s">
        <v>188</v>
      </c>
      <c r="S453" s="2" t="s">
        <v>51</v>
      </c>
      <c r="T453" s="2" t="s">
        <v>1878</v>
      </c>
      <c r="U453" s="2" t="s">
        <v>85</v>
      </c>
      <c r="V453" s="4" t="n">
        <v>198000</v>
      </c>
      <c r="W453" s="5" t="n">
        <v>7.24</v>
      </c>
      <c r="X453" s="3" t="n">
        <v>24</v>
      </c>
      <c r="Y453" s="6" t="n">
        <v>46198</v>
      </c>
      <c r="Z453" s="6" t="n">
        <v>46200</v>
      </c>
      <c r="AA453" s="6" t="n">
        <v>46205</v>
      </c>
      <c r="AB453" s="4" t="n">
        <f aca="false">ROUND(PMT(W453/1200,X453,-V453),2)</f>
        <v>8886.53</v>
      </c>
      <c r="AC453" s="4" t="n">
        <v>0</v>
      </c>
      <c r="AD453" s="3" t="n">
        <v>0</v>
      </c>
      <c r="AE453" s="4" t="n">
        <v>81900</v>
      </c>
      <c r="AF453" s="4" t="n">
        <v>25700</v>
      </c>
      <c r="AG453" s="3" t="n">
        <v>40</v>
      </c>
      <c r="AH453" s="4" t="n">
        <v>29300</v>
      </c>
      <c r="AI453" s="3" t="n">
        <v>884</v>
      </c>
      <c r="AJ453" s="7" t="n">
        <f aca="false">ROUND(AB453/I453,4)</f>
        <v>0.3064</v>
      </c>
      <c r="AK453" s="2" t="str">
        <f aca="false">IF(AND(AI453&gt;=750,AJ453&lt;=0.35),"Low",IF(AND(AI453&gt;=600,AJ453&lt;=0.5),"Medium","High"))</f>
        <v>Low</v>
      </c>
      <c r="AL453" s="3" t="n">
        <v>0</v>
      </c>
      <c r="AM453" s="2" t="s">
        <v>58</v>
      </c>
      <c r="AN453" s="2" t="s">
        <v>59</v>
      </c>
      <c r="AO453" s="2" t="s">
        <v>60</v>
      </c>
      <c r="AP453" s="7" t="n">
        <v>0.03</v>
      </c>
    </row>
    <row r="454" customFormat="false" ht="15" hidden="false" customHeight="false" outlineLevel="0" collapsed="false">
      <c r="A454" s="2" t="s">
        <v>1879</v>
      </c>
      <c r="B454" s="2" t="s">
        <v>1880</v>
      </c>
      <c r="C454" s="2" t="s">
        <v>1881</v>
      </c>
      <c r="D454" s="2" t="s">
        <v>109</v>
      </c>
      <c r="E454" s="3" t="n">
        <v>38</v>
      </c>
      <c r="F454" s="2" t="s">
        <v>46</v>
      </c>
      <c r="G454" s="2" t="s">
        <v>110</v>
      </c>
      <c r="H454" s="2" t="s">
        <v>77</v>
      </c>
      <c r="I454" s="4" t="n">
        <v>23000</v>
      </c>
      <c r="J454" s="2" t="s">
        <v>112</v>
      </c>
      <c r="K454" s="3" t="n">
        <v>12</v>
      </c>
      <c r="L454" s="2" t="s">
        <v>114</v>
      </c>
      <c r="M454" s="2" t="s">
        <v>114</v>
      </c>
      <c r="N454" s="2" t="s">
        <v>140</v>
      </c>
      <c r="O454" s="3" t="n">
        <v>1</v>
      </c>
      <c r="P454" s="2" t="s">
        <v>115</v>
      </c>
      <c r="Q454" s="2" t="s">
        <v>116</v>
      </c>
      <c r="R454" s="2" t="s">
        <v>114</v>
      </c>
      <c r="S454" s="2" t="s">
        <v>114</v>
      </c>
      <c r="T454" s="2" t="s">
        <v>1882</v>
      </c>
      <c r="U454" s="2" t="s">
        <v>118</v>
      </c>
      <c r="V454" s="4" t="n">
        <v>290000</v>
      </c>
      <c r="W454" s="5" t="n">
        <v>8.34</v>
      </c>
      <c r="X454" s="3" t="n">
        <v>72</v>
      </c>
      <c r="Y454" s="6" t="n">
        <v>46202</v>
      </c>
      <c r="Z454" s="6" t="n">
        <v>46206</v>
      </c>
      <c r="AA454" s="6" t="n">
        <v>46212</v>
      </c>
      <c r="AB454" s="4" t="n">
        <f aca="false">ROUND(PMT(W454/1200,X454,-V454),2)</f>
        <v>5132.92</v>
      </c>
      <c r="AC454" s="4" t="n">
        <v>0</v>
      </c>
      <c r="AD454" s="3" t="n">
        <v>0</v>
      </c>
      <c r="AE454" s="4" t="n">
        <v>28800</v>
      </c>
      <c r="AF454" s="4" t="n">
        <v>8000</v>
      </c>
      <c r="AG454" s="3" t="n">
        <v>49</v>
      </c>
      <c r="AH454" s="4" t="n">
        <v>12100</v>
      </c>
      <c r="AI454" s="3" t="n">
        <v>831</v>
      </c>
      <c r="AJ454" s="7" t="n">
        <f aca="false">ROUND(AB454/I454,4)</f>
        <v>0.2232</v>
      </c>
      <c r="AK454" s="2" t="str">
        <f aca="false">IF(AND(AI454&gt;=750,AJ454&lt;=0.35),"Low",IF(AND(AI454&gt;=600,AJ454&lt;=0.5),"Medium","High"))</f>
        <v>Low</v>
      </c>
      <c r="AL454" s="3" t="n">
        <v>0</v>
      </c>
      <c r="AM454" s="2" t="s">
        <v>58</v>
      </c>
      <c r="AN454" s="2" t="s">
        <v>59</v>
      </c>
      <c r="AO454" s="2" t="s">
        <v>60</v>
      </c>
      <c r="AP454" s="7" t="n">
        <v>0.077</v>
      </c>
    </row>
    <row r="455" customFormat="false" ht="15" hidden="false" customHeight="false" outlineLevel="0" collapsed="false">
      <c r="A455" s="2" t="s">
        <v>1883</v>
      </c>
      <c r="B455" s="2" t="s">
        <v>437</v>
      </c>
      <c r="C455" s="2" t="s">
        <v>1884</v>
      </c>
      <c r="D455" s="2" t="s">
        <v>45</v>
      </c>
      <c r="E455" s="3" t="n">
        <v>44</v>
      </c>
      <c r="F455" s="2" t="s">
        <v>434</v>
      </c>
      <c r="G455" s="2" t="s">
        <v>65</v>
      </c>
      <c r="H455" s="2" t="s">
        <v>48</v>
      </c>
      <c r="I455" s="4" t="n">
        <v>38500</v>
      </c>
      <c r="J455" s="2" t="s">
        <v>49</v>
      </c>
      <c r="K455" s="3" t="n">
        <v>26</v>
      </c>
      <c r="L455" s="2" t="s">
        <v>188</v>
      </c>
      <c r="M455" s="2" t="s">
        <v>51</v>
      </c>
      <c r="N455" s="2" t="s">
        <v>52</v>
      </c>
      <c r="O455" s="3" t="n">
        <v>0</v>
      </c>
      <c r="P455" s="2" t="s">
        <v>131</v>
      </c>
      <c r="Q455" s="2" t="s">
        <v>132</v>
      </c>
      <c r="R455" s="2" t="s">
        <v>51</v>
      </c>
      <c r="S455" s="2" t="s">
        <v>51</v>
      </c>
      <c r="T455" s="2" t="s">
        <v>1885</v>
      </c>
      <c r="U455" s="2" t="s">
        <v>180</v>
      </c>
      <c r="V455" s="4" t="n">
        <v>489000</v>
      </c>
      <c r="W455" s="5" t="n">
        <v>9.74</v>
      </c>
      <c r="X455" s="3" t="n">
        <v>48</v>
      </c>
      <c r="Y455" s="6" t="n">
        <v>46177</v>
      </c>
      <c r="Z455" s="6"/>
      <c r="AA455" s="6"/>
      <c r="AB455" s="4" t="n">
        <f aca="false">ROUND(PMT(W455/1200,X455,-V455),2)</f>
        <v>12341.33</v>
      </c>
      <c r="AC455" s="4" t="n">
        <v>636000</v>
      </c>
      <c r="AD455" s="3" t="n">
        <v>0</v>
      </c>
      <c r="AE455" s="4" t="n">
        <v>26500</v>
      </c>
      <c r="AF455" s="4" t="n">
        <v>9500</v>
      </c>
      <c r="AG455" s="3" t="n">
        <v>2</v>
      </c>
      <c r="AH455" s="4" t="n">
        <v>27100</v>
      </c>
      <c r="AI455" s="3" t="n">
        <v>748</v>
      </c>
      <c r="AJ455" s="7" t="n">
        <f aca="false">ROUND(AB455/I455,4)</f>
        <v>0.3206</v>
      </c>
      <c r="AK455" s="2" t="str">
        <f aca="false">IF(AND(AI455&gt;=750,AJ455&lt;=0.35),"Low",IF(AND(AI455&gt;=600,AJ455&lt;=0.5),"Medium","High"))</f>
        <v>Medium</v>
      </c>
      <c r="AL455" s="3" t="n">
        <v>1</v>
      </c>
      <c r="AM455" s="2" t="s">
        <v>58</v>
      </c>
      <c r="AN455" s="2"/>
      <c r="AO455" s="2" t="s">
        <v>134</v>
      </c>
      <c r="AP455" s="7" t="n">
        <v>0.13</v>
      </c>
    </row>
    <row r="456" customFormat="false" ht="15" hidden="false" customHeight="false" outlineLevel="0" collapsed="false">
      <c r="A456" s="2" t="s">
        <v>1886</v>
      </c>
      <c r="B456" s="2" t="s">
        <v>585</v>
      </c>
      <c r="C456" s="2" t="s">
        <v>1887</v>
      </c>
      <c r="D456" s="2" t="s">
        <v>45</v>
      </c>
      <c r="E456" s="3" t="n">
        <v>24</v>
      </c>
      <c r="F456" s="2" t="s">
        <v>64</v>
      </c>
      <c r="G456" s="2" t="s">
        <v>176</v>
      </c>
      <c r="H456" s="2" t="s">
        <v>48</v>
      </c>
      <c r="I456" s="4" t="n">
        <v>80000</v>
      </c>
      <c r="J456" s="2" t="s">
        <v>177</v>
      </c>
      <c r="K456" s="3" t="n">
        <v>1</v>
      </c>
      <c r="L456" s="2" t="s">
        <v>67</v>
      </c>
      <c r="M456" s="2" t="s">
        <v>67</v>
      </c>
      <c r="N456" s="2" t="s">
        <v>81</v>
      </c>
      <c r="O456" s="3" t="n">
        <v>1</v>
      </c>
      <c r="P456" s="2" t="s">
        <v>103</v>
      </c>
      <c r="Q456" s="2" t="s">
        <v>104</v>
      </c>
      <c r="R456" s="2" t="s">
        <v>67</v>
      </c>
      <c r="S456" s="2" t="s">
        <v>67</v>
      </c>
      <c r="T456" s="2" t="s">
        <v>1888</v>
      </c>
      <c r="U456" s="2" t="s">
        <v>85</v>
      </c>
      <c r="V456" s="4" t="n">
        <v>488000</v>
      </c>
      <c r="W456" s="5" t="n">
        <v>9.79</v>
      </c>
      <c r="X456" s="3" t="n">
        <v>24</v>
      </c>
      <c r="Y456" s="6" t="n">
        <v>46176</v>
      </c>
      <c r="Z456" s="6"/>
      <c r="AA456" s="6"/>
      <c r="AB456" s="4" t="n">
        <f aca="false">ROUND(PMT(W456/1200,X456,-V456),2)</f>
        <v>22471.45</v>
      </c>
      <c r="AC456" s="4" t="n">
        <v>0</v>
      </c>
      <c r="AD456" s="3"/>
      <c r="AE456" s="4" t="n">
        <v>75600</v>
      </c>
      <c r="AF456" s="4" t="n">
        <v>22600</v>
      </c>
      <c r="AG456" s="3" t="n">
        <v>36</v>
      </c>
      <c r="AH456" s="4" t="n">
        <v>34900</v>
      </c>
      <c r="AI456" s="3" t="n">
        <v>591</v>
      </c>
      <c r="AJ456" s="7" t="n">
        <f aca="false">ROUND(AB456/I456,4)</f>
        <v>0.2809</v>
      </c>
      <c r="AK456" s="2" t="str">
        <f aca="false">IF(AND(AI456&gt;=750,AJ456&lt;=0.35),"Low",IF(AND(AI456&gt;=600,AJ456&lt;=0.5),"Medium","High"))</f>
        <v>High</v>
      </c>
      <c r="AL456" s="3" t="n">
        <v>1</v>
      </c>
      <c r="AM456" s="2" t="s">
        <v>58</v>
      </c>
      <c r="AN456" s="2"/>
      <c r="AO456" s="2" t="s">
        <v>127</v>
      </c>
      <c r="AP456" s="7" t="n">
        <v>0.36</v>
      </c>
    </row>
    <row r="457" customFormat="false" ht="15" hidden="false" customHeight="false" outlineLevel="0" collapsed="false">
      <c r="A457" s="2" t="s">
        <v>1889</v>
      </c>
      <c r="B457" s="2" t="s">
        <v>713</v>
      </c>
      <c r="C457" s="2" t="s">
        <v>174</v>
      </c>
      <c r="D457" s="2" t="s">
        <v>45</v>
      </c>
      <c r="E457" s="3" t="n">
        <v>28</v>
      </c>
      <c r="F457" s="2" t="s">
        <v>46</v>
      </c>
      <c r="G457" s="2" t="s">
        <v>90</v>
      </c>
      <c r="H457" s="2" t="s">
        <v>77</v>
      </c>
      <c r="I457" s="4" t="n">
        <v>16500</v>
      </c>
      <c r="J457" s="2" t="s">
        <v>90</v>
      </c>
      <c r="K457" s="3" t="n">
        <v>7</v>
      </c>
      <c r="L457" s="2" t="s">
        <v>139</v>
      </c>
      <c r="M457" s="2" t="s">
        <v>139</v>
      </c>
      <c r="N457" s="2" t="s">
        <v>52</v>
      </c>
      <c r="O457" s="3" t="n">
        <v>0</v>
      </c>
      <c r="P457" s="2" t="s">
        <v>197</v>
      </c>
      <c r="Q457" s="2" t="s">
        <v>198</v>
      </c>
      <c r="R457" s="2" t="s">
        <v>139</v>
      </c>
      <c r="S457" s="2" t="s">
        <v>139</v>
      </c>
      <c r="T457" s="2" t="s">
        <v>1890</v>
      </c>
      <c r="U457" s="2" t="s">
        <v>192</v>
      </c>
      <c r="V457" s="4" t="n">
        <v>228000</v>
      </c>
      <c r="W457" s="5" t="n">
        <v>14.09</v>
      </c>
      <c r="X457" s="3" t="n">
        <v>36</v>
      </c>
      <c r="Y457" s="6" t="n">
        <v>46179</v>
      </c>
      <c r="Z457" s="6" t="n">
        <v>46186</v>
      </c>
      <c r="AA457" s="6" t="n">
        <v>46189</v>
      </c>
      <c r="AB457" s="4" t="n">
        <f aca="false">ROUND(PMT(W457/1200,X457,-V457),2)</f>
        <v>7802.47</v>
      </c>
      <c r="AC457" s="4" t="n">
        <v>303000</v>
      </c>
      <c r="AD457" s="3"/>
      <c r="AE457" s="4" t="n">
        <v>36900</v>
      </c>
      <c r="AF457" s="4" t="n">
        <v>17200</v>
      </c>
      <c r="AG457" s="3" t="n">
        <v>63</v>
      </c>
      <c r="AH457" s="4" t="n">
        <v>6100</v>
      </c>
      <c r="AI457" s="3" t="n">
        <v>636</v>
      </c>
      <c r="AJ457" s="7" t="n">
        <f aca="false">ROUND(AB457/I457,4)</f>
        <v>0.4729</v>
      </c>
      <c r="AK457" s="2" t="str">
        <f aca="false">IF(AND(AI457&gt;=750,AJ457&lt;=0.35),"Low",IF(AND(AI457&gt;=600,AJ457&lt;=0.5),"Medium","High"))</f>
        <v>Medium</v>
      </c>
      <c r="AL457" s="3" t="n">
        <v>0</v>
      </c>
      <c r="AM457" s="2" t="s">
        <v>58</v>
      </c>
      <c r="AN457" s="2" t="s">
        <v>59</v>
      </c>
      <c r="AO457" s="2" t="s">
        <v>60</v>
      </c>
      <c r="AP457" s="7" t="n">
        <v>0.238</v>
      </c>
    </row>
    <row r="458" customFormat="false" ht="15" hidden="false" customHeight="false" outlineLevel="0" collapsed="false">
      <c r="A458" s="2" t="s">
        <v>1891</v>
      </c>
      <c r="B458" s="2" t="s">
        <v>1683</v>
      </c>
      <c r="C458" s="2" t="s">
        <v>1892</v>
      </c>
      <c r="D458" s="2" t="s">
        <v>45</v>
      </c>
      <c r="E458" s="3" t="n">
        <v>45</v>
      </c>
      <c r="F458" s="2" t="s">
        <v>64</v>
      </c>
      <c r="G458" s="2"/>
      <c r="H458" s="2" t="s">
        <v>101</v>
      </c>
      <c r="I458" s="4" t="n">
        <v>64000</v>
      </c>
      <c r="J458" s="2" t="s">
        <v>49</v>
      </c>
      <c r="K458" s="3" t="n">
        <v>26</v>
      </c>
      <c r="L458" s="2" t="s">
        <v>569</v>
      </c>
      <c r="M458" s="2" t="s">
        <v>67</v>
      </c>
      <c r="N458" s="2" t="s">
        <v>81</v>
      </c>
      <c r="O458" s="3" t="n">
        <v>0</v>
      </c>
      <c r="P458" s="2" t="s">
        <v>103</v>
      </c>
      <c r="Q458" s="2" t="s">
        <v>104</v>
      </c>
      <c r="R458" s="2" t="s">
        <v>67</v>
      </c>
      <c r="S458" s="2" t="s">
        <v>67</v>
      </c>
      <c r="T458" s="2" t="s">
        <v>1893</v>
      </c>
      <c r="U458" s="2" t="s">
        <v>57</v>
      </c>
      <c r="V458" s="4" t="n">
        <v>2105000</v>
      </c>
      <c r="W458" s="5" t="n">
        <v>10.01</v>
      </c>
      <c r="X458" s="3" t="n">
        <v>90</v>
      </c>
      <c r="Y458" s="6" t="n">
        <v>46177</v>
      </c>
      <c r="Z458" s="6" t="n">
        <v>46187</v>
      </c>
      <c r="AA458" s="6" t="n">
        <v>46193</v>
      </c>
      <c r="AB458" s="4" t="n">
        <f aca="false">ROUND(PMT(W458/1200,X458,-V458),2)</f>
        <v>33349.84</v>
      </c>
      <c r="AC458" s="4" t="n">
        <v>2607000</v>
      </c>
      <c r="AD458" s="3" t="n">
        <v>0</v>
      </c>
      <c r="AE458" s="4" t="n">
        <v>139700</v>
      </c>
      <c r="AF458" s="4" t="n">
        <v>83300</v>
      </c>
      <c r="AG458" s="3" t="n">
        <v>39</v>
      </c>
      <c r="AH458" s="4" t="n">
        <v>54400</v>
      </c>
      <c r="AI458" s="3" t="n">
        <v>705</v>
      </c>
      <c r="AJ458" s="7" t="n">
        <f aca="false">ROUND(AB458/I458,4)</f>
        <v>0.5211</v>
      </c>
      <c r="AK458" s="2" t="str">
        <f aca="false">IF(AND(AI458&gt;=750,AJ458&lt;=0.35),"Low",IF(AND(AI458&gt;=600,AJ458&lt;=0.5),"Medium","High"))</f>
        <v>High</v>
      </c>
      <c r="AL458" s="3" t="n">
        <v>1</v>
      </c>
      <c r="AM458" s="2" t="s">
        <v>58</v>
      </c>
      <c r="AN458" s="2" t="s">
        <v>59</v>
      </c>
      <c r="AO458" s="2" t="s">
        <v>60</v>
      </c>
      <c r="AP458" s="7" t="n">
        <v>0.202</v>
      </c>
    </row>
    <row r="459" customFormat="false" ht="15" hidden="false" customHeight="false" outlineLevel="0" collapsed="false">
      <c r="A459" s="2" t="s">
        <v>1894</v>
      </c>
      <c r="B459" s="2" t="s">
        <v>387</v>
      </c>
      <c r="C459" s="2" t="s">
        <v>314</v>
      </c>
      <c r="D459" s="2" t="s">
        <v>45</v>
      </c>
      <c r="E459" s="3" t="n">
        <v>34</v>
      </c>
      <c r="F459" s="2" t="s">
        <v>64</v>
      </c>
      <c r="G459" s="2" t="s">
        <v>65</v>
      </c>
      <c r="H459" s="2" t="s">
        <v>48</v>
      </c>
      <c r="I459" s="4" t="n">
        <v>58000</v>
      </c>
      <c r="J459" s="2" t="s">
        <v>49</v>
      </c>
      <c r="K459" s="3" t="n">
        <v>13</v>
      </c>
      <c r="L459" s="2" t="s">
        <v>188</v>
      </c>
      <c r="M459" s="2" t="s">
        <v>51</v>
      </c>
      <c r="N459" s="2" t="s">
        <v>52</v>
      </c>
      <c r="O459" s="3" t="n">
        <v>1</v>
      </c>
      <c r="P459" s="2" t="s">
        <v>131</v>
      </c>
      <c r="Q459" s="2" t="s">
        <v>132</v>
      </c>
      <c r="R459" s="2" t="s">
        <v>51</v>
      </c>
      <c r="S459" s="2" t="s">
        <v>51</v>
      </c>
      <c r="T459" s="2" t="s">
        <v>1895</v>
      </c>
      <c r="U459" s="2" t="s">
        <v>180</v>
      </c>
      <c r="V459" s="4" t="n">
        <v>417000</v>
      </c>
      <c r="W459" s="5" t="n">
        <v>12.34</v>
      </c>
      <c r="X459" s="3" t="n">
        <v>48</v>
      </c>
      <c r="Y459" s="6" t="n">
        <v>46195</v>
      </c>
      <c r="Z459" s="6" t="n">
        <v>46200</v>
      </c>
      <c r="AA459" s="6" t="n">
        <v>46201</v>
      </c>
      <c r="AB459" s="4" t="n">
        <f aca="false">ROUND(PMT(W459/1200,X459,-V459),2)</f>
        <v>11050.95</v>
      </c>
      <c r="AC459" s="4" t="n">
        <v>491000</v>
      </c>
      <c r="AD459" s="3" t="n">
        <v>0</v>
      </c>
      <c r="AE459" s="4" t="n">
        <v>46000</v>
      </c>
      <c r="AF459" s="4" t="n">
        <v>27400</v>
      </c>
      <c r="AG459" s="3" t="n">
        <v>40</v>
      </c>
      <c r="AH459" s="4" t="n">
        <v>23300</v>
      </c>
      <c r="AI459" s="3" t="n">
        <v>698</v>
      </c>
      <c r="AJ459" s="7" t="n">
        <f aca="false">ROUND(AB459/I459,4)</f>
        <v>0.1905</v>
      </c>
      <c r="AK459" s="2" t="str">
        <f aca="false">IF(AND(AI459&gt;=750,AJ459&lt;=0.35),"Low",IF(AND(AI459&gt;=600,AJ459&lt;=0.5),"Medium","High"))</f>
        <v>Medium</v>
      </c>
      <c r="AL459" s="3" t="n">
        <v>2</v>
      </c>
      <c r="AM459" s="2" t="s">
        <v>58</v>
      </c>
      <c r="AN459" s="2" t="s">
        <v>258</v>
      </c>
      <c r="AO459" s="2" t="s">
        <v>60</v>
      </c>
      <c r="AP459" s="7" t="n">
        <v>0.18</v>
      </c>
    </row>
    <row r="460" customFormat="false" ht="15" hidden="false" customHeight="false" outlineLevel="0" collapsed="false">
      <c r="A460" s="2" t="s">
        <v>1896</v>
      </c>
      <c r="B460" s="2" t="s">
        <v>1462</v>
      </c>
      <c r="C460" s="2" t="s">
        <v>1106</v>
      </c>
      <c r="D460" s="2" t="s">
        <v>45</v>
      </c>
      <c r="E460" s="3" t="n">
        <v>49</v>
      </c>
      <c r="F460" s="2" t="s">
        <v>434</v>
      </c>
      <c r="G460" s="2" t="s">
        <v>145</v>
      </c>
      <c r="H460" s="2" t="s">
        <v>123</v>
      </c>
      <c r="I460" s="4" t="n">
        <v>25500</v>
      </c>
      <c r="J460" s="2" t="s">
        <v>145</v>
      </c>
      <c r="K460" s="3" t="n">
        <v>30</v>
      </c>
      <c r="L460" s="2" t="s">
        <v>653</v>
      </c>
      <c r="M460" s="2" t="s">
        <v>159</v>
      </c>
      <c r="N460" s="2" t="s">
        <v>52</v>
      </c>
      <c r="O460" s="3" t="n">
        <v>0</v>
      </c>
      <c r="P460" s="2" t="s">
        <v>160</v>
      </c>
      <c r="Q460" s="2" t="s">
        <v>161</v>
      </c>
      <c r="R460" s="2" t="s">
        <v>159</v>
      </c>
      <c r="S460" s="2" t="s">
        <v>159</v>
      </c>
      <c r="T460" s="2" t="s">
        <v>1897</v>
      </c>
      <c r="U460" s="2" t="s">
        <v>180</v>
      </c>
      <c r="V460" s="4" t="n">
        <v>300000</v>
      </c>
      <c r="W460" s="5" t="n">
        <v>13.43</v>
      </c>
      <c r="X460" s="3" t="n">
        <v>12</v>
      </c>
      <c r="Y460" s="6" t="n">
        <v>46200</v>
      </c>
      <c r="Z460" s="6" t="n">
        <v>46203</v>
      </c>
      <c r="AA460" s="6" t="n">
        <v>46208</v>
      </c>
      <c r="AB460" s="4" t="n">
        <f aca="false">ROUND(PMT(W460/1200,X460,-V460),2)</f>
        <v>26855.74</v>
      </c>
      <c r="AC460" s="4" t="n">
        <v>375000</v>
      </c>
      <c r="AD460" s="3" t="n">
        <v>0</v>
      </c>
      <c r="AE460" s="4" t="n">
        <v>17100</v>
      </c>
      <c r="AF460" s="4" t="n">
        <v>6600</v>
      </c>
      <c r="AG460" s="3" t="n">
        <v>30</v>
      </c>
      <c r="AH460" s="4" t="n">
        <v>25100</v>
      </c>
      <c r="AI460" s="3" t="n">
        <v>638</v>
      </c>
      <c r="AJ460" s="7" t="n">
        <f aca="false">ROUND(AB460/I460,4)</f>
        <v>1.0532</v>
      </c>
      <c r="AK460" s="2" t="str">
        <f aca="false">IF(AND(AI460&gt;=750,AJ460&lt;=0.35),"Low",IF(AND(AI460&gt;=600,AJ460&lt;=0.5),"Medium","High"))</f>
        <v>High</v>
      </c>
      <c r="AL460" s="3" t="n">
        <v>2</v>
      </c>
      <c r="AM460" s="2" t="s">
        <v>58</v>
      </c>
      <c r="AN460" s="2" t="s">
        <v>119</v>
      </c>
      <c r="AO460" s="2" t="s">
        <v>60</v>
      </c>
      <c r="AP460" s="7" t="n">
        <v>0.34</v>
      </c>
    </row>
    <row r="461" customFormat="false" ht="15" hidden="false" customHeight="false" outlineLevel="0" collapsed="false">
      <c r="A461" s="2" t="s">
        <v>1898</v>
      </c>
      <c r="B461" s="2" t="s">
        <v>1899</v>
      </c>
      <c r="C461" s="2" t="s">
        <v>918</v>
      </c>
      <c r="D461" s="2" t="s">
        <v>45</v>
      </c>
      <c r="E461" s="3" t="n">
        <v>43</v>
      </c>
      <c r="F461" s="2" t="s">
        <v>64</v>
      </c>
      <c r="G461" s="2" t="s">
        <v>90</v>
      </c>
      <c r="H461" s="2" t="s">
        <v>101</v>
      </c>
      <c r="I461" s="4" t="n">
        <v>35500</v>
      </c>
      <c r="J461" s="2" t="s">
        <v>90</v>
      </c>
      <c r="K461" s="3" t="n">
        <v>18</v>
      </c>
      <c r="L461" s="2" t="s">
        <v>211</v>
      </c>
      <c r="M461" s="2" t="s">
        <v>147</v>
      </c>
      <c r="N461" s="2" t="s">
        <v>102</v>
      </c>
      <c r="O461" s="3" t="n">
        <v>0</v>
      </c>
      <c r="P461" s="2" t="s">
        <v>209</v>
      </c>
      <c r="Q461" s="2" t="s">
        <v>210</v>
      </c>
      <c r="R461" s="2" t="s">
        <v>211</v>
      </c>
      <c r="S461" s="2" t="s">
        <v>147</v>
      </c>
      <c r="T461" s="2" t="s">
        <v>1900</v>
      </c>
      <c r="U461" s="2" t="s">
        <v>192</v>
      </c>
      <c r="V461" s="4" t="n">
        <v>435000</v>
      </c>
      <c r="W461" s="5" t="n">
        <v>13.35</v>
      </c>
      <c r="X461" s="3" t="n">
        <v>48</v>
      </c>
      <c r="Y461" s="6" t="n">
        <v>46178</v>
      </c>
      <c r="Z461" s="6" t="n">
        <v>46180</v>
      </c>
      <c r="AA461" s="6" t="n">
        <v>46186</v>
      </c>
      <c r="AB461" s="4" t="n">
        <f aca="false">ROUND(PMT(W461/1200,X461,-V461),2)</f>
        <v>11745.67</v>
      </c>
      <c r="AC461" s="4" t="n">
        <v>462000</v>
      </c>
      <c r="AD461" s="3" t="n">
        <v>2</v>
      </c>
      <c r="AE461" s="4" t="n">
        <v>80600</v>
      </c>
      <c r="AF461" s="4" t="n">
        <v>41000</v>
      </c>
      <c r="AG461" s="3" t="n">
        <v>44</v>
      </c>
      <c r="AH461" s="4" t="n">
        <v>35100</v>
      </c>
      <c r="AI461" s="3" t="n">
        <v>665</v>
      </c>
      <c r="AJ461" s="7" t="n">
        <f aca="false">ROUND(AB461/I461,4)</f>
        <v>0.3309</v>
      </c>
      <c r="AK461" s="2" t="str">
        <f aca="false">IF(AND(AI461&gt;=750,AJ461&lt;=0.35),"Low",IF(AND(AI461&gt;=600,AJ461&lt;=0.5),"Medium","High"))</f>
        <v>Medium</v>
      </c>
      <c r="AL461" s="3" t="n">
        <v>2</v>
      </c>
      <c r="AM461" s="2" t="s">
        <v>58</v>
      </c>
      <c r="AN461" s="2" t="s">
        <v>119</v>
      </c>
      <c r="AO461" s="2" t="s">
        <v>60</v>
      </c>
      <c r="AP461" s="7" t="n">
        <v>0.36</v>
      </c>
    </row>
    <row r="462" customFormat="false" ht="15" hidden="false" customHeight="false" outlineLevel="0" collapsed="false">
      <c r="A462" s="2" t="s">
        <v>1901</v>
      </c>
      <c r="B462" s="2" t="s">
        <v>1902</v>
      </c>
      <c r="C462" s="2" t="s">
        <v>898</v>
      </c>
      <c r="D462" s="2" t="s">
        <v>45</v>
      </c>
      <c r="E462" s="3" t="n">
        <v>30</v>
      </c>
      <c r="F462" s="2" t="s">
        <v>46</v>
      </c>
      <c r="G462" s="2" t="s">
        <v>145</v>
      </c>
      <c r="H462" s="2" t="s">
        <v>48</v>
      </c>
      <c r="I462" s="4" t="n">
        <v>1185113</v>
      </c>
      <c r="J462" s="2" t="s">
        <v>145</v>
      </c>
      <c r="K462" s="3" t="n">
        <v>6</v>
      </c>
      <c r="L462" s="2" t="s">
        <v>178</v>
      </c>
      <c r="M462" s="2" t="s">
        <v>92</v>
      </c>
      <c r="N462" s="2" t="s">
        <v>102</v>
      </c>
      <c r="O462" s="3" t="n">
        <v>0</v>
      </c>
      <c r="P462" s="2" t="s">
        <v>93</v>
      </c>
      <c r="Q462" s="2" t="s">
        <v>94</v>
      </c>
      <c r="R462" s="2" t="s">
        <v>95</v>
      </c>
      <c r="S462" s="2" t="s">
        <v>92</v>
      </c>
      <c r="T462" s="2" t="s">
        <v>1903</v>
      </c>
      <c r="U462" s="2" t="s">
        <v>180</v>
      </c>
      <c r="V462" s="4" t="n">
        <v>575000</v>
      </c>
      <c r="W462" s="5" t="n">
        <v>11.84</v>
      </c>
      <c r="X462" s="3" t="n">
        <v>36</v>
      </c>
      <c r="Y462" s="6" t="n">
        <v>46191</v>
      </c>
      <c r="Z462" s="6" t="n">
        <v>46200</v>
      </c>
      <c r="AA462" s="6" t="n">
        <v>46204</v>
      </c>
      <c r="AB462" s="4" t="n">
        <f aca="false">ROUND(PMT(W462/1200,X462,-V462),2)</f>
        <v>19054.32</v>
      </c>
      <c r="AC462" s="4" t="n">
        <v>585000</v>
      </c>
      <c r="AD462" s="3" t="n">
        <v>1</v>
      </c>
      <c r="AE462" s="4" t="n">
        <v>214200</v>
      </c>
      <c r="AF462" s="4" t="n">
        <v>99100</v>
      </c>
      <c r="AG462" s="3" t="n">
        <v>19</v>
      </c>
      <c r="AH462" s="4" t="n">
        <v>63100</v>
      </c>
      <c r="AI462" s="3" t="n">
        <v>700</v>
      </c>
      <c r="AJ462" s="7" t="n">
        <f aca="false">ROUND(AB462/I462,4)</f>
        <v>0.0161</v>
      </c>
      <c r="AK462" s="2" t="str">
        <f aca="false">IF(AND(AI462&gt;=750,AJ462&lt;=0.35),"Low",IF(AND(AI462&gt;=600,AJ462&lt;=0.5),"Medium","High"))</f>
        <v>Medium</v>
      </c>
      <c r="AL462" s="3" t="n">
        <v>1</v>
      </c>
      <c r="AM462" s="2" t="s">
        <v>58</v>
      </c>
      <c r="AN462" s="2" t="s">
        <v>59</v>
      </c>
      <c r="AO462" s="2" t="s">
        <v>60</v>
      </c>
      <c r="AP462" s="7" t="n">
        <v>0.277</v>
      </c>
    </row>
    <row r="463" customFormat="false" ht="15" hidden="false" customHeight="false" outlineLevel="0" collapsed="false">
      <c r="A463" s="2" t="s">
        <v>1904</v>
      </c>
      <c r="B463" s="2" t="s">
        <v>1230</v>
      </c>
      <c r="C463" s="2" t="s">
        <v>1905</v>
      </c>
      <c r="D463" s="2" t="s">
        <v>45</v>
      </c>
      <c r="E463" s="3" t="n">
        <v>31</v>
      </c>
      <c r="F463" s="2" t="s">
        <v>64</v>
      </c>
      <c r="G463" s="2" t="s">
        <v>90</v>
      </c>
      <c r="H463" s="2" t="s">
        <v>77</v>
      </c>
      <c r="I463" s="4" t="n">
        <v>20000</v>
      </c>
      <c r="J463" s="2" t="s">
        <v>90</v>
      </c>
      <c r="K463" s="3" t="n">
        <v>7</v>
      </c>
      <c r="L463" s="2" t="s">
        <v>348</v>
      </c>
      <c r="M463" s="2" t="s">
        <v>67</v>
      </c>
      <c r="N463" s="2" t="s">
        <v>81</v>
      </c>
      <c r="O463" s="3" t="n">
        <v>3</v>
      </c>
      <c r="P463" s="2" t="s">
        <v>68</v>
      </c>
      <c r="Q463" s="2" t="s">
        <v>69</v>
      </c>
      <c r="R463" s="2" t="s">
        <v>70</v>
      </c>
      <c r="S463" s="2" t="s">
        <v>67</v>
      </c>
      <c r="T463" s="2" t="s">
        <v>1906</v>
      </c>
      <c r="U463" s="2" t="s">
        <v>57</v>
      </c>
      <c r="V463" s="4" t="n">
        <v>800000</v>
      </c>
      <c r="W463" s="5" t="n">
        <v>11.42</v>
      </c>
      <c r="X463" s="3" t="n">
        <v>144</v>
      </c>
      <c r="Y463" s="6" t="n">
        <v>46202</v>
      </c>
      <c r="Z463" s="6" t="n">
        <v>46210</v>
      </c>
      <c r="AA463" s="6" t="n">
        <v>46211</v>
      </c>
      <c r="AB463" s="4" t="n">
        <f aca="false">ROUND(PMT(W463/1200,X463,-V463),2)</f>
        <v>10228.25</v>
      </c>
      <c r="AC463" s="4" t="n">
        <v>1165000</v>
      </c>
      <c r="AD463" s="3" t="n">
        <v>0</v>
      </c>
      <c r="AE463" s="4" t="n">
        <v>52500</v>
      </c>
      <c r="AF463" s="4" t="n">
        <v>21700</v>
      </c>
      <c r="AG463" s="3" t="n">
        <v>38</v>
      </c>
      <c r="AH463" s="4" t="n">
        <v>16200</v>
      </c>
      <c r="AI463" s="3" t="n">
        <v>666</v>
      </c>
      <c r="AJ463" s="7" t="n">
        <f aca="false">ROUND(AB463/I463,4)</f>
        <v>0.5114</v>
      </c>
      <c r="AK463" s="2" t="str">
        <f aca="false">IF(AND(AI463&gt;=750,AJ463&lt;=0.35),"Low",IF(AND(AI463&gt;=600,AJ463&lt;=0.5),"Medium","High"))</f>
        <v>High</v>
      </c>
      <c r="AL463" s="3" t="n">
        <v>1</v>
      </c>
      <c r="AM463" s="2" t="s">
        <v>58</v>
      </c>
      <c r="AN463" s="2" t="s">
        <v>119</v>
      </c>
      <c r="AO463" s="2" t="s">
        <v>60</v>
      </c>
      <c r="AP463" s="7" t="n">
        <v>0.297</v>
      </c>
    </row>
    <row r="464" customFormat="false" ht="15" hidden="false" customHeight="false" outlineLevel="0" collapsed="false">
      <c r="A464" s="2" t="s">
        <v>1907</v>
      </c>
      <c r="B464" s="2" t="s">
        <v>736</v>
      </c>
      <c r="C464" s="2" t="s">
        <v>1908</v>
      </c>
      <c r="D464" s="2" t="s">
        <v>45</v>
      </c>
      <c r="E464" s="3" t="n">
        <v>47</v>
      </c>
      <c r="F464" s="2" t="s">
        <v>64</v>
      </c>
      <c r="G464" s="2" t="s">
        <v>65</v>
      </c>
      <c r="H464" s="2" t="s">
        <v>48</v>
      </c>
      <c r="I464" s="4" t="n">
        <v>85000</v>
      </c>
      <c r="J464" s="2" t="s">
        <v>49</v>
      </c>
      <c r="K464" s="3" t="n">
        <v>21</v>
      </c>
      <c r="L464" s="2" t="s">
        <v>231</v>
      </c>
      <c r="M464" s="2" t="s">
        <v>92</v>
      </c>
      <c r="N464" s="2" t="s">
        <v>140</v>
      </c>
      <c r="O464" s="3" t="n">
        <v>4</v>
      </c>
      <c r="P464" s="2" t="s">
        <v>229</v>
      </c>
      <c r="Q464" s="2" t="s">
        <v>230</v>
      </c>
      <c r="R464" s="2" t="s">
        <v>231</v>
      </c>
      <c r="S464" s="2" t="s">
        <v>92</v>
      </c>
      <c r="T464" s="2" t="s">
        <v>1909</v>
      </c>
      <c r="U464" s="2" t="s">
        <v>97</v>
      </c>
      <c r="V464" s="4" t="n">
        <v>76000</v>
      </c>
      <c r="W464" s="5" t="n">
        <v>13.64</v>
      </c>
      <c r="X464" s="3" t="n">
        <v>12</v>
      </c>
      <c r="Y464" s="6" t="n">
        <v>46190</v>
      </c>
      <c r="Z464" s="6" t="n">
        <v>46193</v>
      </c>
      <c r="AA464" s="6" t="n">
        <v>46195</v>
      </c>
      <c r="AB464" s="4" t="n">
        <f aca="false">ROUND(PMT(W464/1200,X464,-V464),2)</f>
        <v>6810.95</v>
      </c>
      <c r="AC464" s="4" t="n">
        <v>0</v>
      </c>
      <c r="AD464" s="3" t="n">
        <v>0</v>
      </c>
      <c r="AE464" s="4" t="n">
        <v>89400</v>
      </c>
      <c r="AF464" s="4" t="n">
        <v>35500</v>
      </c>
      <c r="AG464" s="3" t="n">
        <v>33</v>
      </c>
      <c r="AH464" s="4" t="n">
        <v>65900</v>
      </c>
      <c r="AI464" s="3" t="n">
        <v>900</v>
      </c>
      <c r="AJ464" s="7" t="n">
        <f aca="false">ROUND(AB464/I464,4)</f>
        <v>0.0801</v>
      </c>
      <c r="AK464" s="2" t="str">
        <f aca="false">IF(AND(AI464&gt;=750,AJ464&lt;=0.35),"Low",IF(AND(AI464&gt;=600,AJ464&lt;=0.5),"Medium","High"))</f>
        <v>Low</v>
      </c>
      <c r="AL464" s="3" t="n">
        <v>2</v>
      </c>
      <c r="AM464" s="2" t="s">
        <v>233</v>
      </c>
      <c r="AN464" s="2" t="s">
        <v>59</v>
      </c>
      <c r="AO464" s="2" t="s">
        <v>86</v>
      </c>
      <c r="AP464" s="7" t="n">
        <v>0.214</v>
      </c>
    </row>
    <row r="465" customFormat="false" ht="15" hidden="false" customHeight="false" outlineLevel="0" collapsed="false">
      <c r="A465" s="2" t="s">
        <v>1910</v>
      </c>
      <c r="B465" s="2" t="s">
        <v>1911</v>
      </c>
      <c r="C465" s="2" t="s">
        <v>1902</v>
      </c>
      <c r="D465" s="2" t="s">
        <v>109</v>
      </c>
      <c r="E465" s="3" t="n">
        <v>37</v>
      </c>
      <c r="F465" s="2" t="s">
        <v>64</v>
      </c>
      <c r="G465" s="2" t="s">
        <v>65</v>
      </c>
      <c r="H465" s="2" t="s">
        <v>101</v>
      </c>
      <c r="I465" s="4" t="n">
        <v>53500</v>
      </c>
      <c r="J465" s="2" t="s">
        <v>49</v>
      </c>
      <c r="K465" s="3" t="n">
        <v>12</v>
      </c>
      <c r="L465" s="2" t="s">
        <v>726</v>
      </c>
      <c r="M465" s="2" t="s">
        <v>147</v>
      </c>
      <c r="N465" s="2" t="s">
        <v>140</v>
      </c>
      <c r="O465" s="3" t="n">
        <v>1</v>
      </c>
      <c r="P465" s="2" t="s">
        <v>209</v>
      </c>
      <c r="Q465" s="2" t="s">
        <v>210</v>
      </c>
      <c r="R465" s="2" t="s">
        <v>211</v>
      </c>
      <c r="S465" s="2" t="s">
        <v>147</v>
      </c>
      <c r="T465" s="2" t="s">
        <v>1912</v>
      </c>
      <c r="U465" s="2" t="s">
        <v>72</v>
      </c>
      <c r="V465" s="4" t="n">
        <v>650000</v>
      </c>
      <c r="W465" s="5" t="n">
        <v>13.91</v>
      </c>
      <c r="X465" s="3" t="n">
        <v>42</v>
      </c>
      <c r="Y465" s="6" t="n">
        <v>46181</v>
      </c>
      <c r="Z465" s="6" t="n">
        <v>46183</v>
      </c>
      <c r="AA465" s="6" t="n">
        <v>46186</v>
      </c>
      <c r="AB465" s="4" t="n">
        <f aca="false">ROUND(PMT(W465/1200,X465,-V465),2)</f>
        <v>19635.75</v>
      </c>
      <c r="AC465" s="4" t="n">
        <v>931000</v>
      </c>
      <c r="AD465" s="3" t="n">
        <v>1</v>
      </c>
      <c r="AE465" s="4" t="n">
        <v>188500</v>
      </c>
      <c r="AF465" s="4" t="n">
        <v>92500</v>
      </c>
      <c r="AG465" s="3" t="n">
        <v>34</v>
      </c>
      <c r="AH465" s="4" t="n">
        <v>55900</v>
      </c>
      <c r="AI465" s="3" t="n">
        <v>659</v>
      </c>
      <c r="AJ465" s="7" t="n">
        <f aca="false">ROUND(AB465/I465,4)</f>
        <v>0.367</v>
      </c>
      <c r="AK465" s="2" t="str">
        <f aca="false">IF(AND(AI465&gt;=750,AJ465&lt;=0.35),"Low",IF(AND(AI465&gt;=600,AJ465&lt;=0.5),"Medium","High"))</f>
        <v>Medium</v>
      </c>
      <c r="AL465" s="3" t="n">
        <v>2</v>
      </c>
      <c r="AM465" s="2" t="s">
        <v>58</v>
      </c>
      <c r="AN465" s="2" t="s">
        <v>59</v>
      </c>
      <c r="AO465" s="2" t="s">
        <v>60</v>
      </c>
      <c r="AP465" s="7" t="n">
        <v>0.282</v>
      </c>
    </row>
    <row r="466" customFormat="false" ht="15" hidden="false" customHeight="false" outlineLevel="0" collapsed="false">
      <c r="A466" s="2" t="s">
        <v>1913</v>
      </c>
      <c r="B466" s="2" t="s">
        <v>1914</v>
      </c>
      <c r="C466" s="2" t="s">
        <v>1915</v>
      </c>
      <c r="D466" s="2" t="s">
        <v>45</v>
      </c>
      <c r="E466" s="3" t="n">
        <v>43</v>
      </c>
      <c r="F466" s="2" t="s">
        <v>64</v>
      </c>
      <c r="G466" s="2" t="s">
        <v>176</v>
      </c>
      <c r="H466" s="2" t="s">
        <v>77</v>
      </c>
      <c r="I466" s="4" t="n">
        <v>45500</v>
      </c>
      <c r="J466" s="2" t="s">
        <v>177</v>
      </c>
      <c r="K466" s="3" t="n">
        <v>22</v>
      </c>
      <c r="L466" s="2" t="s">
        <v>188</v>
      </c>
      <c r="M466" s="2" t="s">
        <v>51</v>
      </c>
      <c r="N466" s="2" t="s">
        <v>140</v>
      </c>
      <c r="O466" s="3" t="n">
        <v>2</v>
      </c>
      <c r="P466" s="2" t="s">
        <v>131</v>
      </c>
      <c r="Q466" s="2" t="s">
        <v>132</v>
      </c>
      <c r="R466" s="2" t="s">
        <v>51</v>
      </c>
      <c r="S466" s="2" t="s">
        <v>51</v>
      </c>
      <c r="T466" s="2" t="s">
        <v>1916</v>
      </c>
      <c r="U466" s="2" t="s">
        <v>85</v>
      </c>
      <c r="V466" s="4" t="n">
        <v>164000</v>
      </c>
      <c r="W466" s="5" t="n">
        <v>8</v>
      </c>
      <c r="X466" s="3" t="n">
        <v>24</v>
      </c>
      <c r="Y466" s="6" t="n">
        <v>46189</v>
      </c>
      <c r="Z466" s="6" t="n">
        <v>46198</v>
      </c>
      <c r="AA466" s="6" t="n">
        <v>46204</v>
      </c>
      <c r="AB466" s="4" t="n">
        <f aca="false">ROUND(PMT(W466/1200,X466,-V466),2)</f>
        <v>7417.28</v>
      </c>
      <c r="AC466" s="4" t="n">
        <v>0</v>
      </c>
      <c r="AD466" s="3" t="n">
        <v>1</v>
      </c>
      <c r="AE466" s="4" t="n">
        <v>111400</v>
      </c>
      <c r="AF466" s="4" t="n">
        <v>48000</v>
      </c>
      <c r="AG466" s="3" t="n">
        <v>27</v>
      </c>
      <c r="AH466" s="4" t="n">
        <v>35200</v>
      </c>
      <c r="AI466" s="3" t="n">
        <v>816</v>
      </c>
      <c r="AJ466" s="7" t="n">
        <f aca="false">ROUND(AB466/I466,4)</f>
        <v>0.163</v>
      </c>
      <c r="AK466" s="2" t="str">
        <f aca="false">IF(AND(AI466&gt;=750,AJ466&lt;=0.35),"Low",IF(AND(AI466&gt;=600,AJ466&lt;=0.5),"Medium","High"))</f>
        <v>Low</v>
      </c>
      <c r="AL466" s="3" t="n">
        <v>2</v>
      </c>
      <c r="AM466" s="2" t="s">
        <v>58</v>
      </c>
      <c r="AN466" s="2" t="s">
        <v>59</v>
      </c>
      <c r="AO466" s="2" t="s">
        <v>60</v>
      </c>
      <c r="AP466" s="7" t="n">
        <v>0.135</v>
      </c>
    </row>
    <row r="467" customFormat="false" ht="15" hidden="false" customHeight="false" outlineLevel="0" collapsed="false">
      <c r="A467" s="2" t="s">
        <v>1917</v>
      </c>
      <c r="B467" s="2" t="s">
        <v>1918</v>
      </c>
      <c r="C467" s="2" t="s">
        <v>1919</v>
      </c>
      <c r="D467" s="2" t="s">
        <v>45</v>
      </c>
      <c r="E467" s="3" t="n">
        <v>43</v>
      </c>
      <c r="F467" s="2" t="s">
        <v>46</v>
      </c>
      <c r="G467" s="2" t="s">
        <v>90</v>
      </c>
      <c r="H467" s="2" t="s">
        <v>123</v>
      </c>
      <c r="I467" s="4" t="n">
        <v>33500</v>
      </c>
      <c r="J467" s="2" t="s">
        <v>90</v>
      </c>
      <c r="K467" s="3" t="n">
        <v>17</v>
      </c>
      <c r="L467" s="2" t="s">
        <v>416</v>
      </c>
      <c r="M467" s="2" t="s">
        <v>147</v>
      </c>
      <c r="N467" s="2" t="s">
        <v>140</v>
      </c>
      <c r="O467" s="3" t="n">
        <v>0</v>
      </c>
      <c r="P467" s="2" t="s">
        <v>209</v>
      </c>
      <c r="Q467" s="2" t="s">
        <v>210</v>
      </c>
      <c r="R467" s="2" t="s">
        <v>211</v>
      </c>
      <c r="S467" s="2" t="s">
        <v>147</v>
      </c>
      <c r="T467" s="2" t="s">
        <v>1920</v>
      </c>
      <c r="U467" s="2" t="s">
        <v>85</v>
      </c>
      <c r="V467" s="4" t="n">
        <v>312000</v>
      </c>
      <c r="W467" s="5" t="n">
        <v>9.08</v>
      </c>
      <c r="X467" s="3" t="n">
        <v>24</v>
      </c>
      <c r="Y467" s="6" t="n">
        <v>46181</v>
      </c>
      <c r="Z467" s="6" t="n">
        <v>46187</v>
      </c>
      <c r="AA467" s="6" t="n">
        <v>46189</v>
      </c>
      <c r="AB467" s="4" t="n">
        <f aca="false">ROUND(PMT(W467/1200,X467,-V467),2)</f>
        <v>14265.09</v>
      </c>
      <c r="AC467" s="4" t="n">
        <v>0</v>
      </c>
      <c r="AD467" s="3" t="n">
        <v>0</v>
      </c>
      <c r="AE467" s="4" t="n">
        <v>92200</v>
      </c>
      <c r="AF467" s="4" t="n">
        <v>24600</v>
      </c>
      <c r="AG467" s="3" t="n">
        <v>14</v>
      </c>
      <c r="AH467" s="4" t="n">
        <v>30300</v>
      </c>
      <c r="AI467" s="3" t="n">
        <v>585</v>
      </c>
      <c r="AJ467" s="7" t="n">
        <f aca="false">ROUND(AB467/I467,4)</f>
        <v>0.4258</v>
      </c>
      <c r="AK467" s="2" t="str">
        <f aca="false">IF(AND(AI467&gt;=750,AJ467&lt;=0.35),"Low",IF(AND(AI467&gt;=600,AJ467&lt;=0.5),"Medium","High"))</f>
        <v>High</v>
      </c>
      <c r="AL467" s="3" t="n">
        <v>0</v>
      </c>
      <c r="AM467" s="2" t="s">
        <v>58</v>
      </c>
      <c r="AN467" s="2" t="s">
        <v>119</v>
      </c>
      <c r="AO467" s="2" t="s">
        <v>60</v>
      </c>
      <c r="AP467" s="7" t="n">
        <v>0.377</v>
      </c>
    </row>
    <row r="468" customFormat="false" ht="15" hidden="false" customHeight="false" outlineLevel="0" collapsed="false">
      <c r="A468" s="2" t="s">
        <v>1921</v>
      </c>
      <c r="B468" s="2" t="s">
        <v>1922</v>
      </c>
      <c r="C468" s="2" t="s">
        <v>1923</v>
      </c>
      <c r="D468" s="2" t="s">
        <v>109</v>
      </c>
      <c r="E468" s="3" t="n">
        <v>52</v>
      </c>
      <c r="F468" s="2" t="s">
        <v>64</v>
      </c>
      <c r="G468" s="2" t="s">
        <v>65</v>
      </c>
      <c r="H468" s="2" t="s">
        <v>48</v>
      </c>
      <c r="I468" s="4" t="n">
        <v>74500</v>
      </c>
      <c r="J468" s="2" t="s">
        <v>49</v>
      </c>
      <c r="K468" s="3" t="n">
        <v>28</v>
      </c>
      <c r="L468" s="2" t="s">
        <v>67</v>
      </c>
      <c r="M468" s="2" t="s">
        <v>67</v>
      </c>
      <c r="N468" s="2" t="s">
        <v>140</v>
      </c>
      <c r="O468" s="3" t="n">
        <v>1</v>
      </c>
      <c r="P468" s="2" t="s">
        <v>103</v>
      </c>
      <c r="Q468" s="2" t="s">
        <v>104</v>
      </c>
      <c r="R468" s="2" t="s">
        <v>67</v>
      </c>
      <c r="S468" s="2" t="s">
        <v>67</v>
      </c>
      <c r="T468" s="2" t="s">
        <v>1924</v>
      </c>
      <c r="U468" s="2" t="s">
        <v>57</v>
      </c>
      <c r="V468" s="4" t="n">
        <v>2886000</v>
      </c>
      <c r="W468" s="5" t="n">
        <v>9.62</v>
      </c>
      <c r="X468" s="3" t="n">
        <v>180</v>
      </c>
      <c r="Y468" s="6" t="n">
        <v>46194</v>
      </c>
      <c r="Z468" s="6" t="n">
        <v>46198</v>
      </c>
      <c r="AA468" s="6" t="n">
        <v>46201</v>
      </c>
      <c r="AB468" s="4" t="n">
        <f aca="false">ROUND(PMT(W468/1200,X468,-V468),2)</f>
        <v>30345.65</v>
      </c>
      <c r="AC468" s="4" t="n">
        <v>3125000</v>
      </c>
      <c r="AD468" s="3" t="n">
        <v>1</v>
      </c>
      <c r="AE468" s="4" t="n">
        <v>150900</v>
      </c>
      <c r="AF468" s="4" t="n">
        <v>62600</v>
      </c>
      <c r="AG468" s="3" t="n">
        <v>30</v>
      </c>
      <c r="AH468" s="4" t="n">
        <v>42600</v>
      </c>
      <c r="AI468" s="3" t="n">
        <v>609</v>
      </c>
      <c r="AJ468" s="7" t="n">
        <f aca="false">ROUND(AB468/I468,4)</f>
        <v>0.4073</v>
      </c>
      <c r="AK468" s="2" t="str">
        <f aca="false">IF(AND(AI468&gt;=750,AJ468&lt;=0.35),"Low",IF(AND(AI468&gt;=600,AJ468&lt;=0.5),"Medium","High"))</f>
        <v>Medium</v>
      </c>
      <c r="AL468" s="3" t="n">
        <v>2</v>
      </c>
      <c r="AM468" s="2" t="s">
        <v>233</v>
      </c>
      <c r="AN468" s="2" t="s">
        <v>258</v>
      </c>
      <c r="AO468" s="2" t="s">
        <v>60</v>
      </c>
      <c r="AP468" s="7" t="n">
        <v>0.506</v>
      </c>
    </row>
    <row r="469" customFormat="false" ht="15" hidden="false" customHeight="false" outlineLevel="0" collapsed="false">
      <c r="A469" s="2" t="s">
        <v>1925</v>
      </c>
      <c r="B469" s="2" t="s">
        <v>1926</v>
      </c>
      <c r="C469" s="2" t="s">
        <v>1927</v>
      </c>
      <c r="D469" s="2" t="s">
        <v>45</v>
      </c>
      <c r="E469" s="3" t="n">
        <v>45</v>
      </c>
      <c r="F469" s="2" t="s">
        <v>64</v>
      </c>
      <c r="G469" s="2" t="s">
        <v>246</v>
      </c>
      <c r="H469" s="2" t="s">
        <v>123</v>
      </c>
      <c r="I469" s="4" t="n">
        <v>10500</v>
      </c>
      <c r="J469" s="2" t="s">
        <v>145</v>
      </c>
      <c r="K469" s="3" t="n">
        <v>22</v>
      </c>
      <c r="L469" s="2" t="s">
        <v>504</v>
      </c>
      <c r="M469" s="2" t="s">
        <v>51</v>
      </c>
      <c r="N469" s="2" t="s">
        <v>52</v>
      </c>
      <c r="O469" s="3" t="n">
        <v>2</v>
      </c>
      <c r="P469" s="2" t="s">
        <v>189</v>
      </c>
      <c r="Q469" s="2" t="s">
        <v>190</v>
      </c>
      <c r="R469" s="2" t="s">
        <v>188</v>
      </c>
      <c r="S469" s="2" t="s">
        <v>51</v>
      </c>
      <c r="T469" s="2" t="s">
        <v>1928</v>
      </c>
      <c r="U469" s="2" t="s">
        <v>85</v>
      </c>
      <c r="V469" s="4" t="n">
        <v>50000</v>
      </c>
      <c r="W469" s="5" t="n">
        <v>9.96</v>
      </c>
      <c r="X469" s="3" t="n">
        <v>6</v>
      </c>
      <c r="Y469" s="6" t="n">
        <v>46185</v>
      </c>
      <c r="Z469" s="6" t="n">
        <v>46192</v>
      </c>
      <c r="AA469" s="6" t="n">
        <v>46196</v>
      </c>
      <c r="AB469" s="4" t="n">
        <f aca="false">ROUND(PMT(W469/1200,X469,-V469),2)</f>
        <v>8577.08</v>
      </c>
      <c r="AC469" s="4" t="n">
        <v>0</v>
      </c>
      <c r="AD469" s="3" t="n">
        <v>0</v>
      </c>
      <c r="AE469" s="4" t="n">
        <v>37300</v>
      </c>
      <c r="AF469" s="4" t="n">
        <v>12800</v>
      </c>
      <c r="AG469" s="3" t="n">
        <v>40</v>
      </c>
      <c r="AH469" s="4" t="n">
        <v>5700</v>
      </c>
      <c r="AI469" s="3" t="n">
        <v>692</v>
      </c>
      <c r="AJ469" s="7" t="n">
        <f aca="false">ROUND(AB469/I469,4)</f>
        <v>0.8169</v>
      </c>
      <c r="AK469" s="2" t="str">
        <f aca="false">IF(AND(AI469&gt;=750,AJ469&lt;=0.35),"Low",IF(AND(AI469&gt;=600,AJ469&lt;=0.5),"Medium","High"))</f>
        <v>High</v>
      </c>
      <c r="AL469" s="3" t="n">
        <v>0</v>
      </c>
      <c r="AM469" s="2" t="s">
        <v>58</v>
      </c>
      <c r="AN469" s="2" t="s">
        <v>59</v>
      </c>
      <c r="AO469" s="2" t="s">
        <v>60</v>
      </c>
      <c r="AP469" s="7" t="n">
        <v>0.18</v>
      </c>
    </row>
    <row r="470" customFormat="false" ht="15" hidden="false" customHeight="false" outlineLevel="0" collapsed="false">
      <c r="A470" s="2" t="s">
        <v>1929</v>
      </c>
      <c r="B470" s="2" t="s">
        <v>1930</v>
      </c>
      <c r="C470" s="2" t="s">
        <v>1931</v>
      </c>
      <c r="D470" s="2" t="s">
        <v>109</v>
      </c>
      <c r="E470" s="3" t="n">
        <v>21</v>
      </c>
      <c r="F470" s="2" t="s">
        <v>64</v>
      </c>
      <c r="G470" s="2" t="s">
        <v>145</v>
      </c>
      <c r="H470" s="2" t="s">
        <v>77</v>
      </c>
      <c r="I470" s="4" t="n">
        <v>35000</v>
      </c>
      <c r="J470" s="2" t="s">
        <v>145</v>
      </c>
      <c r="K470" s="3" t="n">
        <v>0</v>
      </c>
      <c r="L470" s="2" t="s">
        <v>590</v>
      </c>
      <c r="M470" s="2" t="s">
        <v>114</v>
      </c>
      <c r="N470" s="2" t="s">
        <v>140</v>
      </c>
      <c r="O470" s="3" t="n">
        <v>1</v>
      </c>
      <c r="P470" s="2" t="s">
        <v>115</v>
      </c>
      <c r="Q470" s="2" t="s">
        <v>116</v>
      </c>
      <c r="R470" s="2" t="s">
        <v>114</v>
      </c>
      <c r="S470" s="2" t="s">
        <v>114</v>
      </c>
      <c r="T470" s="2" t="s">
        <v>1932</v>
      </c>
      <c r="U470" s="2" t="s">
        <v>118</v>
      </c>
      <c r="V470" s="4" t="n">
        <v>260000</v>
      </c>
      <c r="W470" s="5" t="n">
        <v>9.71</v>
      </c>
      <c r="X470" s="3" t="n">
        <v>42</v>
      </c>
      <c r="Y470" s="6" t="n">
        <v>46195</v>
      </c>
      <c r="Z470" s="6"/>
      <c r="AA470" s="6"/>
      <c r="AB470" s="4" t="n">
        <f aca="false">ROUND(PMT(W470/1200,X470,-V470),2)</f>
        <v>7326.63</v>
      </c>
      <c r="AC470" s="4" t="n">
        <v>0</v>
      </c>
      <c r="AD470" s="3" t="n">
        <v>1</v>
      </c>
      <c r="AE470" s="4" t="n">
        <v>121100</v>
      </c>
      <c r="AF470" s="4" t="n">
        <v>56700</v>
      </c>
      <c r="AG470" s="3" t="n">
        <v>32</v>
      </c>
      <c r="AH470" s="4" t="n">
        <v>16400</v>
      </c>
      <c r="AI470" s="3" t="n">
        <v>816</v>
      </c>
      <c r="AJ470" s="7" t="n">
        <f aca="false">ROUND(AB470/I470,4)</f>
        <v>0.2093</v>
      </c>
      <c r="AK470" s="2" t="str">
        <f aca="false">IF(AND(AI470&gt;=750,AJ470&lt;=0.35),"Low",IF(AND(AI470&gt;=600,AJ470&lt;=0.5),"Medium","High"))</f>
        <v>Low</v>
      </c>
      <c r="AL470" s="3" t="n">
        <v>0</v>
      </c>
      <c r="AM470" s="2" t="s">
        <v>58</v>
      </c>
      <c r="AN470" s="2"/>
      <c r="AO470" s="2" t="s">
        <v>127</v>
      </c>
      <c r="AP470" s="7" t="n">
        <v>0.094</v>
      </c>
    </row>
    <row r="471" customFormat="false" ht="15" hidden="false" customHeight="false" outlineLevel="0" collapsed="false">
      <c r="A471" s="2" t="s">
        <v>1933</v>
      </c>
      <c r="B471" s="2" t="s">
        <v>828</v>
      </c>
      <c r="C471" s="2" t="s">
        <v>1435</v>
      </c>
      <c r="D471" s="2" t="s">
        <v>45</v>
      </c>
      <c r="E471" s="3" t="n">
        <v>33</v>
      </c>
      <c r="F471" s="2" t="s">
        <v>64</v>
      </c>
      <c r="G471" s="2" t="s">
        <v>207</v>
      </c>
      <c r="H471" s="2" t="s">
        <v>48</v>
      </c>
      <c r="I471" s="4" t="n">
        <v>41000</v>
      </c>
      <c r="J471" s="2" t="s">
        <v>49</v>
      </c>
      <c r="K471" s="3" t="n">
        <v>10</v>
      </c>
      <c r="L471" s="2" t="s">
        <v>91</v>
      </c>
      <c r="M471" s="2" t="s">
        <v>92</v>
      </c>
      <c r="N471" s="2" t="s">
        <v>52</v>
      </c>
      <c r="O471" s="3"/>
      <c r="P471" s="2" t="s">
        <v>169</v>
      </c>
      <c r="Q471" s="2" t="s">
        <v>170</v>
      </c>
      <c r="R471" s="2" t="s">
        <v>92</v>
      </c>
      <c r="S471" s="2" t="s">
        <v>92</v>
      </c>
      <c r="T471" s="2" t="s">
        <v>1934</v>
      </c>
      <c r="U471" s="2" t="s">
        <v>57</v>
      </c>
      <c r="V471" s="4" t="n">
        <v>800000</v>
      </c>
      <c r="W471" s="5" t="n">
        <v>10.61</v>
      </c>
      <c r="X471" s="3" t="n">
        <v>192</v>
      </c>
      <c r="Y471" s="6" t="n">
        <v>46195</v>
      </c>
      <c r="Z471" s="6"/>
      <c r="AA471" s="6"/>
      <c r="AB471" s="4" t="n">
        <f aca="false">ROUND(PMT(W471/1200,X471,-V471),2)</f>
        <v>8673.55</v>
      </c>
      <c r="AC471" s="4" t="n">
        <v>816000</v>
      </c>
      <c r="AD471" s="3" t="n">
        <v>0</v>
      </c>
      <c r="AE471" s="4" t="n">
        <v>156900</v>
      </c>
      <c r="AF471" s="4" t="n">
        <v>83100</v>
      </c>
      <c r="AG471" s="3" t="n">
        <v>3</v>
      </c>
      <c r="AH471" s="4" t="n">
        <v>19800</v>
      </c>
      <c r="AI471" s="3" t="n">
        <v>840</v>
      </c>
      <c r="AJ471" s="7" t="n">
        <f aca="false">ROUND(AB471/I471,4)</f>
        <v>0.2116</v>
      </c>
      <c r="AK471" s="2" t="str">
        <f aca="false">IF(AND(AI471&gt;=750,AJ471&lt;=0.35),"Low",IF(AND(AI471&gt;=600,AJ471&lt;=0.5),"Medium","High"))</f>
        <v>Low</v>
      </c>
      <c r="AL471" s="3" t="n">
        <v>1</v>
      </c>
      <c r="AM471" s="2" t="s">
        <v>58</v>
      </c>
      <c r="AN471" s="2"/>
      <c r="AO471" s="2" t="s">
        <v>134</v>
      </c>
      <c r="AP471" s="7" t="n">
        <v>0.138</v>
      </c>
    </row>
    <row r="472" customFormat="false" ht="15" hidden="false" customHeight="false" outlineLevel="0" collapsed="false">
      <c r="A472" s="2" t="s">
        <v>1935</v>
      </c>
      <c r="B472" s="2" t="s">
        <v>1936</v>
      </c>
      <c r="C472" s="2" t="s">
        <v>1937</v>
      </c>
      <c r="D472" s="2" t="s">
        <v>109</v>
      </c>
      <c r="E472" s="3" t="n">
        <v>30</v>
      </c>
      <c r="F472" s="2" t="s">
        <v>46</v>
      </c>
      <c r="G472" s="2" t="s">
        <v>47</v>
      </c>
      <c r="H472" s="2" t="s">
        <v>101</v>
      </c>
      <c r="I472" s="4" t="n">
        <v>94000</v>
      </c>
      <c r="J472" s="2" t="s">
        <v>49</v>
      </c>
      <c r="K472" s="3" t="n">
        <v>10</v>
      </c>
      <c r="L472" s="2" t="s">
        <v>653</v>
      </c>
      <c r="M472" s="2" t="s">
        <v>159</v>
      </c>
      <c r="N472" s="2" t="s">
        <v>102</v>
      </c>
      <c r="O472" s="3" t="n">
        <v>2</v>
      </c>
      <c r="P472" s="2" t="s">
        <v>160</v>
      </c>
      <c r="Q472" s="2" t="s">
        <v>161</v>
      </c>
      <c r="R472" s="2" t="s">
        <v>159</v>
      </c>
      <c r="S472" s="2" t="s">
        <v>159</v>
      </c>
      <c r="T472" s="2" t="s">
        <v>1938</v>
      </c>
      <c r="U472" s="2" t="s">
        <v>85</v>
      </c>
      <c r="V472" s="4" t="n">
        <v>800000</v>
      </c>
      <c r="W472" s="5" t="n">
        <v>8.61</v>
      </c>
      <c r="X472" s="3" t="n">
        <v>30</v>
      </c>
      <c r="Y472" s="6" t="n">
        <v>46185</v>
      </c>
      <c r="Z472" s="6" t="n">
        <v>46189</v>
      </c>
      <c r="AA472" s="6" t="n">
        <v>46190</v>
      </c>
      <c r="AB472" s="4" t="n">
        <f aca="false">ROUND(PMT(W472/1200,X472,-V472),2)</f>
        <v>29734.73</v>
      </c>
      <c r="AC472" s="4" t="n">
        <v>0</v>
      </c>
      <c r="AD472" s="3" t="n">
        <v>0</v>
      </c>
      <c r="AE472" s="4" t="n">
        <v>217100</v>
      </c>
      <c r="AF472" s="4" t="n">
        <v>61900</v>
      </c>
      <c r="AG472" s="3" t="n">
        <v>49</v>
      </c>
      <c r="AH472" s="4" t="n">
        <v>83900</v>
      </c>
      <c r="AI472" s="3" t="n">
        <v>414</v>
      </c>
      <c r="AJ472" s="7" t="n">
        <f aca="false">ROUND(AB472/I472,4)</f>
        <v>0.3163</v>
      </c>
      <c r="AK472" s="2" t="str">
        <f aca="false">IF(AND(AI472&gt;=750,AJ472&lt;=0.35),"Low",IF(AND(AI472&gt;=600,AJ472&lt;=0.5),"Medium","High"))</f>
        <v>High</v>
      </c>
      <c r="AL472" s="3" t="n">
        <v>2</v>
      </c>
      <c r="AM472" s="2" t="s">
        <v>233</v>
      </c>
      <c r="AN472" s="2" t="s">
        <v>119</v>
      </c>
      <c r="AO472" s="2" t="s">
        <v>86</v>
      </c>
      <c r="AP472" s="7" t="n">
        <v>0.595</v>
      </c>
    </row>
    <row r="473" customFormat="false" ht="15" hidden="false" customHeight="false" outlineLevel="0" collapsed="false">
      <c r="A473" s="2" t="s">
        <v>1939</v>
      </c>
      <c r="B473" s="2" t="s">
        <v>1940</v>
      </c>
      <c r="C473" s="2" t="s">
        <v>668</v>
      </c>
      <c r="D473" s="2" t="s">
        <v>45</v>
      </c>
      <c r="E473" s="3" t="n">
        <v>45</v>
      </c>
      <c r="F473" s="2" t="s">
        <v>64</v>
      </c>
      <c r="G473" s="2" t="s">
        <v>47</v>
      </c>
      <c r="H473" s="2" t="s">
        <v>48</v>
      </c>
      <c r="I473" s="4" t="n">
        <v>133500</v>
      </c>
      <c r="J473" s="2" t="s">
        <v>49</v>
      </c>
      <c r="K473" s="3" t="n">
        <v>22</v>
      </c>
      <c r="L473" s="2" t="s">
        <v>114</v>
      </c>
      <c r="M473" s="2" t="s">
        <v>114</v>
      </c>
      <c r="N473" s="2" t="s">
        <v>81</v>
      </c>
      <c r="O473" s="3" t="n">
        <v>1</v>
      </c>
      <c r="P473" s="2" t="s">
        <v>115</v>
      </c>
      <c r="Q473" s="2" t="s">
        <v>116</v>
      </c>
      <c r="R473" s="2" t="s">
        <v>114</v>
      </c>
      <c r="S473" s="2" t="s">
        <v>114</v>
      </c>
      <c r="T473" s="2" t="s">
        <v>1941</v>
      </c>
      <c r="U473" s="2" t="s">
        <v>72</v>
      </c>
      <c r="V473" s="4" t="n">
        <v>2274000</v>
      </c>
      <c r="W473" s="5" t="n">
        <v>13.86</v>
      </c>
      <c r="X473" s="3" t="n">
        <v>84</v>
      </c>
      <c r="Y473" s="6" t="n">
        <v>46181</v>
      </c>
      <c r="Z473" s="6"/>
      <c r="AA473" s="6"/>
      <c r="AB473" s="4" t="n">
        <f aca="false">ROUND(PMT(W473/1200,X473,-V473),2)</f>
        <v>42439.11</v>
      </c>
      <c r="AC473" s="4" t="n">
        <v>2531000</v>
      </c>
      <c r="AD473" s="3" t="n">
        <v>0</v>
      </c>
      <c r="AE473" s="4" t="n">
        <v>99900</v>
      </c>
      <c r="AF473" s="4" t="n">
        <v>34400</v>
      </c>
      <c r="AG473" s="3" t="n">
        <v>55</v>
      </c>
      <c r="AH473" s="4" t="n">
        <v>115000</v>
      </c>
      <c r="AI473" s="3" t="n">
        <v>553</v>
      </c>
      <c r="AJ473" s="7" t="n">
        <f aca="false">ROUND(AB473/I473,4)</f>
        <v>0.3179</v>
      </c>
      <c r="AK473" s="2" t="str">
        <f aca="false">IF(AND(AI473&gt;=750,AJ473&lt;=0.35),"Low",IF(AND(AI473&gt;=600,AJ473&lt;=0.5),"Medium","High"))</f>
        <v>High</v>
      </c>
      <c r="AL473" s="3" t="n">
        <v>2</v>
      </c>
      <c r="AM473" s="2" t="s">
        <v>58</v>
      </c>
      <c r="AN473" s="2"/>
      <c r="AO473" s="2" t="s">
        <v>127</v>
      </c>
      <c r="AP473" s="7" t="n">
        <v>0.339</v>
      </c>
    </row>
    <row r="474" customFormat="false" ht="15" hidden="false" customHeight="false" outlineLevel="0" collapsed="false">
      <c r="A474" s="2" t="s">
        <v>1942</v>
      </c>
      <c r="B474" s="2" t="s">
        <v>1943</v>
      </c>
      <c r="C474" s="2" t="s">
        <v>1944</v>
      </c>
      <c r="D474" s="2" t="s">
        <v>109</v>
      </c>
      <c r="E474" s="3" t="n">
        <v>49</v>
      </c>
      <c r="F474" s="2" t="s">
        <v>64</v>
      </c>
      <c r="G474" s="2" t="s">
        <v>176</v>
      </c>
      <c r="H474" s="2" t="s">
        <v>123</v>
      </c>
      <c r="I474" s="4" t="n">
        <v>62500</v>
      </c>
      <c r="J474" s="2" t="s">
        <v>177</v>
      </c>
      <c r="K474" s="3" t="n">
        <v>25</v>
      </c>
      <c r="L474" s="2" t="s">
        <v>753</v>
      </c>
      <c r="M474" s="2" t="s">
        <v>147</v>
      </c>
      <c r="N474" s="2" t="s">
        <v>52</v>
      </c>
      <c r="O474" s="3"/>
      <c r="P474" s="2" t="s">
        <v>209</v>
      </c>
      <c r="Q474" s="2" t="s">
        <v>210</v>
      </c>
      <c r="R474" s="2" t="s">
        <v>211</v>
      </c>
      <c r="S474" s="2" t="s">
        <v>147</v>
      </c>
      <c r="T474" s="2" t="s">
        <v>1945</v>
      </c>
      <c r="U474" s="2" t="s">
        <v>118</v>
      </c>
      <c r="V474" s="4" t="n">
        <v>475000</v>
      </c>
      <c r="W474" s="5" t="n">
        <v>9.28</v>
      </c>
      <c r="X474" s="3" t="n">
        <v>24</v>
      </c>
      <c r="Y474" s="6" t="n">
        <v>46174</v>
      </c>
      <c r="Z474" s="6" t="n">
        <v>46176</v>
      </c>
      <c r="AA474" s="6" t="n">
        <v>46177</v>
      </c>
      <c r="AB474" s="4" t="n">
        <f aca="false">ROUND(PMT(W474/1200,X474,-V474),2)</f>
        <v>21761.33</v>
      </c>
      <c r="AC474" s="4" t="n">
        <v>0</v>
      </c>
      <c r="AD474" s="3"/>
      <c r="AE474" s="4" t="n">
        <v>208700</v>
      </c>
      <c r="AF474" s="4" t="n">
        <v>44100</v>
      </c>
      <c r="AG474" s="3" t="n">
        <v>21</v>
      </c>
      <c r="AH474" s="4" t="n">
        <v>54600</v>
      </c>
      <c r="AI474" s="3" t="n">
        <v>847</v>
      </c>
      <c r="AJ474" s="7" t="n">
        <f aca="false">ROUND(AB474/I474,4)</f>
        <v>0.3482</v>
      </c>
      <c r="AK474" s="2" t="str">
        <f aca="false">IF(AND(AI474&gt;=750,AJ474&lt;=0.35),"Low",IF(AND(AI474&gt;=600,AJ474&lt;=0.5),"Medium","High"))</f>
        <v>Low</v>
      </c>
      <c r="AL474" s="3" t="n">
        <v>0</v>
      </c>
      <c r="AM474" s="2" t="s">
        <v>58</v>
      </c>
      <c r="AN474" s="2" t="s">
        <v>59</v>
      </c>
      <c r="AO474" s="2" t="s">
        <v>60</v>
      </c>
      <c r="AP474" s="7" t="n">
        <v>0.058</v>
      </c>
    </row>
    <row r="475" customFormat="false" ht="15" hidden="false" customHeight="false" outlineLevel="0" collapsed="false">
      <c r="A475" s="2" t="s">
        <v>1946</v>
      </c>
      <c r="B475" s="2" t="s">
        <v>1947</v>
      </c>
      <c r="C475" s="2" t="s">
        <v>636</v>
      </c>
      <c r="D475" s="2" t="s">
        <v>109</v>
      </c>
      <c r="E475" s="3" t="n">
        <v>38</v>
      </c>
      <c r="F475" s="2" t="s">
        <v>64</v>
      </c>
      <c r="G475" s="2" t="s">
        <v>176</v>
      </c>
      <c r="H475" s="2" t="s">
        <v>77</v>
      </c>
      <c r="I475" s="4" t="n">
        <v>79500</v>
      </c>
      <c r="J475" s="2" t="s">
        <v>177</v>
      </c>
      <c r="K475" s="3" t="n">
        <v>13</v>
      </c>
      <c r="L475" s="2" t="s">
        <v>726</v>
      </c>
      <c r="M475" s="2" t="s">
        <v>147</v>
      </c>
      <c r="N475" s="2" t="s">
        <v>52</v>
      </c>
      <c r="O475" s="3" t="n">
        <v>2</v>
      </c>
      <c r="P475" s="2" t="s">
        <v>148</v>
      </c>
      <c r="Q475" s="2" t="s">
        <v>149</v>
      </c>
      <c r="R475" s="2" t="s">
        <v>147</v>
      </c>
      <c r="S475" s="2" t="s">
        <v>147</v>
      </c>
      <c r="T475" s="2" t="s">
        <v>1948</v>
      </c>
      <c r="U475" s="2" t="s">
        <v>97</v>
      </c>
      <c r="V475" s="4" t="n">
        <v>645000</v>
      </c>
      <c r="W475" s="5" t="n">
        <v>16.21</v>
      </c>
      <c r="X475" s="3" t="n">
        <v>30</v>
      </c>
      <c r="Y475" s="6" t="n">
        <v>46175</v>
      </c>
      <c r="Z475" s="6" t="n">
        <v>46181</v>
      </c>
      <c r="AA475" s="6" t="n">
        <v>46183</v>
      </c>
      <c r="AB475" s="4" t="n">
        <f aca="false">ROUND(PMT(W475/1200,X475,-V475),2)</f>
        <v>26292.81</v>
      </c>
      <c r="AC475" s="4" t="n">
        <v>0</v>
      </c>
      <c r="AD475" s="3" t="n">
        <v>0</v>
      </c>
      <c r="AE475" s="4" t="n">
        <v>304300</v>
      </c>
      <c r="AF475" s="4"/>
      <c r="AG475" s="3" t="n">
        <v>38</v>
      </c>
      <c r="AH475" s="4" t="n">
        <v>71300</v>
      </c>
      <c r="AI475" s="3" t="n">
        <v>738</v>
      </c>
      <c r="AJ475" s="7" t="n">
        <f aca="false">ROUND(AB475/I475,4)</f>
        <v>0.3307</v>
      </c>
      <c r="AK475" s="2" t="str">
        <f aca="false">IF(AND(AI475&gt;=750,AJ475&lt;=0.35),"Low",IF(AND(AI475&gt;=600,AJ475&lt;=0.5),"Medium","High"))</f>
        <v>Medium</v>
      </c>
      <c r="AL475" s="3" t="n">
        <v>6</v>
      </c>
      <c r="AM475" s="2" t="s">
        <v>233</v>
      </c>
      <c r="AN475" s="2" t="s">
        <v>59</v>
      </c>
      <c r="AO475" s="2" t="s">
        <v>86</v>
      </c>
      <c r="AP475" s="7" t="n">
        <v>0.437</v>
      </c>
    </row>
    <row r="476" customFormat="false" ht="15" hidden="false" customHeight="false" outlineLevel="0" collapsed="false">
      <c r="A476" s="2" t="s">
        <v>1949</v>
      </c>
      <c r="B476" s="2" t="s">
        <v>1950</v>
      </c>
      <c r="C476" s="2" t="s">
        <v>712</v>
      </c>
      <c r="D476" s="2" t="s">
        <v>45</v>
      </c>
      <c r="E476" s="3" t="n">
        <v>21</v>
      </c>
      <c r="F476" s="2" t="s">
        <v>64</v>
      </c>
      <c r="G476" s="2" t="s">
        <v>76</v>
      </c>
      <c r="H476" s="2" t="s">
        <v>101</v>
      </c>
      <c r="I476" s="4" t="n">
        <v>51500</v>
      </c>
      <c r="J476" s="2" t="s">
        <v>78</v>
      </c>
      <c r="K476" s="3" t="n">
        <v>0</v>
      </c>
      <c r="L476" s="2" t="s">
        <v>196</v>
      </c>
      <c r="M476" s="2" t="s">
        <v>139</v>
      </c>
      <c r="N476" s="2" t="s">
        <v>52</v>
      </c>
      <c r="O476" s="3" t="n">
        <v>3</v>
      </c>
      <c r="P476" s="2" t="s">
        <v>82</v>
      </c>
      <c r="Q476" s="2" t="s">
        <v>83</v>
      </c>
      <c r="R476" s="2" t="s">
        <v>80</v>
      </c>
      <c r="S476" s="2" t="s">
        <v>80</v>
      </c>
      <c r="T476" s="2" t="s">
        <v>1951</v>
      </c>
      <c r="U476" s="2" t="s">
        <v>85</v>
      </c>
      <c r="V476" s="4" t="n">
        <v>463000</v>
      </c>
      <c r="W476" s="5" t="n">
        <v>10</v>
      </c>
      <c r="X476" s="3" t="n">
        <v>18</v>
      </c>
      <c r="Y476" s="6" t="n">
        <v>46192</v>
      </c>
      <c r="Z476" s="6" t="n">
        <v>46198</v>
      </c>
      <c r="AA476" s="6" t="n">
        <v>46200</v>
      </c>
      <c r="AB476" s="4" t="n">
        <f aca="false">ROUND(PMT(W476/1200,X476,-V476),2)</f>
        <v>27806.43</v>
      </c>
      <c r="AC476" s="4" t="n">
        <v>0</v>
      </c>
      <c r="AD476" s="3" t="n">
        <v>0</v>
      </c>
      <c r="AE476" s="4" t="n">
        <v>99500</v>
      </c>
      <c r="AF476" s="4" t="n">
        <v>37000</v>
      </c>
      <c r="AG476" s="3" t="n">
        <v>3</v>
      </c>
      <c r="AH476" s="4" t="n">
        <v>37800</v>
      </c>
      <c r="AI476" s="3" t="n">
        <v>580</v>
      </c>
      <c r="AJ476" s="7" t="n">
        <f aca="false">ROUND(AB476/I476,4)</f>
        <v>0.5399</v>
      </c>
      <c r="AK476" s="2" t="str">
        <f aca="false">IF(AND(AI476&gt;=750,AJ476&lt;=0.35),"Low",IF(AND(AI476&gt;=600,AJ476&lt;=0.5),"Medium","High"))</f>
        <v>High</v>
      </c>
      <c r="AL476" s="3" t="n">
        <v>2</v>
      </c>
      <c r="AM476" s="2" t="s">
        <v>58</v>
      </c>
      <c r="AN476" s="2" t="s">
        <v>119</v>
      </c>
      <c r="AO476" s="2" t="s">
        <v>86</v>
      </c>
      <c r="AP476" s="7" t="n">
        <v>0.317</v>
      </c>
    </row>
    <row r="477" customFormat="false" ht="15" hidden="false" customHeight="false" outlineLevel="0" collapsed="false">
      <c r="A477" s="2" t="s">
        <v>1952</v>
      </c>
      <c r="B477" s="2" t="s">
        <v>1953</v>
      </c>
      <c r="C477" s="2" t="s">
        <v>1954</v>
      </c>
      <c r="D477" s="2" t="s">
        <v>45</v>
      </c>
      <c r="E477" s="3" t="n">
        <v>25</v>
      </c>
      <c r="F477" s="2" t="s">
        <v>175</v>
      </c>
      <c r="G477" s="2" t="s">
        <v>47</v>
      </c>
      <c r="H477" s="2" t="s">
        <v>48</v>
      </c>
      <c r="I477" s="4" t="n">
        <v>81500</v>
      </c>
      <c r="J477" s="2" t="s">
        <v>49</v>
      </c>
      <c r="K477" s="3" t="n">
        <v>1</v>
      </c>
      <c r="L477" s="2" t="s">
        <v>67</v>
      </c>
      <c r="M477" s="2" t="s">
        <v>67</v>
      </c>
      <c r="N477" s="2" t="s">
        <v>81</v>
      </c>
      <c r="O477" s="3" t="n">
        <v>0</v>
      </c>
      <c r="P477" s="2" t="s">
        <v>103</v>
      </c>
      <c r="Q477" s="2" t="s">
        <v>104</v>
      </c>
      <c r="R477" s="2" t="s">
        <v>67</v>
      </c>
      <c r="S477" s="2" t="s">
        <v>67</v>
      </c>
      <c r="T477" s="2" t="s">
        <v>1955</v>
      </c>
      <c r="U477" s="2" t="s">
        <v>97</v>
      </c>
      <c r="V477" s="4" t="n">
        <v>1115000</v>
      </c>
      <c r="W477" s="5" t="n">
        <v>15.64</v>
      </c>
      <c r="X477" s="3" t="n">
        <v>42</v>
      </c>
      <c r="Y477" s="6" t="n">
        <v>46184</v>
      </c>
      <c r="Z477" s="6" t="n">
        <v>46192</v>
      </c>
      <c r="AA477" s="6" t="n">
        <v>46194</v>
      </c>
      <c r="AB477" s="4" t="n">
        <f aca="false">ROUND(PMT(W477/1200,X477,-V477),2)</f>
        <v>34641.73</v>
      </c>
      <c r="AC477" s="4" t="n">
        <v>0</v>
      </c>
      <c r="AD477" s="3" t="n">
        <v>0</v>
      </c>
      <c r="AE477" s="4" t="n">
        <v>314600</v>
      </c>
      <c r="AF477" s="4" t="n">
        <v>160500</v>
      </c>
      <c r="AG477" s="3" t="n">
        <v>46</v>
      </c>
      <c r="AH477" s="4" t="n">
        <v>80100</v>
      </c>
      <c r="AI477" s="3" t="n">
        <v>861</v>
      </c>
      <c r="AJ477" s="7" t="n">
        <f aca="false">ROUND(AB477/I477,4)</f>
        <v>0.4251</v>
      </c>
      <c r="AK477" s="2" t="str">
        <f aca="false">IF(AND(AI477&gt;=750,AJ477&lt;=0.35),"Low",IF(AND(AI477&gt;=600,AJ477&lt;=0.5),"Medium","High"))</f>
        <v>Medium</v>
      </c>
      <c r="AL477" s="3" t="n">
        <v>0</v>
      </c>
      <c r="AM477" s="2" t="s">
        <v>58</v>
      </c>
      <c r="AN477" s="2" t="s">
        <v>59</v>
      </c>
      <c r="AO477" s="2" t="s">
        <v>60</v>
      </c>
      <c r="AP477" s="7" t="n">
        <v>0.051</v>
      </c>
    </row>
    <row r="478" customFormat="false" ht="15" hidden="false" customHeight="false" outlineLevel="0" collapsed="false">
      <c r="A478" s="2" t="s">
        <v>1956</v>
      </c>
      <c r="B478" s="2" t="s">
        <v>1957</v>
      </c>
      <c r="C478" s="2" t="s">
        <v>1513</v>
      </c>
      <c r="D478" s="2" t="s">
        <v>109</v>
      </c>
      <c r="E478" s="3" t="n">
        <v>32</v>
      </c>
      <c r="F478" s="2" t="s">
        <v>46</v>
      </c>
      <c r="G478" s="2" t="s">
        <v>90</v>
      </c>
      <c r="H478" s="2" t="s">
        <v>48</v>
      </c>
      <c r="I478" s="4" t="n">
        <v>22000</v>
      </c>
      <c r="J478" s="2" t="s">
        <v>90</v>
      </c>
      <c r="K478" s="3" t="n">
        <v>7</v>
      </c>
      <c r="L478" s="2" t="s">
        <v>114</v>
      </c>
      <c r="M478" s="2" t="s">
        <v>114</v>
      </c>
      <c r="N478" s="2" t="s">
        <v>81</v>
      </c>
      <c r="O478" s="3" t="n">
        <v>0</v>
      </c>
      <c r="P478" s="2" t="s">
        <v>115</v>
      </c>
      <c r="Q478" s="2" t="s">
        <v>116</v>
      </c>
      <c r="R478" s="2" t="s">
        <v>114</v>
      </c>
      <c r="S478" s="2" t="s">
        <v>114</v>
      </c>
      <c r="T478" s="2" t="s">
        <v>1958</v>
      </c>
      <c r="U478" s="2" t="s">
        <v>97</v>
      </c>
      <c r="V478" s="4" t="n">
        <v>244000</v>
      </c>
      <c r="W478" s="5" t="n">
        <v>12.68</v>
      </c>
      <c r="X478" s="3" t="n">
        <v>48</v>
      </c>
      <c r="Y478" s="6" t="n">
        <v>46203</v>
      </c>
      <c r="Z478" s="6"/>
      <c r="AA478" s="6"/>
      <c r="AB478" s="4" t="n">
        <f aca="false">ROUND(PMT(W478/1200,X478,-V478),2)</f>
        <v>6507.22</v>
      </c>
      <c r="AC478" s="4" t="n">
        <v>0</v>
      </c>
      <c r="AD478" s="3" t="n">
        <v>0</v>
      </c>
      <c r="AE478" s="4" t="n">
        <v>44100</v>
      </c>
      <c r="AF478" s="4" t="n">
        <v>13400</v>
      </c>
      <c r="AG478" s="3" t="n">
        <v>28</v>
      </c>
      <c r="AH478" s="4" t="n">
        <v>8600</v>
      </c>
      <c r="AI478" s="3" t="n">
        <v>690</v>
      </c>
      <c r="AJ478" s="7" t="n">
        <f aca="false">ROUND(AB478/I478,4)</f>
        <v>0.2958</v>
      </c>
      <c r="AK478" s="2" t="str">
        <f aca="false">IF(AND(AI478&gt;=750,AJ478&lt;=0.35),"Low",IF(AND(AI478&gt;=600,AJ478&lt;=0.5),"Medium","High"))</f>
        <v>Medium</v>
      </c>
      <c r="AL478" s="3"/>
      <c r="AM478" s="2" t="s">
        <v>58</v>
      </c>
      <c r="AN478" s="2"/>
      <c r="AO478" s="2" t="s">
        <v>134</v>
      </c>
      <c r="AP478" s="7" t="n">
        <v>0.228</v>
      </c>
    </row>
    <row r="479" customFormat="false" ht="15" hidden="false" customHeight="false" outlineLevel="0" collapsed="false">
      <c r="A479" s="2" t="s">
        <v>1959</v>
      </c>
      <c r="B479" s="2" t="s">
        <v>1039</v>
      </c>
      <c r="C479" s="2" t="s">
        <v>1960</v>
      </c>
      <c r="D479" s="2" t="s">
        <v>109</v>
      </c>
      <c r="E479" s="3" t="n">
        <v>51</v>
      </c>
      <c r="F479" s="2" t="s">
        <v>64</v>
      </c>
      <c r="G479" s="2" t="s">
        <v>207</v>
      </c>
      <c r="H479" s="2" t="s">
        <v>48</v>
      </c>
      <c r="I479" s="4" t="n">
        <v>87500</v>
      </c>
      <c r="J479" s="2" t="s">
        <v>49</v>
      </c>
      <c r="K479" s="3" t="n">
        <v>26</v>
      </c>
      <c r="L479" s="2" t="s">
        <v>80</v>
      </c>
      <c r="M479" s="2" t="s">
        <v>80</v>
      </c>
      <c r="N479" s="2" t="s">
        <v>52</v>
      </c>
      <c r="O479" s="3" t="n">
        <v>2</v>
      </c>
      <c r="P479" s="2" t="s">
        <v>209</v>
      </c>
      <c r="Q479" s="2" t="s">
        <v>210</v>
      </c>
      <c r="R479" s="2" t="s">
        <v>211</v>
      </c>
      <c r="S479" s="2" t="s">
        <v>147</v>
      </c>
      <c r="T479" s="2" t="s">
        <v>1961</v>
      </c>
      <c r="U479" s="2" t="s">
        <v>72</v>
      </c>
      <c r="V479" s="4" t="n">
        <v>1648000</v>
      </c>
      <c r="W479" s="5" t="n">
        <v>14.25</v>
      </c>
      <c r="X479" s="3" t="n">
        <v>48</v>
      </c>
      <c r="Y479" s="6" t="n">
        <v>46198</v>
      </c>
      <c r="Z479" s="6" t="n">
        <v>46208</v>
      </c>
      <c r="AA479" s="6" t="n">
        <v>46211</v>
      </c>
      <c r="AB479" s="4" t="n">
        <f aca="false">ROUND(PMT(W479/1200,X479,-V479),2)</f>
        <v>45240.98</v>
      </c>
      <c r="AC479" s="4" t="n">
        <v>2417000</v>
      </c>
      <c r="AD479" s="3" t="n">
        <v>3</v>
      </c>
      <c r="AE479" s="4" t="n">
        <v>254100</v>
      </c>
      <c r="AF479" s="4" t="n">
        <v>126000</v>
      </c>
      <c r="AG479" s="3" t="n">
        <v>16</v>
      </c>
      <c r="AH479" s="4" t="n">
        <v>67100</v>
      </c>
      <c r="AI479" s="3" t="n">
        <v>798</v>
      </c>
      <c r="AJ479" s="7" t="n">
        <f aca="false">ROUND(AB479/I479,4)</f>
        <v>0.517</v>
      </c>
      <c r="AK479" s="2" t="str">
        <f aca="false">IF(AND(AI479&gt;=750,AJ479&lt;=0.35),"Low",IF(AND(AI479&gt;=600,AJ479&lt;=0.5),"Medium","High"))</f>
        <v>High</v>
      </c>
      <c r="AL479" s="3" t="n">
        <v>1</v>
      </c>
      <c r="AM479" s="2" t="s">
        <v>58</v>
      </c>
      <c r="AN479" s="2" t="s">
        <v>59</v>
      </c>
      <c r="AO479" s="2" t="s">
        <v>60</v>
      </c>
      <c r="AP479" s="7" t="n">
        <v>0.148</v>
      </c>
    </row>
    <row r="480" customFormat="false" ht="15" hidden="false" customHeight="false" outlineLevel="0" collapsed="false">
      <c r="A480" s="2" t="s">
        <v>1962</v>
      </c>
      <c r="B480" s="2" t="s">
        <v>1963</v>
      </c>
      <c r="C480" s="2" t="s">
        <v>1964</v>
      </c>
      <c r="D480" s="2" t="s">
        <v>45</v>
      </c>
      <c r="E480" s="3" t="n">
        <v>36</v>
      </c>
      <c r="F480" s="2" t="s">
        <v>46</v>
      </c>
      <c r="G480" s="2" t="s">
        <v>246</v>
      </c>
      <c r="H480" s="2" t="s">
        <v>123</v>
      </c>
      <c r="I480" s="4" t="n">
        <v>13000</v>
      </c>
      <c r="J480" s="2" t="s">
        <v>145</v>
      </c>
      <c r="K480" s="3" t="n">
        <v>13</v>
      </c>
      <c r="L480" s="2" t="s">
        <v>297</v>
      </c>
      <c r="M480" s="2" t="s">
        <v>92</v>
      </c>
      <c r="N480" s="2" t="s">
        <v>140</v>
      </c>
      <c r="O480" s="3" t="n">
        <v>0</v>
      </c>
      <c r="P480" s="2" t="s">
        <v>93</v>
      </c>
      <c r="Q480" s="2" t="s">
        <v>94</v>
      </c>
      <c r="R480" s="2" t="s">
        <v>95</v>
      </c>
      <c r="S480" s="2" t="s">
        <v>92</v>
      </c>
      <c r="T480" s="2" t="s">
        <v>1965</v>
      </c>
      <c r="U480" s="2" t="s">
        <v>85</v>
      </c>
      <c r="V480" s="4" t="n">
        <v>94000</v>
      </c>
      <c r="W480" s="5" t="n">
        <v>7.55</v>
      </c>
      <c r="X480" s="3" t="n">
        <v>24</v>
      </c>
      <c r="Y480" s="6" t="n">
        <v>46175</v>
      </c>
      <c r="Z480" s="6" t="n">
        <v>46180</v>
      </c>
      <c r="AA480" s="6" t="n">
        <v>46181</v>
      </c>
      <c r="AB480" s="4" t="n">
        <f aca="false">ROUND(PMT(W480/1200,X480,-V480),2)</f>
        <v>4232.1</v>
      </c>
      <c r="AC480" s="4" t="n">
        <v>0</v>
      </c>
      <c r="AD480" s="3" t="n">
        <v>0</v>
      </c>
      <c r="AE480" s="4" t="n">
        <v>47400</v>
      </c>
      <c r="AF480" s="4" t="n">
        <v>26700</v>
      </c>
      <c r="AG480" s="3" t="n">
        <v>31</v>
      </c>
      <c r="AH480" s="4" t="n">
        <v>8100</v>
      </c>
      <c r="AI480" s="3" t="n">
        <v>791</v>
      </c>
      <c r="AJ480" s="7" t="n">
        <f aca="false">ROUND(AB480/I480,4)</f>
        <v>0.3255</v>
      </c>
      <c r="AK480" s="2" t="str">
        <f aca="false">IF(AND(AI480&gt;=750,AJ480&lt;=0.35),"Low",IF(AND(AI480&gt;=600,AJ480&lt;=0.5),"Medium","High"))</f>
        <v>Low</v>
      </c>
      <c r="AL480" s="3" t="n">
        <v>1</v>
      </c>
      <c r="AM480" s="2" t="s">
        <v>58</v>
      </c>
      <c r="AN480" s="2" t="s">
        <v>59</v>
      </c>
      <c r="AO480" s="2" t="s">
        <v>60</v>
      </c>
      <c r="AP480" s="7" t="n">
        <v>0.085</v>
      </c>
    </row>
    <row r="481" customFormat="false" ht="15" hidden="false" customHeight="false" outlineLevel="0" collapsed="false">
      <c r="A481" s="2" t="s">
        <v>1966</v>
      </c>
      <c r="B481" s="2" t="s">
        <v>1967</v>
      </c>
      <c r="C481" s="2" t="s">
        <v>1968</v>
      </c>
      <c r="D481" s="2" t="s">
        <v>109</v>
      </c>
      <c r="E481" s="3" t="n">
        <v>35</v>
      </c>
      <c r="F481" s="2"/>
      <c r="G481" s="2" t="s">
        <v>110</v>
      </c>
      <c r="H481" s="2" t="s">
        <v>77</v>
      </c>
      <c r="I481" s="4" t="n">
        <v>20000</v>
      </c>
      <c r="J481" s="2" t="s">
        <v>112</v>
      </c>
      <c r="K481" s="3" t="n">
        <v>10</v>
      </c>
      <c r="L481" s="2" t="s">
        <v>91</v>
      </c>
      <c r="M481" s="2" t="s">
        <v>92</v>
      </c>
      <c r="N481" s="2" t="s">
        <v>52</v>
      </c>
      <c r="O481" s="3"/>
      <c r="P481" s="2" t="s">
        <v>82</v>
      </c>
      <c r="Q481" s="2" t="s">
        <v>83</v>
      </c>
      <c r="R481" s="2" t="s">
        <v>80</v>
      </c>
      <c r="S481" s="2" t="s">
        <v>80</v>
      </c>
      <c r="T481" s="2" t="s">
        <v>1969</v>
      </c>
      <c r="U481" s="2" t="s">
        <v>192</v>
      </c>
      <c r="V481" s="4" t="n">
        <v>382000</v>
      </c>
      <c r="W481" s="5" t="n">
        <v>11.06</v>
      </c>
      <c r="X481" s="3" t="n">
        <v>48</v>
      </c>
      <c r="Y481" s="6" t="n">
        <v>46197</v>
      </c>
      <c r="Z481" s="6" t="n">
        <v>46207</v>
      </c>
      <c r="AA481" s="6" t="n">
        <v>46210</v>
      </c>
      <c r="AB481" s="4" t="n">
        <f aca="false">ROUND(PMT(W481/1200,X481,-V481),2)</f>
        <v>9884.12</v>
      </c>
      <c r="AC481" s="4" t="n">
        <v>514000</v>
      </c>
      <c r="AD481" s="3" t="n">
        <v>1</v>
      </c>
      <c r="AE481" s="4" t="n">
        <v>58900</v>
      </c>
      <c r="AF481" s="4" t="n">
        <v>26600</v>
      </c>
      <c r="AG481" s="3" t="n">
        <v>13</v>
      </c>
      <c r="AH481" s="4" t="n">
        <v>13900</v>
      </c>
      <c r="AI481" s="3" t="n">
        <v>638</v>
      </c>
      <c r="AJ481" s="7" t="n">
        <f aca="false">ROUND(AB481/I481,4)</f>
        <v>0.4942</v>
      </c>
      <c r="AK481" s="2" t="str">
        <f aca="false">IF(AND(AI481&gt;=750,AJ481&lt;=0.35),"Low",IF(AND(AI481&gt;=600,AJ481&lt;=0.5),"Medium","High"))</f>
        <v>Medium</v>
      </c>
      <c r="AL481" s="3" t="n">
        <v>0</v>
      </c>
      <c r="AM481" s="2" t="s">
        <v>58</v>
      </c>
      <c r="AN481" s="2" t="s">
        <v>59</v>
      </c>
      <c r="AO481" s="2" t="s">
        <v>60</v>
      </c>
      <c r="AP481" s="7" t="n">
        <v>0.33</v>
      </c>
    </row>
    <row r="482" customFormat="false" ht="15" hidden="false" customHeight="false" outlineLevel="0" collapsed="false">
      <c r="A482" s="2" t="s">
        <v>1970</v>
      </c>
      <c r="B482" s="2" t="s">
        <v>1971</v>
      </c>
      <c r="C482" s="2" t="s">
        <v>1972</v>
      </c>
      <c r="D482" s="2" t="s">
        <v>45</v>
      </c>
      <c r="E482" s="3" t="n">
        <v>37</v>
      </c>
      <c r="F482" s="2" t="s">
        <v>64</v>
      </c>
      <c r="G482" s="2" t="s">
        <v>47</v>
      </c>
      <c r="H482" s="2" t="s">
        <v>48</v>
      </c>
      <c r="I482" s="4" t="n">
        <v>121500</v>
      </c>
      <c r="J482" s="2" t="s">
        <v>49</v>
      </c>
      <c r="K482" s="3" t="n">
        <v>11</v>
      </c>
      <c r="L482" s="2" t="s">
        <v>147</v>
      </c>
      <c r="M482" s="2" t="s">
        <v>147</v>
      </c>
      <c r="N482" s="2" t="s">
        <v>81</v>
      </c>
      <c r="O482" s="3" t="n">
        <v>1</v>
      </c>
      <c r="P482" s="2" t="s">
        <v>148</v>
      </c>
      <c r="Q482" s="2" t="s">
        <v>149</v>
      </c>
      <c r="R482" s="2" t="s">
        <v>147</v>
      </c>
      <c r="S482" s="2" t="s">
        <v>147</v>
      </c>
      <c r="T482" s="2" t="s">
        <v>1973</v>
      </c>
      <c r="U482" s="2" t="s">
        <v>118</v>
      </c>
      <c r="V482" s="4" t="n">
        <v>1500000</v>
      </c>
      <c r="W482" s="5" t="n">
        <v>8.3</v>
      </c>
      <c r="X482" s="3" t="n">
        <v>66</v>
      </c>
      <c r="Y482" s="6" t="n">
        <v>46200</v>
      </c>
      <c r="Z482" s="6" t="n">
        <v>46206</v>
      </c>
      <c r="AA482" s="6" t="n">
        <v>46209</v>
      </c>
      <c r="AB482" s="4" t="n">
        <f aca="false">ROUND(PMT(W482/1200,X482,-V482),2)</f>
        <v>28385.25</v>
      </c>
      <c r="AC482" s="4" t="n">
        <v>0</v>
      </c>
      <c r="AD482" s="3" t="n">
        <v>0</v>
      </c>
      <c r="AE482" s="4" t="n">
        <v>132600</v>
      </c>
      <c r="AF482" s="4"/>
      <c r="AG482" s="3" t="n">
        <v>17</v>
      </c>
      <c r="AH482" s="4" t="n">
        <v>49100</v>
      </c>
      <c r="AI482" s="3" t="n">
        <v>743</v>
      </c>
      <c r="AJ482" s="7" t="n">
        <f aca="false">ROUND(AB482/I482,4)</f>
        <v>0.2336</v>
      </c>
      <c r="AK482" s="2" t="str">
        <f aca="false">IF(AND(AI482&gt;=750,AJ482&lt;=0.35),"Low",IF(AND(AI482&gt;=600,AJ482&lt;=0.5),"Medium","High"))</f>
        <v>Medium</v>
      </c>
      <c r="AL482" s="3" t="n">
        <v>0</v>
      </c>
      <c r="AM482" s="2" t="s">
        <v>58</v>
      </c>
      <c r="AN482" s="2" t="s">
        <v>59</v>
      </c>
      <c r="AO482" s="2" t="s">
        <v>60</v>
      </c>
      <c r="AP482" s="7" t="n">
        <v>0.138</v>
      </c>
    </row>
    <row r="483" customFormat="false" ht="15" hidden="false" customHeight="false" outlineLevel="0" collapsed="false">
      <c r="A483" s="2" t="s">
        <v>1974</v>
      </c>
      <c r="B483" s="2" t="s">
        <v>1975</v>
      </c>
      <c r="C483" s="2" t="s">
        <v>359</v>
      </c>
      <c r="D483" s="2" t="s">
        <v>109</v>
      </c>
      <c r="E483" s="3" t="n">
        <v>43</v>
      </c>
      <c r="F483" s="2" t="s">
        <v>64</v>
      </c>
      <c r="G483" s="2" t="s">
        <v>110</v>
      </c>
      <c r="H483" s="2" t="s">
        <v>123</v>
      </c>
      <c r="I483" s="4" t="n">
        <v>8000</v>
      </c>
      <c r="J483" s="2" t="s">
        <v>112</v>
      </c>
      <c r="K483" s="3" t="n">
        <v>22</v>
      </c>
      <c r="L483" s="2" t="s">
        <v>556</v>
      </c>
      <c r="M483" s="2" t="s">
        <v>147</v>
      </c>
      <c r="N483" s="2" t="s">
        <v>140</v>
      </c>
      <c r="O483" s="3" t="n">
        <v>3</v>
      </c>
      <c r="P483" s="2" t="s">
        <v>148</v>
      </c>
      <c r="Q483" s="2" t="s">
        <v>149</v>
      </c>
      <c r="R483" s="2" t="s">
        <v>147</v>
      </c>
      <c r="S483" s="2" t="s">
        <v>147</v>
      </c>
      <c r="T483" s="2" t="s">
        <v>1976</v>
      </c>
      <c r="U483" s="2" t="s">
        <v>85</v>
      </c>
      <c r="V483" s="4" t="n">
        <v>51000</v>
      </c>
      <c r="W483" s="5" t="n">
        <v>9.21</v>
      </c>
      <c r="X483" s="3" t="n">
        <v>24</v>
      </c>
      <c r="Y483" s="6" t="n">
        <v>46183</v>
      </c>
      <c r="Z483" s="6" t="n">
        <v>46186</v>
      </c>
      <c r="AA483" s="6" t="n">
        <v>46188</v>
      </c>
      <c r="AB483" s="4" t="n">
        <f aca="false">ROUND(PMT(W483/1200,X483,-V483),2)</f>
        <v>2334.84</v>
      </c>
      <c r="AC483" s="4" t="n">
        <v>0</v>
      </c>
      <c r="AD483" s="3"/>
      <c r="AE483" s="4" t="n">
        <v>13400</v>
      </c>
      <c r="AF483" s="4" t="n">
        <v>3300</v>
      </c>
      <c r="AG483" s="3" t="n">
        <v>16</v>
      </c>
      <c r="AH483" s="4" t="n">
        <v>5900</v>
      </c>
      <c r="AI483" s="3" t="n">
        <v>643</v>
      </c>
      <c r="AJ483" s="7" t="n">
        <f aca="false">ROUND(AB483/I483,4)</f>
        <v>0.2919</v>
      </c>
      <c r="AK483" s="2" t="str">
        <f aca="false">IF(AND(AI483&gt;=750,AJ483&lt;=0.35),"Low",IF(AND(AI483&gt;=600,AJ483&lt;=0.5),"Medium","High"))</f>
        <v>Medium</v>
      </c>
      <c r="AL483" s="3" t="n">
        <v>1</v>
      </c>
      <c r="AM483" s="2" t="s">
        <v>58</v>
      </c>
      <c r="AN483" s="2" t="s">
        <v>119</v>
      </c>
      <c r="AO483" s="2" t="s">
        <v>60</v>
      </c>
      <c r="AP483" s="7" t="n">
        <v>0.348</v>
      </c>
    </row>
    <row r="484" customFormat="false" ht="15" hidden="false" customHeight="false" outlineLevel="0" collapsed="false">
      <c r="A484" s="2" t="s">
        <v>1977</v>
      </c>
      <c r="B484" s="2" t="s">
        <v>1040</v>
      </c>
      <c r="C484" s="2" t="s">
        <v>1628</v>
      </c>
      <c r="D484" s="2" t="s">
        <v>45</v>
      </c>
      <c r="E484" s="3" t="n">
        <v>44</v>
      </c>
      <c r="F484" s="2" t="s">
        <v>64</v>
      </c>
      <c r="G484" s="2" t="s">
        <v>65</v>
      </c>
      <c r="H484" s="2" t="s">
        <v>48</v>
      </c>
      <c r="I484" s="4" t="n">
        <v>44500</v>
      </c>
      <c r="J484" s="2" t="s">
        <v>49</v>
      </c>
      <c r="K484" s="3" t="n">
        <v>22</v>
      </c>
      <c r="L484" s="2" t="s">
        <v>1251</v>
      </c>
      <c r="M484" s="2" t="s">
        <v>51</v>
      </c>
      <c r="N484" s="2" t="s">
        <v>52</v>
      </c>
      <c r="O484" s="3" t="n">
        <v>1</v>
      </c>
      <c r="P484" s="2" t="s">
        <v>131</v>
      </c>
      <c r="Q484" s="2" t="s">
        <v>132</v>
      </c>
      <c r="R484" s="2" t="s">
        <v>51</v>
      </c>
      <c r="S484" s="2" t="s">
        <v>51</v>
      </c>
      <c r="T484" s="2" t="s">
        <v>1978</v>
      </c>
      <c r="U484" s="2" t="s">
        <v>97</v>
      </c>
      <c r="V484" s="4" t="n">
        <v>609000</v>
      </c>
      <c r="W484" s="5" t="n">
        <v>14.23</v>
      </c>
      <c r="X484" s="3" t="n">
        <v>36</v>
      </c>
      <c r="Y484" s="6" t="n">
        <v>46200</v>
      </c>
      <c r="Z484" s="6" t="n">
        <v>46201</v>
      </c>
      <c r="AA484" s="6" t="n">
        <v>46203</v>
      </c>
      <c r="AB484" s="4" t="n">
        <f aca="false">ROUND(PMT(W484/1200,X484,-V484),2)</f>
        <v>20882.27</v>
      </c>
      <c r="AC484" s="4" t="n">
        <v>0</v>
      </c>
      <c r="AD484" s="3" t="n">
        <v>2</v>
      </c>
      <c r="AE484" s="4" t="n">
        <v>169200</v>
      </c>
      <c r="AF484" s="4" t="n">
        <v>25300</v>
      </c>
      <c r="AG484" s="3" t="n">
        <v>32</v>
      </c>
      <c r="AH484" s="4" t="n">
        <v>22800</v>
      </c>
      <c r="AI484" s="3" t="n">
        <v>685</v>
      </c>
      <c r="AJ484" s="7" t="n">
        <f aca="false">ROUND(AB484/I484,4)</f>
        <v>0.4693</v>
      </c>
      <c r="AK484" s="2" t="str">
        <f aca="false">IF(AND(AI484&gt;=750,AJ484&lt;=0.35),"Low",IF(AND(AI484&gt;=600,AJ484&lt;=0.5),"Medium","High"))</f>
        <v>Medium</v>
      </c>
      <c r="AL484" s="3" t="n">
        <v>2</v>
      </c>
      <c r="AM484" s="2" t="s">
        <v>233</v>
      </c>
      <c r="AN484" s="2" t="s">
        <v>59</v>
      </c>
      <c r="AO484" s="2" t="s">
        <v>86</v>
      </c>
      <c r="AP484" s="7" t="n">
        <v>0.375</v>
      </c>
    </row>
    <row r="485" customFormat="false" ht="15" hidden="false" customHeight="false" outlineLevel="0" collapsed="false">
      <c r="A485" s="2" t="s">
        <v>1979</v>
      </c>
      <c r="B485" s="2" t="s">
        <v>1980</v>
      </c>
      <c r="C485" s="2" t="s">
        <v>1981</v>
      </c>
      <c r="D485" s="2" t="s">
        <v>109</v>
      </c>
      <c r="E485" s="3" t="n">
        <v>51</v>
      </c>
      <c r="F485" s="2" t="s">
        <v>64</v>
      </c>
      <c r="G485" s="2" t="s">
        <v>176</v>
      </c>
      <c r="H485" s="2" t="s">
        <v>77</v>
      </c>
      <c r="I485" s="4" t="n">
        <v>74000</v>
      </c>
      <c r="J485" s="2" t="s">
        <v>177</v>
      </c>
      <c r="K485" s="3" t="n">
        <v>25</v>
      </c>
      <c r="L485" s="2" t="s">
        <v>279</v>
      </c>
      <c r="M485" s="2" t="s">
        <v>51</v>
      </c>
      <c r="N485" s="2" t="s">
        <v>52</v>
      </c>
      <c r="O485" s="3" t="n">
        <v>2</v>
      </c>
      <c r="P485" s="2" t="s">
        <v>68</v>
      </c>
      <c r="Q485" s="2" t="s">
        <v>69</v>
      </c>
      <c r="R485" s="2" t="s">
        <v>70</v>
      </c>
      <c r="S485" s="2" t="s">
        <v>67</v>
      </c>
      <c r="T485" s="2" t="s">
        <v>1982</v>
      </c>
      <c r="U485" s="2" t="s">
        <v>192</v>
      </c>
      <c r="V485" s="4" t="n">
        <v>1320000</v>
      </c>
      <c r="W485" s="5" t="n">
        <v>12</v>
      </c>
      <c r="X485" s="3" t="n">
        <v>60</v>
      </c>
      <c r="Y485" s="6" t="n">
        <v>46191</v>
      </c>
      <c r="Z485" s="6" t="n">
        <v>46200</v>
      </c>
      <c r="AA485" s="6" t="n">
        <v>46201</v>
      </c>
      <c r="AB485" s="4" t="n">
        <f aca="false">ROUND(PMT(W485/1200,X485,-V485),2)</f>
        <v>29362.67</v>
      </c>
      <c r="AC485" s="4" t="n">
        <v>1563000</v>
      </c>
      <c r="AD485" s="3" t="n">
        <v>0</v>
      </c>
      <c r="AE485" s="4" t="n">
        <v>245500</v>
      </c>
      <c r="AF485" s="4" t="n">
        <v>70000</v>
      </c>
      <c r="AG485" s="3" t="n">
        <v>29</v>
      </c>
      <c r="AH485" s="4" t="n">
        <v>60600</v>
      </c>
      <c r="AI485" s="3" t="n">
        <v>659</v>
      </c>
      <c r="AJ485" s="7" t="n">
        <f aca="false">ROUND(AB485/I485,4)</f>
        <v>0.3968</v>
      </c>
      <c r="AK485" s="2" t="str">
        <f aca="false">IF(AND(AI485&gt;=750,AJ485&lt;=0.35),"Low",IF(AND(AI485&gt;=600,AJ485&lt;=0.5),"Medium","High"))</f>
        <v>Medium</v>
      </c>
      <c r="AL485" s="3" t="n">
        <v>1</v>
      </c>
      <c r="AM485" s="2" t="s">
        <v>58</v>
      </c>
      <c r="AN485" s="2" t="s">
        <v>59</v>
      </c>
      <c r="AO485" s="2" t="s">
        <v>86</v>
      </c>
      <c r="AP485" s="7" t="n">
        <v>0.239</v>
      </c>
    </row>
    <row r="486" customFormat="false" ht="15" hidden="false" customHeight="false" outlineLevel="0" collapsed="false">
      <c r="A486" s="2" t="s">
        <v>1983</v>
      </c>
      <c r="B486" s="2" t="s">
        <v>1984</v>
      </c>
      <c r="C486" s="2" t="s">
        <v>1105</v>
      </c>
      <c r="D486" s="2" t="s">
        <v>45</v>
      </c>
      <c r="E486" s="3" t="n">
        <v>28</v>
      </c>
      <c r="F486" s="2" t="s">
        <v>64</v>
      </c>
      <c r="G486" s="2" t="s">
        <v>176</v>
      </c>
      <c r="H486" s="2" t="s">
        <v>77</v>
      </c>
      <c r="I486" s="4" t="n">
        <v>72000</v>
      </c>
      <c r="J486" s="2" t="s">
        <v>177</v>
      </c>
      <c r="K486" s="3"/>
      <c r="L486" s="2" t="s">
        <v>188</v>
      </c>
      <c r="M486" s="2" t="s">
        <v>51</v>
      </c>
      <c r="N486" s="2" t="s">
        <v>140</v>
      </c>
      <c r="O486" s="3" t="n">
        <v>3</v>
      </c>
      <c r="P486" s="2" t="s">
        <v>131</v>
      </c>
      <c r="Q486" s="2" t="s">
        <v>132</v>
      </c>
      <c r="R486" s="2" t="s">
        <v>51</v>
      </c>
      <c r="S486" s="2" t="s">
        <v>51</v>
      </c>
      <c r="T486" s="2" t="s">
        <v>1985</v>
      </c>
      <c r="U486" s="2" t="s">
        <v>118</v>
      </c>
      <c r="V486" s="4" t="n">
        <v>577000</v>
      </c>
      <c r="W486" s="5" t="n">
        <v>9.41</v>
      </c>
      <c r="X486" s="3" t="n">
        <v>36</v>
      </c>
      <c r="Y486" s="6" t="n">
        <v>46186</v>
      </c>
      <c r="Z486" s="6" t="n">
        <v>46188</v>
      </c>
      <c r="AA486" s="6" t="n">
        <v>46192</v>
      </c>
      <c r="AB486" s="4" t="n">
        <f aca="false">ROUND(PMT(W486/1200,X486,-V486),2)</f>
        <v>18458.75</v>
      </c>
      <c r="AC486" s="4" t="n">
        <v>0</v>
      </c>
      <c r="AD486" s="3" t="n">
        <v>2</v>
      </c>
      <c r="AE486" s="4"/>
      <c r="AF486" s="4" t="n">
        <v>72000</v>
      </c>
      <c r="AG486" s="3" t="n">
        <v>10</v>
      </c>
      <c r="AH486" s="4" t="n">
        <v>48200</v>
      </c>
      <c r="AI486" s="3" t="n">
        <v>796</v>
      </c>
      <c r="AJ486" s="7" t="n">
        <f aca="false">ROUND(AB486/I486,4)</f>
        <v>0.2564</v>
      </c>
      <c r="AK486" s="2" t="str">
        <f aca="false">IF(AND(AI486&gt;=750,AJ486&lt;=0.35),"Low",IF(AND(AI486&gt;=600,AJ486&lt;=0.5),"Medium","High"))</f>
        <v>Low</v>
      </c>
      <c r="AL486" s="3" t="n">
        <v>2</v>
      </c>
      <c r="AM486" s="2" t="s">
        <v>58</v>
      </c>
      <c r="AN486" s="2" t="s">
        <v>59</v>
      </c>
      <c r="AO486" s="2" t="s">
        <v>60</v>
      </c>
      <c r="AP486" s="7" t="n">
        <v>0.186</v>
      </c>
    </row>
    <row r="487" customFormat="false" ht="15" hidden="false" customHeight="false" outlineLevel="0" collapsed="false">
      <c r="A487" s="2" t="s">
        <v>1986</v>
      </c>
      <c r="B487" s="2" t="s">
        <v>396</v>
      </c>
      <c r="C487" s="2" t="s">
        <v>1987</v>
      </c>
      <c r="D487" s="2" t="s">
        <v>45</v>
      </c>
      <c r="E487" s="3" t="n">
        <v>43</v>
      </c>
      <c r="F487" s="2" t="s">
        <v>175</v>
      </c>
      <c r="G487" s="2" t="s">
        <v>76</v>
      </c>
      <c r="H487" s="2" t="s">
        <v>77</v>
      </c>
      <c r="I487" s="4" t="n">
        <v>75500</v>
      </c>
      <c r="J487" s="2" t="s">
        <v>78</v>
      </c>
      <c r="K487" s="3" t="n">
        <v>22</v>
      </c>
      <c r="L487" s="2" t="s">
        <v>139</v>
      </c>
      <c r="M487" s="2" t="s">
        <v>139</v>
      </c>
      <c r="N487" s="2" t="s">
        <v>140</v>
      </c>
      <c r="O487" s="3" t="n">
        <v>1</v>
      </c>
      <c r="P487" s="2" t="s">
        <v>197</v>
      </c>
      <c r="Q487" s="2" t="s">
        <v>198</v>
      </c>
      <c r="R487" s="2" t="s">
        <v>139</v>
      </c>
      <c r="S487" s="2" t="s">
        <v>139</v>
      </c>
      <c r="T487" s="2" t="s">
        <v>1988</v>
      </c>
      <c r="U487" s="2" t="s">
        <v>57</v>
      </c>
      <c r="V487" s="4" t="n">
        <v>3559000</v>
      </c>
      <c r="W487" s="5" t="n">
        <v>9.32</v>
      </c>
      <c r="X487" s="3" t="n">
        <v>270</v>
      </c>
      <c r="Y487" s="6" t="n">
        <v>46187</v>
      </c>
      <c r="Z487" s="6" t="n">
        <v>46192</v>
      </c>
      <c r="AA487" s="6" t="n">
        <v>46197</v>
      </c>
      <c r="AB487" s="4" t="n">
        <f aca="false">ROUND(PMT(W487/1200,X487,-V487),2)</f>
        <v>31547.94</v>
      </c>
      <c r="AC487" s="4" t="n">
        <v>3918000</v>
      </c>
      <c r="AD487" s="3" t="n">
        <v>0</v>
      </c>
      <c r="AE487" s="4" t="n">
        <v>263500</v>
      </c>
      <c r="AF487" s="4" t="n">
        <v>116800</v>
      </c>
      <c r="AG487" s="3" t="n">
        <v>32</v>
      </c>
      <c r="AH487" s="4" t="n">
        <v>54100</v>
      </c>
      <c r="AI487" s="3" t="n">
        <v>788</v>
      </c>
      <c r="AJ487" s="7" t="n">
        <f aca="false">ROUND(AB487/I487,4)</f>
        <v>0.4179</v>
      </c>
      <c r="AK487" s="2" t="str">
        <f aca="false">IF(AND(AI487&gt;=750,AJ487&lt;=0.35),"Low",IF(AND(AI487&gt;=600,AJ487&lt;=0.5),"Medium","High"))</f>
        <v>Medium</v>
      </c>
      <c r="AL487" s="3" t="n">
        <v>1</v>
      </c>
      <c r="AM487" s="2" t="s">
        <v>58</v>
      </c>
      <c r="AN487" s="2" t="s">
        <v>119</v>
      </c>
      <c r="AO487" s="2" t="s">
        <v>60</v>
      </c>
      <c r="AP487" s="7" t="n">
        <v>0.144</v>
      </c>
    </row>
    <row r="488" customFormat="false" ht="15" hidden="false" customHeight="false" outlineLevel="0" collapsed="false">
      <c r="A488" s="2" t="s">
        <v>1989</v>
      </c>
      <c r="B488" s="2" t="s">
        <v>1990</v>
      </c>
      <c r="C488" s="2" t="s">
        <v>1991</v>
      </c>
      <c r="D488" s="2" t="s">
        <v>109</v>
      </c>
      <c r="E488" s="3" t="n">
        <v>34</v>
      </c>
      <c r="F488" s="2" t="s">
        <v>46</v>
      </c>
      <c r="G488" s="2" t="s">
        <v>154</v>
      </c>
      <c r="H488" s="2" t="s">
        <v>77</v>
      </c>
      <c r="I488" s="4" t="n">
        <v>46000</v>
      </c>
      <c r="J488" s="2" t="s">
        <v>145</v>
      </c>
      <c r="K488" s="3" t="n">
        <v>12</v>
      </c>
      <c r="L488" s="2" t="s">
        <v>55</v>
      </c>
      <c r="M488" s="2" t="s">
        <v>51</v>
      </c>
      <c r="N488" s="2" t="s">
        <v>52</v>
      </c>
      <c r="O488" s="3"/>
      <c r="P488" s="2" t="s">
        <v>53</v>
      </c>
      <c r="Q488" s="2" t="s">
        <v>54</v>
      </c>
      <c r="R488" s="2" t="s">
        <v>55</v>
      </c>
      <c r="S488" s="2" t="s">
        <v>51</v>
      </c>
      <c r="T488" s="2" t="s">
        <v>1992</v>
      </c>
      <c r="U488" s="2" t="s">
        <v>118</v>
      </c>
      <c r="V488" s="4" t="n">
        <v>726000</v>
      </c>
      <c r="W488" s="5" t="n">
        <v>9.37</v>
      </c>
      <c r="X488" s="3" t="n">
        <v>54</v>
      </c>
      <c r="Y488" s="6" t="n">
        <v>46189</v>
      </c>
      <c r="Z488" s="6"/>
      <c r="AA488" s="6"/>
      <c r="AB488" s="4" t="n">
        <f aca="false">ROUND(PMT(W488/1200,X488,-V488),2)</f>
        <v>16529.13</v>
      </c>
      <c r="AC488" s="4" t="n">
        <v>0</v>
      </c>
      <c r="AD488" s="3" t="n">
        <v>0</v>
      </c>
      <c r="AE488" s="4" t="n">
        <v>31100</v>
      </c>
      <c r="AF488" s="4" t="n">
        <v>16700</v>
      </c>
      <c r="AG488" s="3" t="n">
        <v>36</v>
      </c>
      <c r="AH488" s="4" t="n">
        <v>16600</v>
      </c>
      <c r="AI488" s="3" t="n">
        <v>900</v>
      </c>
      <c r="AJ488" s="7" t="n">
        <f aca="false">ROUND(AB488/I488,4)</f>
        <v>0.3593</v>
      </c>
      <c r="AK488" s="2" t="str">
        <f aca="false">IF(AND(AI488&gt;=750,AJ488&lt;=0.35),"Low",IF(AND(AI488&gt;=600,AJ488&lt;=0.5),"Medium","High"))</f>
        <v>Medium</v>
      </c>
      <c r="AL488" s="3" t="n">
        <v>0</v>
      </c>
      <c r="AM488" s="2" t="s">
        <v>58</v>
      </c>
      <c r="AN488" s="2"/>
      <c r="AO488" s="2" t="s">
        <v>127</v>
      </c>
      <c r="AP488" s="7" t="n">
        <v>0.015</v>
      </c>
    </row>
    <row r="489" customFormat="false" ht="15" hidden="false" customHeight="false" outlineLevel="0" collapsed="false">
      <c r="A489" s="2" t="s">
        <v>1993</v>
      </c>
      <c r="B489" s="2" t="s">
        <v>1316</v>
      </c>
      <c r="C489" s="2" t="s">
        <v>1994</v>
      </c>
      <c r="D489" s="2" t="s">
        <v>109</v>
      </c>
      <c r="E489" s="3" t="n">
        <v>46</v>
      </c>
      <c r="F489" s="2" t="s">
        <v>64</v>
      </c>
      <c r="G489" s="2" t="s">
        <v>246</v>
      </c>
      <c r="H489" s="2" t="s">
        <v>123</v>
      </c>
      <c r="I489" s="4" t="n">
        <v>13000</v>
      </c>
      <c r="J489" s="2" t="s">
        <v>145</v>
      </c>
      <c r="K489" s="3" t="n">
        <v>22</v>
      </c>
      <c r="L489" s="2" t="s">
        <v>476</v>
      </c>
      <c r="M489" s="2" t="s">
        <v>67</v>
      </c>
      <c r="N489" s="2" t="s">
        <v>81</v>
      </c>
      <c r="O489" s="3" t="n">
        <v>2</v>
      </c>
      <c r="P489" s="2" t="s">
        <v>103</v>
      </c>
      <c r="Q489" s="2" t="s">
        <v>104</v>
      </c>
      <c r="R489" s="2" t="s">
        <v>67</v>
      </c>
      <c r="S489" s="2" t="s">
        <v>67</v>
      </c>
      <c r="T489" s="2" t="s">
        <v>1995</v>
      </c>
      <c r="U489" s="2" t="s">
        <v>85</v>
      </c>
      <c r="V489" s="4" t="n">
        <v>50000</v>
      </c>
      <c r="W489" s="5" t="n">
        <v>8.9</v>
      </c>
      <c r="X489" s="3" t="n">
        <v>30</v>
      </c>
      <c r="Y489" s="6" t="n">
        <v>46187</v>
      </c>
      <c r="Z489" s="6" t="n">
        <v>46196</v>
      </c>
      <c r="AA489" s="6" t="n">
        <v>46201</v>
      </c>
      <c r="AB489" s="4" t="n">
        <f aca="false">ROUND(PMT(W489/1200,X489,-V489),2)</f>
        <v>1865.1</v>
      </c>
      <c r="AC489" s="4" t="n">
        <v>0</v>
      </c>
      <c r="AD489" s="3" t="n">
        <v>0</v>
      </c>
      <c r="AE489" s="4" t="n">
        <v>27500</v>
      </c>
      <c r="AF489" s="4" t="n">
        <v>10300</v>
      </c>
      <c r="AG489" s="3" t="n">
        <v>33</v>
      </c>
      <c r="AH489" s="4" t="n">
        <v>13800</v>
      </c>
      <c r="AI489" s="3" t="n">
        <v>780</v>
      </c>
      <c r="AJ489" s="7" t="n">
        <f aca="false">ROUND(AB489/I489,4)</f>
        <v>0.1435</v>
      </c>
      <c r="AK489" s="2" t="str">
        <f aca="false">IF(AND(AI489&gt;=750,AJ489&lt;=0.35),"Low",IF(AND(AI489&gt;=600,AJ489&lt;=0.5),"Medium","High"))</f>
        <v>Low</v>
      </c>
      <c r="AL489" s="3" t="n">
        <v>0</v>
      </c>
      <c r="AM489" s="2" t="s">
        <v>58</v>
      </c>
      <c r="AN489" s="2" t="s">
        <v>59</v>
      </c>
      <c r="AO489" s="2" t="s">
        <v>60</v>
      </c>
      <c r="AP489" s="7" t="n">
        <v>0.141</v>
      </c>
    </row>
    <row r="490" customFormat="false" ht="15" hidden="false" customHeight="false" outlineLevel="0" collapsed="false">
      <c r="A490" s="2" t="s">
        <v>1996</v>
      </c>
      <c r="B490" s="2" t="s">
        <v>1997</v>
      </c>
      <c r="C490" s="2" t="s">
        <v>1998</v>
      </c>
      <c r="D490" s="2" t="s">
        <v>109</v>
      </c>
      <c r="E490" s="3" t="n">
        <v>29</v>
      </c>
      <c r="F490" s="2" t="s">
        <v>64</v>
      </c>
      <c r="G490" s="2" t="s">
        <v>110</v>
      </c>
      <c r="H490" s="2" t="s">
        <v>111</v>
      </c>
      <c r="I490" s="4" t="n">
        <v>14500</v>
      </c>
      <c r="J490" s="2" t="s">
        <v>112</v>
      </c>
      <c r="K490" s="3" t="n">
        <v>3</v>
      </c>
      <c r="L490" s="2" t="s">
        <v>91</v>
      </c>
      <c r="M490" s="2" t="s">
        <v>92</v>
      </c>
      <c r="N490" s="2" t="s">
        <v>102</v>
      </c>
      <c r="O490" s="3" t="n">
        <v>0</v>
      </c>
      <c r="P490" s="2" t="s">
        <v>93</v>
      </c>
      <c r="Q490" s="2" t="s">
        <v>94</v>
      </c>
      <c r="R490" s="2" t="s">
        <v>95</v>
      </c>
      <c r="S490" s="2" t="s">
        <v>92</v>
      </c>
      <c r="T490" s="2" t="s">
        <v>1999</v>
      </c>
      <c r="U490" s="2" t="s">
        <v>85</v>
      </c>
      <c r="V490" s="4" t="n">
        <v>50000</v>
      </c>
      <c r="W490" s="5" t="n">
        <v>9.77</v>
      </c>
      <c r="X490" s="3" t="n">
        <v>12</v>
      </c>
      <c r="Y490" s="6" t="n">
        <v>46185</v>
      </c>
      <c r="Z490" s="6" t="n">
        <v>46188</v>
      </c>
      <c r="AA490" s="6" t="n">
        <v>46191</v>
      </c>
      <c r="AB490" s="4" t="n">
        <f aca="false">ROUND(PMT(W490/1200,X490,-V490),2)</f>
        <v>4390.45</v>
      </c>
      <c r="AC490" s="4" t="n">
        <v>0</v>
      </c>
      <c r="AD490" s="3" t="n">
        <v>0</v>
      </c>
      <c r="AE490" s="4" t="n">
        <v>15700</v>
      </c>
      <c r="AF490" s="4" t="n">
        <v>4800</v>
      </c>
      <c r="AG490" s="3" t="n">
        <v>35</v>
      </c>
      <c r="AH490" s="4" t="n">
        <v>7000</v>
      </c>
      <c r="AI490" s="3" t="n">
        <v>617</v>
      </c>
      <c r="AJ490" s="7" t="n">
        <f aca="false">ROUND(AB490/I490,4)</f>
        <v>0.3028</v>
      </c>
      <c r="AK490" s="2" t="str">
        <f aca="false">IF(AND(AI490&gt;=750,AJ490&lt;=0.35),"Low",IF(AND(AI490&gt;=600,AJ490&lt;=0.5),"Medium","High"))</f>
        <v>Medium</v>
      </c>
      <c r="AL490" s="3" t="n">
        <v>0</v>
      </c>
      <c r="AM490" s="2" t="s">
        <v>233</v>
      </c>
      <c r="AN490" s="2" t="s">
        <v>59</v>
      </c>
      <c r="AO490" s="2" t="s">
        <v>60</v>
      </c>
      <c r="AP490" s="7" t="n">
        <v>0.328</v>
      </c>
    </row>
    <row r="491" customFormat="false" ht="15" hidden="false" customHeight="false" outlineLevel="0" collapsed="false">
      <c r="A491" s="2" t="s">
        <v>2000</v>
      </c>
      <c r="B491" s="2" t="s">
        <v>2001</v>
      </c>
      <c r="C491" s="2" t="s">
        <v>2002</v>
      </c>
      <c r="D491" s="2" t="s">
        <v>109</v>
      </c>
      <c r="E491" s="3" t="n">
        <v>22</v>
      </c>
      <c r="F491" s="2" t="s">
        <v>64</v>
      </c>
      <c r="G491" s="2" t="s">
        <v>207</v>
      </c>
      <c r="H491" s="2" t="s">
        <v>101</v>
      </c>
      <c r="I491" s="4" t="n">
        <v>59500</v>
      </c>
      <c r="J491" s="2" t="s">
        <v>49</v>
      </c>
      <c r="K491" s="3" t="n">
        <v>1</v>
      </c>
      <c r="L491" s="2" t="s">
        <v>147</v>
      </c>
      <c r="M491" s="2" t="s">
        <v>147</v>
      </c>
      <c r="N491" s="2" t="s">
        <v>52</v>
      </c>
      <c r="O491" s="3" t="n">
        <v>1</v>
      </c>
      <c r="P491" s="2" t="s">
        <v>148</v>
      </c>
      <c r="Q491" s="2" t="s">
        <v>149</v>
      </c>
      <c r="R491" s="2" t="s">
        <v>147</v>
      </c>
      <c r="S491" s="2" t="s">
        <v>147</v>
      </c>
      <c r="T491" s="2" t="s">
        <v>2003</v>
      </c>
      <c r="U491" s="2" t="s">
        <v>118</v>
      </c>
      <c r="V491" s="4" t="n">
        <v>808000</v>
      </c>
      <c r="W491" s="5" t="n">
        <v>9.28</v>
      </c>
      <c r="X491" s="3" t="n">
        <v>48</v>
      </c>
      <c r="Y491" s="6" t="n">
        <v>46176</v>
      </c>
      <c r="Z491" s="6" t="n">
        <v>46186</v>
      </c>
      <c r="AA491" s="6" t="n">
        <v>46188</v>
      </c>
      <c r="AB491" s="4" t="n">
        <f aca="false">ROUND(PMT(W491/1200,X491,-V491),2)</f>
        <v>20214.71</v>
      </c>
      <c r="AC491" s="4" t="n">
        <v>0</v>
      </c>
      <c r="AD491" s="3" t="n">
        <v>2</v>
      </c>
      <c r="AE491" s="4" t="n">
        <v>151200</v>
      </c>
      <c r="AF491" s="4" t="n">
        <v>45500</v>
      </c>
      <c r="AG491" s="3" t="n">
        <v>39</v>
      </c>
      <c r="AH491" s="4" t="n">
        <v>63000</v>
      </c>
      <c r="AI491" s="3" t="n">
        <v>623</v>
      </c>
      <c r="AJ491" s="7" t="n">
        <f aca="false">ROUND(AB491/I491,4)</f>
        <v>0.3397</v>
      </c>
      <c r="AK491" s="2" t="str">
        <f aca="false">IF(AND(AI491&gt;=750,AJ491&lt;=0.35),"Low",IF(AND(AI491&gt;=600,AJ491&lt;=0.5),"Medium","High"))</f>
        <v>Medium</v>
      </c>
      <c r="AL491" s="3" t="n">
        <v>1</v>
      </c>
      <c r="AM491" s="2" t="s">
        <v>58</v>
      </c>
      <c r="AN491" s="2" t="s">
        <v>59</v>
      </c>
      <c r="AO491" s="2" t="s">
        <v>60</v>
      </c>
      <c r="AP491" s="7" t="n">
        <v>0.312</v>
      </c>
    </row>
    <row r="492" customFormat="false" ht="15" hidden="false" customHeight="false" outlineLevel="0" collapsed="false">
      <c r="A492" s="2" t="s">
        <v>2004</v>
      </c>
      <c r="B492" s="2" t="s">
        <v>797</v>
      </c>
      <c r="C492" s="2" t="s">
        <v>507</v>
      </c>
      <c r="D492" s="2" t="s">
        <v>45</v>
      </c>
      <c r="E492" s="3" t="n">
        <v>29</v>
      </c>
      <c r="F492" s="2" t="s">
        <v>64</v>
      </c>
      <c r="G492" s="2" t="s">
        <v>65</v>
      </c>
      <c r="H492" s="2" t="s">
        <v>101</v>
      </c>
      <c r="I492" s="4" t="n">
        <v>56500</v>
      </c>
      <c r="J492" s="2" t="s">
        <v>49</v>
      </c>
      <c r="K492" s="3" t="n">
        <v>1</v>
      </c>
      <c r="L492" s="2" t="s">
        <v>1251</v>
      </c>
      <c r="M492" s="2" t="s">
        <v>51</v>
      </c>
      <c r="N492" s="2"/>
      <c r="O492" s="3" t="n">
        <v>4</v>
      </c>
      <c r="P492" s="2" t="s">
        <v>131</v>
      </c>
      <c r="Q492" s="2" t="s">
        <v>132</v>
      </c>
      <c r="R492" s="2" t="s">
        <v>51</v>
      </c>
      <c r="S492" s="2" t="s">
        <v>51</v>
      </c>
      <c r="T492" s="2" t="s">
        <v>2005</v>
      </c>
      <c r="U492" s="2" t="s">
        <v>118</v>
      </c>
      <c r="V492" s="4" t="n">
        <v>285000</v>
      </c>
      <c r="W492" s="5" t="n">
        <v>9.86</v>
      </c>
      <c r="X492" s="3" t="n">
        <v>24</v>
      </c>
      <c r="Y492" s="6" t="n">
        <v>46174</v>
      </c>
      <c r="Z492" s="6" t="n">
        <v>46177</v>
      </c>
      <c r="AA492" s="6" t="n">
        <v>46178</v>
      </c>
      <c r="AB492" s="4" t="n">
        <f aca="false">ROUND(PMT(W492/1200,X492,-V492),2)</f>
        <v>13132.9</v>
      </c>
      <c r="AC492" s="4" t="n">
        <v>0</v>
      </c>
      <c r="AD492" s="3" t="n">
        <v>1</v>
      </c>
      <c r="AE492" s="4"/>
      <c r="AF492" s="4" t="n">
        <v>34900</v>
      </c>
      <c r="AG492" s="3" t="n">
        <v>22</v>
      </c>
      <c r="AH492" s="4" t="n">
        <v>19000</v>
      </c>
      <c r="AI492" s="3" t="n">
        <v>614</v>
      </c>
      <c r="AJ492" s="7" t="n">
        <f aca="false">ROUND(AB492/I492,4)</f>
        <v>0.2324</v>
      </c>
      <c r="AK492" s="2" t="str">
        <f aca="false">IF(AND(AI492&gt;=750,AJ492&lt;=0.35),"Low",IF(AND(AI492&gt;=600,AJ492&lt;=0.5),"Medium","High"))</f>
        <v>Medium</v>
      </c>
      <c r="AL492" s="3" t="n">
        <v>2</v>
      </c>
      <c r="AM492" s="2" t="s">
        <v>58</v>
      </c>
      <c r="AN492" s="2" t="s">
        <v>119</v>
      </c>
      <c r="AO492" s="2" t="s">
        <v>60</v>
      </c>
      <c r="AP492" s="7" t="n">
        <v>0.321</v>
      </c>
    </row>
    <row r="493" customFormat="false" ht="15" hidden="false" customHeight="false" outlineLevel="0" collapsed="false">
      <c r="A493" s="2" t="s">
        <v>2006</v>
      </c>
      <c r="B493" s="2" t="s">
        <v>1258</v>
      </c>
      <c r="C493" s="2" t="s">
        <v>2007</v>
      </c>
      <c r="D493" s="2" t="s">
        <v>45</v>
      </c>
      <c r="E493" s="3" t="n">
        <v>25</v>
      </c>
      <c r="F493" s="2" t="s">
        <v>46</v>
      </c>
      <c r="G493" s="2" t="s">
        <v>90</v>
      </c>
      <c r="H493" s="2" t="s">
        <v>48</v>
      </c>
      <c r="I493" s="4" t="n">
        <v>18000</v>
      </c>
      <c r="J493" s="2" t="s">
        <v>90</v>
      </c>
      <c r="K493" s="3" t="n">
        <v>1</v>
      </c>
      <c r="L493" s="2" t="s">
        <v>241</v>
      </c>
      <c r="M493" s="2" t="s">
        <v>92</v>
      </c>
      <c r="N493" s="2" t="s">
        <v>102</v>
      </c>
      <c r="O493" s="3" t="n">
        <v>0</v>
      </c>
      <c r="P493" s="2" t="s">
        <v>169</v>
      </c>
      <c r="Q493" s="2" t="s">
        <v>170</v>
      </c>
      <c r="R493" s="2" t="s">
        <v>92</v>
      </c>
      <c r="S493" s="2" t="s">
        <v>92</v>
      </c>
      <c r="T493" s="2" t="s">
        <v>2008</v>
      </c>
      <c r="U493" s="2" t="s">
        <v>180</v>
      </c>
      <c r="V493" s="4" t="n">
        <v>300000</v>
      </c>
      <c r="W493" s="5" t="n">
        <v>10.82</v>
      </c>
      <c r="X493" s="3" t="n">
        <v>54</v>
      </c>
      <c r="Y493" s="6" t="n">
        <v>46186</v>
      </c>
      <c r="Z493" s="6"/>
      <c r="AA493" s="6"/>
      <c r="AB493" s="4" t="n">
        <f aca="false">ROUND(PMT(W493/1200,X493,-V493),2)</f>
        <v>7041.9</v>
      </c>
      <c r="AC493" s="4" t="n">
        <v>303000</v>
      </c>
      <c r="AD493" s="3" t="n">
        <v>1</v>
      </c>
      <c r="AE493" s="4" t="n">
        <v>60200</v>
      </c>
      <c r="AF493" s="4" t="n">
        <v>34800</v>
      </c>
      <c r="AG493" s="3" t="n">
        <v>52</v>
      </c>
      <c r="AH493" s="4" t="n">
        <v>18700</v>
      </c>
      <c r="AI493" s="3" t="n">
        <v>720</v>
      </c>
      <c r="AJ493" s="7" t="n">
        <f aca="false">ROUND(AB493/I493,4)</f>
        <v>0.3912</v>
      </c>
      <c r="AK493" s="2" t="str">
        <f aca="false">IF(AND(AI493&gt;=750,AJ493&lt;=0.35),"Low",IF(AND(AI493&gt;=600,AJ493&lt;=0.5),"Medium","High"))</f>
        <v>Medium</v>
      </c>
      <c r="AL493" s="3" t="n">
        <v>3</v>
      </c>
      <c r="AM493" s="2" t="s">
        <v>233</v>
      </c>
      <c r="AN493" s="2"/>
      <c r="AO493" s="2" t="s">
        <v>134</v>
      </c>
      <c r="AP493" s="7" t="n">
        <v>0.344</v>
      </c>
    </row>
    <row r="494" customFormat="false" ht="15" hidden="false" customHeight="false" outlineLevel="0" collapsed="false">
      <c r="A494" s="2" t="s">
        <v>2009</v>
      </c>
      <c r="B494" s="2" t="s">
        <v>2010</v>
      </c>
      <c r="C494" s="2" t="s">
        <v>2011</v>
      </c>
      <c r="D494" s="2" t="s">
        <v>109</v>
      </c>
      <c r="E494" s="3" t="n">
        <v>38</v>
      </c>
      <c r="F494" s="2" t="s">
        <v>64</v>
      </c>
      <c r="G494" s="2" t="s">
        <v>47</v>
      </c>
      <c r="H494" s="2" t="s">
        <v>101</v>
      </c>
      <c r="I494" s="4" t="n">
        <v>162500</v>
      </c>
      <c r="J494" s="2" t="s">
        <v>49</v>
      </c>
      <c r="K494" s="3" t="n">
        <v>18</v>
      </c>
      <c r="L494" s="2" t="s">
        <v>211</v>
      </c>
      <c r="M494" s="2" t="s">
        <v>147</v>
      </c>
      <c r="N494" s="2" t="s">
        <v>81</v>
      </c>
      <c r="O494" s="3" t="n">
        <v>1</v>
      </c>
      <c r="P494" s="2" t="s">
        <v>148</v>
      </c>
      <c r="Q494" s="2" t="s">
        <v>149</v>
      </c>
      <c r="R494" s="2" t="s">
        <v>147</v>
      </c>
      <c r="S494" s="2" t="s">
        <v>147</v>
      </c>
      <c r="T494" s="2" t="s">
        <v>2012</v>
      </c>
      <c r="U494" s="2" t="s">
        <v>118</v>
      </c>
      <c r="V494" s="4" t="n">
        <v>1500000</v>
      </c>
      <c r="W494" s="5" t="n">
        <v>8.41</v>
      </c>
      <c r="X494" s="3" t="n">
        <v>54</v>
      </c>
      <c r="Y494" s="6" t="n">
        <v>46177</v>
      </c>
      <c r="Z494" s="6" t="n">
        <v>46183</v>
      </c>
      <c r="AA494" s="6" t="n">
        <v>46188</v>
      </c>
      <c r="AB494" s="4" t="n">
        <f aca="false">ROUND(PMT(W494/1200,X494,-V494),2)</f>
        <v>33460.85</v>
      </c>
      <c r="AC494" s="4" t="n">
        <v>0</v>
      </c>
      <c r="AD494" s="3" t="n">
        <v>2</v>
      </c>
      <c r="AE494" s="4" t="n">
        <v>105900</v>
      </c>
      <c r="AF494" s="4" t="n">
        <v>29000</v>
      </c>
      <c r="AG494" s="3" t="n">
        <v>2</v>
      </c>
      <c r="AH494" s="4" t="n">
        <v>72000</v>
      </c>
      <c r="AI494" s="3" t="n">
        <v>685</v>
      </c>
      <c r="AJ494" s="7" t="n">
        <f aca="false">ROUND(AB494/I494,4)</f>
        <v>0.2059</v>
      </c>
      <c r="AK494" s="2" t="str">
        <f aca="false">IF(AND(AI494&gt;=750,AJ494&lt;=0.35),"Low",IF(AND(AI494&gt;=600,AJ494&lt;=0.5),"Medium","High"))</f>
        <v>Medium</v>
      </c>
      <c r="AL494" s="3" t="n">
        <v>0</v>
      </c>
      <c r="AM494" s="2" t="s">
        <v>58</v>
      </c>
      <c r="AN494" s="2" t="s">
        <v>119</v>
      </c>
      <c r="AO494" s="2" t="s">
        <v>60</v>
      </c>
      <c r="AP494" s="7" t="n">
        <v>0.238</v>
      </c>
    </row>
    <row r="495" customFormat="false" ht="15" hidden="false" customHeight="false" outlineLevel="0" collapsed="false">
      <c r="A495" s="2" t="s">
        <v>2013</v>
      </c>
      <c r="B495" s="2" t="s">
        <v>441</v>
      </c>
      <c r="C495" s="2" t="s">
        <v>2014</v>
      </c>
      <c r="D495" s="2" t="s">
        <v>45</v>
      </c>
      <c r="E495" s="3" t="n">
        <v>32</v>
      </c>
      <c r="F495" s="2" t="s">
        <v>46</v>
      </c>
      <c r="G495" s="2" t="s">
        <v>176</v>
      </c>
      <c r="H495" s="2" t="s">
        <v>48</v>
      </c>
      <c r="I495" s="4" t="n">
        <v>152000</v>
      </c>
      <c r="J495" s="2" t="s">
        <v>177</v>
      </c>
      <c r="K495" s="3" t="n">
        <v>11</v>
      </c>
      <c r="L495" s="2" t="s">
        <v>67</v>
      </c>
      <c r="M495" s="2" t="s">
        <v>67</v>
      </c>
      <c r="N495" s="2" t="s">
        <v>52</v>
      </c>
      <c r="O495" s="3" t="n">
        <v>0</v>
      </c>
      <c r="P495" s="2" t="s">
        <v>103</v>
      </c>
      <c r="Q495" s="2" t="s">
        <v>104</v>
      </c>
      <c r="R495" s="2" t="s">
        <v>67</v>
      </c>
      <c r="S495" s="2" t="s">
        <v>67</v>
      </c>
      <c r="T495" s="2" t="s">
        <v>2015</v>
      </c>
      <c r="U495" s="2" t="s">
        <v>57</v>
      </c>
      <c r="V495" s="4" t="n">
        <v>3914000</v>
      </c>
      <c r="W495" s="5" t="n">
        <v>10.79</v>
      </c>
      <c r="X495" s="3" t="n">
        <v>150</v>
      </c>
      <c r="Y495" s="6" t="n">
        <v>46175</v>
      </c>
      <c r="Z495" s="6" t="n">
        <v>46183</v>
      </c>
      <c r="AA495" s="6" t="n">
        <v>46184</v>
      </c>
      <c r="AB495" s="4" t="n">
        <f aca="false">ROUND(PMT(W495/1200,X495,-V495),2)</f>
        <v>47631.61</v>
      </c>
      <c r="AC495" s="4" t="n">
        <v>4821000</v>
      </c>
      <c r="AD495" s="3" t="n">
        <v>0</v>
      </c>
      <c r="AE495" s="4" t="n">
        <v>229300</v>
      </c>
      <c r="AF495" s="4" t="n">
        <v>41300</v>
      </c>
      <c r="AG495" s="3" t="n">
        <v>17</v>
      </c>
      <c r="AH495" s="4" t="n">
        <v>111800</v>
      </c>
      <c r="AI495" s="3" t="n">
        <v>900</v>
      </c>
      <c r="AJ495" s="7" t="n">
        <f aca="false">ROUND(AB495/I495,4)</f>
        <v>0.3134</v>
      </c>
      <c r="AK495" s="2" t="str">
        <f aca="false">IF(AND(AI495&gt;=750,AJ495&lt;=0.35),"Low",IF(AND(AI495&gt;=600,AJ495&lt;=0.5),"Medium","High"))</f>
        <v>Low</v>
      </c>
      <c r="AL495" s="3" t="n">
        <v>0</v>
      </c>
      <c r="AM495" s="2" t="s">
        <v>58</v>
      </c>
      <c r="AN495" s="2" t="s">
        <v>59</v>
      </c>
      <c r="AO495" s="2" t="s">
        <v>60</v>
      </c>
      <c r="AP495" s="7" t="n">
        <v>0.048</v>
      </c>
    </row>
    <row r="496" customFormat="false" ht="15" hidden="false" customHeight="false" outlineLevel="0" collapsed="false">
      <c r="A496" s="2" t="s">
        <v>2016</v>
      </c>
      <c r="B496" s="2" t="s">
        <v>2017</v>
      </c>
      <c r="C496" s="2" t="s">
        <v>2018</v>
      </c>
      <c r="D496" s="2" t="s">
        <v>45</v>
      </c>
      <c r="E496" s="3" t="n">
        <v>29</v>
      </c>
      <c r="F496" s="2" t="s">
        <v>46</v>
      </c>
      <c r="G496" s="2" t="s">
        <v>65</v>
      </c>
      <c r="H496" s="2" t="s">
        <v>48</v>
      </c>
      <c r="I496" s="4" t="n">
        <v>39500</v>
      </c>
      <c r="J496" s="2" t="s">
        <v>49</v>
      </c>
      <c r="K496" s="3" t="n">
        <v>8</v>
      </c>
      <c r="L496" s="2" t="s">
        <v>70</v>
      </c>
      <c r="M496" s="2" t="s">
        <v>67</v>
      </c>
      <c r="N496" s="2" t="s">
        <v>52</v>
      </c>
      <c r="O496" s="3" t="n">
        <v>1</v>
      </c>
      <c r="P496" s="2" t="s">
        <v>68</v>
      </c>
      <c r="Q496" s="2" t="s">
        <v>69</v>
      </c>
      <c r="R496" s="2" t="s">
        <v>70</v>
      </c>
      <c r="S496" s="2" t="s">
        <v>67</v>
      </c>
      <c r="T496" s="2" t="s">
        <v>2019</v>
      </c>
      <c r="U496" s="2" t="s">
        <v>192</v>
      </c>
      <c r="V496" s="4" t="n">
        <v>329000</v>
      </c>
      <c r="W496" s="5" t="n">
        <v>11.62</v>
      </c>
      <c r="X496" s="3" t="n">
        <v>36</v>
      </c>
      <c r="Y496" s="6" t="n">
        <v>46199</v>
      </c>
      <c r="Z496" s="6" t="n">
        <v>46200</v>
      </c>
      <c r="AA496" s="6" t="n">
        <v>46205</v>
      </c>
      <c r="AB496" s="4" t="n">
        <f aca="false">ROUND(PMT(W496/1200,X496,-V496),2)</f>
        <v>10867.89</v>
      </c>
      <c r="AC496" s="4" t="n">
        <v>429000</v>
      </c>
      <c r="AD496" s="3" t="n">
        <v>0</v>
      </c>
      <c r="AE496" s="4" t="n">
        <v>30100</v>
      </c>
      <c r="AF496" s="4" t="n">
        <v>9900</v>
      </c>
      <c r="AG496" s="3" t="n">
        <v>34</v>
      </c>
      <c r="AH496" s="4" t="n">
        <v>40000</v>
      </c>
      <c r="AI496" s="3" t="n">
        <v>886</v>
      </c>
      <c r="AJ496" s="7" t="n">
        <f aca="false">ROUND(AB496/I496,4)</f>
        <v>0.2751</v>
      </c>
      <c r="AK496" s="2" t="str">
        <f aca="false">IF(AND(AI496&gt;=750,AJ496&lt;=0.35),"Low",IF(AND(AI496&gt;=600,AJ496&lt;=0.5),"Medium","High"))</f>
        <v>Low</v>
      </c>
      <c r="AL496" s="3" t="n">
        <v>0</v>
      </c>
      <c r="AM496" s="2" t="s">
        <v>58</v>
      </c>
      <c r="AN496" s="2" t="s">
        <v>59</v>
      </c>
      <c r="AO496" s="2" t="s">
        <v>86</v>
      </c>
      <c r="AP496" s="7" t="n">
        <v>0.06</v>
      </c>
    </row>
    <row r="497" customFormat="false" ht="15" hidden="false" customHeight="false" outlineLevel="0" collapsed="false">
      <c r="A497" s="2" t="s">
        <v>2020</v>
      </c>
      <c r="B497" s="2" t="s">
        <v>2021</v>
      </c>
      <c r="C497" s="2" t="s">
        <v>2022</v>
      </c>
      <c r="D497" s="2" t="s">
        <v>109</v>
      </c>
      <c r="E497" s="3" t="n">
        <v>35</v>
      </c>
      <c r="F497" s="2" t="s">
        <v>175</v>
      </c>
      <c r="G497" s="2" t="s">
        <v>176</v>
      </c>
      <c r="H497" s="2" t="s">
        <v>48</v>
      </c>
      <c r="I497" s="4" t="n">
        <v>99500</v>
      </c>
      <c r="J497" s="2" t="s">
        <v>177</v>
      </c>
      <c r="K497" s="3" t="n">
        <v>14</v>
      </c>
      <c r="L497" s="2" t="s">
        <v>67</v>
      </c>
      <c r="M497" s="2" t="s">
        <v>67</v>
      </c>
      <c r="N497" s="2" t="s">
        <v>102</v>
      </c>
      <c r="O497" s="3" t="n">
        <v>1</v>
      </c>
      <c r="P497" s="2" t="s">
        <v>103</v>
      </c>
      <c r="Q497" s="2" t="s">
        <v>104</v>
      </c>
      <c r="R497" s="2" t="s">
        <v>67</v>
      </c>
      <c r="S497" s="2" t="s">
        <v>67</v>
      </c>
      <c r="T497" s="2" t="s">
        <v>2023</v>
      </c>
      <c r="U497" s="2" t="s">
        <v>192</v>
      </c>
      <c r="V497" s="4" t="n">
        <v>790000</v>
      </c>
      <c r="W497" s="5" t="n">
        <v>12.49</v>
      </c>
      <c r="X497" s="3" t="n">
        <v>24</v>
      </c>
      <c r="Y497" s="6" t="n">
        <v>46193</v>
      </c>
      <c r="Z497" s="6" t="n">
        <v>46199</v>
      </c>
      <c r="AA497" s="6" t="n">
        <v>46203</v>
      </c>
      <c r="AB497" s="4" t="n">
        <f aca="false">ROUND(PMT(W497/1200,X497,-V497),2)</f>
        <v>37369.07</v>
      </c>
      <c r="AC497" s="4" t="n">
        <v>927000</v>
      </c>
      <c r="AD497" s="3" t="n">
        <v>0</v>
      </c>
      <c r="AE497" s="4" t="n">
        <v>166100</v>
      </c>
      <c r="AF497" s="4" t="n">
        <v>25500</v>
      </c>
      <c r="AG497" s="3" t="n">
        <v>2</v>
      </c>
      <c r="AH497" s="4" t="n">
        <v>41400</v>
      </c>
      <c r="AI497" s="3" t="n">
        <v>853</v>
      </c>
      <c r="AJ497" s="7" t="n">
        <f aca="false">ROUND(AB497/I497,4)</f>
        <v>0.3756</v>
      </c>
      <c r="AK497" s="2" t="str">
        <f aca="false">IF(AND(AI497&gt;=750,AJ497&lt;=0.35),"Low",IF(AND(AI497&gt;=600,AJ497&lt;=0.5),"Medium","High"))</f>
        <v>Medium</v>
      </c>
      <c r="AL497" s="3" t="n">
        <v>0</v>
      </c>
      <c r="AM497" s="2" t="s">
        <v>58</v>
      </c>
      <c r="AN497" s="2" t="s">
        <v>119</v>
      </c>
      <c r="AO497" s="2" t="s">
        <v>86</v>
      </c>
      <c r="AP497" s="7" t="n">
        <v>0.066</v>
      </c>
    </row>
    <row r="498" customFormat="false" ht="15" hidden="false" customHeight="false" outlineLevel="0" collapsed="false">
      <c r="A498" s="2" t="s">
        <v>2024</v>
      </c>
      <c r="B498" s="2" t="s">
        <v>2025</v>
      </c>
      <c r="C498" s="2" t="s">
        <v>2026</v>
      </c>
      <c r="D498" s="2" t="s">
        <v>45</v>
      </c>
      <c r="E498" s="3" t="n">
        <v>37</v>
      </c>
      <c r="F498" s="2"/>
      <c r="G498" s="2"/>
      <c r="H498" s="2" t="s">
        <v>77</v>
      </c>
      <c r="I498" s="4" t="n">
        <v>36500</v>
      </c>
      <c r="J498" s="2" t="s">
        <v>49</v>
      </c>
      <c r="K498" s="3" t="n">
        <v>12</v>
      </c>
      <c r="L498" s="2" t="s">
        <v>208</v>
      </c>
      <c r="M498" s="2" t="s">
        <v>114</v>
      </c>
      <c r="N498" s="2" t="s">
        <v>81</v>
      </c>
      <c r="O498" s="3" t="n">
        <v>1</v>
      </c>
      <c r="P498" s="2" t="s">
        <v>169</v>
      </c>
      <c r="Q498" s="2" t="s">
        <v>170</v>
      </c>
      <c r="R498" s="2" t="s">
        <v>92</v>
      </c>
      <c r="S498" s="2" t="s">
        <v>92</v>
      </c>
      <c r="T498" s="2" t="s">
        <v>2027</v>
      </c>
      <c r="U498" s="2" t="s">
        <v>57</v>
      </c>
      <c r="V498" s="4" t="n">
        <v>1394000</v>
      </c>
      <c r="W498" s="5" t="n">
        <v>9.77</v>
      </c>
      <c r="X498" s="3" t="n">
        <v>228</v>
      </c>
      <c r="Y498" s="6" t="n">
        <v>46191</v>
      </c>
      <c r="Z498" s="6"/>
      <c r="AA498" s="6"/>
      <c r="AB498" s="4" t="n">
        <f aca="false">ROUND(PMT(W498/1200,X498,-V498),2)</f>
        <v>13470.05</v>
      </c>
      <c r="AC498" s="4" t="n">
        <v>1803000</v>
      </c>
      <c r="AD498" s="3" t="n">
        <v>2</v>
      </c>
      <c r="AE498" s="4" t="n">
        <v>66700</v>
      </c>
      <c r="AF498" s="4" t="n">
        <v>18000</v>
      </c>
      <c r="AG498" s="3" t="n">
        <v>54</v>
      </c>
      <c r="AH498" s="4" t="n">
        <v>29100</v>
      </c>
      <c r="AI498" s="3" t="n">
        <v>796</v>
      </c>
      <c r="AJ498" s="7" t="n">
        <f aca="false">ROUND(AB498/I498,4)</f>
        <v>0.369</v>
      </c>
      <c r="AK498" s="2" t="str">
        <f aca="false">IF(AND(AI498&gt;=750,AJ498&lt;=0.35),"Low",IF(AND(AI498&gt;=600,AJ498&lt;=0.5),"Medium","High"))</f>
        <v>Medium</v>
      </c>
      <c r="AL498" s="3" t="n">
        <v>0</v>
      </c>
      <c r="AM498" s="2" t="s">
        <v>58</v>
      </c>
      <c r="AN498" s="2"/>
      <c r="AO498" s="2" t="s">
        <v>134</v>
      </c>
      <c r="AP498" s="7" t="n">
        <v>0.149</v>
      </c>
    </row>
    <row r="499" customFormat="false" ht="15" hidden="false" customHeight="false" outlineLevel="0" collapsed="false">
      <c r="A499" s="2" t="s">
        <v>2028</v>
      </c>
      <c r="B499" s="2" t="s">
        <v>331</v>
      </c>
      <c r="C499" s="2" t="s">
        <v>1409</v>
      </c>
      <c r="D499" s="2" t="s">
        <v>45</v>
      </c>
      <c r="E499" s="3" t="n">
        <v>37</v>
      </c>
      <c r="F499" s="2" t="s">
        <v>64</v>
      </c>
      <c r="G499" s="2" t="s">
        <v>145</v>
      </c>
      <c r="H499" s="2" t="s">
        <v>111</v>
      </c>
      <c r="I499" s="4" t="n">
        <v>34000</v>
      </c>
      <c r="J499" s="2" t="s">
        <v>145</v>
      </c>
      <c r="K499" s="3" t="n">
        <v>14</v>
      </c>
      <c r="L499" s="2" t="s">
        <v>481</v>
      </c>
      <c r="M499" s="2" t="s">
        <v>159</v>
      </c>
      <c r="N499" s="2" t="s">
        <v>52</v>
      </c>
      <c r="O499" s="3" t="n">
        <v>2</v>
      </c>
      <c r="P499" s="2" t="s">
        <v>160</v>
      </c>
      <c r="Q499" s="2" t="s">
        <v>161</v>
      </c>
      <c r="R499" s="2" t="s">
        <v>159</v>
      </c>
      <c r="S499" s="2" t="s">
        <v>159</v>
      </c>
      <c r="T499" s="2" t="s">
        <v>2029</v>
      </c>
      <c r="U499" s="2" t="s">
        <v>192</v>
      </c>
      <c r="V499" s="4" t="n">
        <v>200000</v>
      </c>
      <c r="W499" s="5" t="n">
        <v>13.47</v>
      </c>
      <c r="X499" s="3" t="n">
        <v>12</v>
      </c>
      <c r="Y499" s="6" t="n">
        <v>46202</v>
      </c>
      <c r="Z499" s="6" t="n">
        <v>46205</v>
      </c>
      <c r="AA499" s="6" t="n">
        <v>46206</v>
      </c>
      <c r="AB499" s="4" t="n">
        <f aca="false">ROUND(PMT(W499/1200,X499,-V499),2)</f>
        <v>17907.59</v>
      </c>
      <c r="AC499" s="4" t="n">
        <v>222000</v>
      </c>
      <c r="AD499" s="3" t="n">
        <v>0</v>
      </c>
      <c r="AE499" s="4" t="n">
        <v>34200</v>
      </c>
      <c r="AF499" s="4" t="n">
        <v>5700</v>
      </c>
      <c r="AG499" s="3" t="n">
        <v>3</v>
      </c>
      <c r="AH499" s="4" t="n">
        <v>35900</v>
      </c>
      <c r="AI499" s="3" t="n">
        <v>702</v>
      </c>
      <c r="AJ499" s="7" t="n">
        <f aca="false">ROUND(AB499/I499,4)</f>
        <v>0.5267</v>
      </c>
      <c r="AK499" s="2" t="str">
        <f aca="false">IF(AND(AI499&gt;=750,AJ499&lt;=0.35),"Low",IF(AND(AI499&gt;=600,AJ499&lt;=0.5),"Medium","High"))</f>
        <v>High</v>
      </c>
      <c r="AL499" s="3"/>
      <c r="AM499" s="2" t="s">
        <v>58</v>
      </c>
      <c r="AN499" s="2" t="s">
        <v>258</v>
      </c>
      <c r="AO499" s="2" t="s">
        <v>60</v>
      </c>
      <c r="AP499" s="7" t="n">
        <v>0.25</v>
      </c>
    </row>
    <row r="500" customFormat="false" ht="15" hidden="false" customHeight="false" outlineLevel="0" collapsed="false">
      <c r="A500" s="2" t="s">
        <v>2030</v>
      </c>
      <c r="B500" s="2" t="s">
        <v>2031</v>
      </c>
      <c r="C500" s="2" t="s">
        <v>748</v>
      </c>
      <c r="D500" s="2" t="s">
        <v>45</v>
      </c>
      <c r="E500" s="3" t="n">
        <v>32</v>
      </c>
      <c r="F500" s="2" t="s">
        <v>64</v>
      </c>
      <c r="G500" s="2" t="s">
        <v>246</v>
      </c>
      <c r="H500" s="2" t="s">
        <v>123</v>
      </c>
      <c r="I500" s="4" t="n">
        <v>17500</v>
      </c>
      <c r="J500" s="2" t="s">
        <v>145</v>
      </c>
      <c r="K500" s="3" t="n">
        <v>9</v>
      </c>
      <c r="L500" s="2" t="s">
        <v>590</v>
      </c>
      <c r="M500" s="2" t="s">
        <v>114</v>
      </c>
      <c r="N500" s="2"/>
      <c r="O500" s="3" t="n">
        <v>1</v>
      </c>
      <c r="P500" s="2" t="s">
        <v>115</v>
      </c>
      <c r="Q500" s="2" t="s">
        <v>116</v>
      </c>
      <c r="R500" s="2" t="s">
        <v>114</v>
      </c>
      <c r="S500" s="2" t="s">
        <v>114</v>
      </c>
      <c r="T500" s="2" t="s">
        <v>2032</v>
      </c>
      <c r="U500" s="2" t="s">
        <v>85</v>
      </c>
      <c r="V500" s="4" t="n">
        <v>77000</v>
      </c>
      <c r="W500" s="5" t="n">
        <v>8.53</v>
      </c>
      <c r="X500" s="3" t="n">
        <v>18</v>
      </c>
      <c r="Y500" s="6" t="n">
        <v>46202</v>
      </c>
      <c r="Z500" s="6"/>
      <c r="AA500" s="6"/>
      <c r="AB500" s="4" t="n">
        <f aca="false">ROUND(PMT(W500/1200,X500,-V500),2)</f>
        <v>4572.45</v>
      </c>
      <c r="AC500" s="4" t="n">
        <v>0</v>
      </c>
      <c r="AD500" s="3" t="n">
        <v>1</v>
      </c>
      <c r="AE500" s="4" t="n">
        <v>33200</v>
      </c>
      <c r="AF500" s="4" t="n">
        <v>3600</v>
      </c>
      <c r="AG500" s="3" t="n">
        <v>17</v>
      </c>
      <c r="AH500" s="4" t="n">
        <v>16100</v>
      </c>
      <c r="AI500" s="3" t="n">
        <v>738</v>
      </c>
      <c r="AJ500" s="7" t="n">
        <f aca="false">ROUND(AB500/I500,4)</f>
        <v>0.2613</v>
      </c>
      <c r="AK500" s="2" t="str">
        <f aca="false">IF(AND(AI500&gt;=750,AJ500&lt;=0.35),"Low",IF(AND(AI500&gt;=600,AJ500&lt;=0.5),"Medium","High"))</f>
        <v>Medium</v>
      </c>
      <c r="AL500" s="3" t="n">
        <v>1</v>
      </c>
      <c r="AM500" s="2" t="s">
        <v>58</v>
      </c>
      <c r="AN500" s="2"/>
      <c r="AO500" s="2" t="s">
        <v>134</v>
      </c>
      <c r="AP500" s="7" t="n">
        <v>0.154</v>
      </c>
    </row>
    <row r="501" customFormat="false" ht="15" hidden="false" customHeight="false" outlineLevel="0" collapsed="false">
      <c r="A501" s="2" t="s">
        <v>2033</v>
      </c>
      <c r="B501" s="2" t="s">
        <v>2034</v>
      </c>
      <c r="C501" s="2" t="s">
        <v>2035</v>
      </c>
      <c r="D501" s="2" t="s">
        <v>109</v>
      </c>
      <c r="E501" s="3" t="n">
        <v>51</v>
      </c>
      <c r="F501" s="2" t="s">
        <v>64</v>
      </c>
      <c r="G501" s="2" t="s">
        <v>110</v>
      </c>
      <c r="H501" s="2" t="s">
        <v>48</v>
      </c>
      <c r="I501" s="4" t="n">
        <v>30500</v>
      </c>
      <c r="J501" s="2" t="s">
        <v>112</v>
      </c>
      <c r="K501" s="3" t="n">
        <v>31</v>
      </c>
      <c r="L501" s="2" t="s">
        <v>211</v>
      </c>
      <c r="M501" s="2" t="s">
        <v>147</v>
      </c>
      <c r="N501" s="2" t="s">
        <v>52</v>
      </c>
      <c r="O501" s="3" t="n">
        <v>2</v>
      </c>
      <c r="P501" s="2" t="s">
        <v>209</v>
      </c>
      <c r="Q501" s="2" t="s">
        <v>210</v>
      </c>
      <c r="R501" s="2" t="s">
        <v>211</v>
      </c>
      <c r="S501" s="2" t="s">
        <v>147</v>
      </c>
      <c r="T501" s="2" t="s">
        <v>2036</v>
      </c>
      <c r="U501" s="2" t="s">
        <v>118</v>
      </c>
      <c r="V501" s="4" t="n">
        <v>382000</v>
      </c>
      <c r="W501" s="5" t="n">
        <v>7.54</v>
      </c>
      <c r="X501" s="3" t="n">
        <v>42</v>
      </c>
      <c r="Y501" s="6" t="n">
        <v>46188</v>
      </c>
      <c r="Z501" s="6" t="n">
        <v>46197</v>
      </c>
      <c r="AA501" s="6" t="n">
        <v>46201</v>
      </c>
      <c r="AB501" s="4" t="n">
        <f aca="false">ROUND(PMT(W501/1200,X501,-V501),2)</f>
        <v>10376.46</v>
      </c>
      <c r="AC501" s="4" t="n">
        <v>0</v>
      </c>
      <c r="AD501" s="3" t="n">
        <v>2</v>
      </c>
      <c r="AE501" s="4" t="n">
        <v>50500</v>
      </c>
      <c r="AF501" s="4"/>
      <c r="AG501" s="3" t="n">
        <v>48</v>
      </c>
      <c r="AH501" s="4" t="n">
        <v>30400</v>
      </c>
      <c r="AI501" s="3" t="n">
        <v>771</v>
      </c>
      <c r="AJ501" s="7" t="n">
        <f aca="false">ROUND(AB501/I501,4)</f>
        <v>0.3402</v>
      </c>
      <c r="AK501" s="2" t="str">
        <f aca="false">IF(AND(AI501&gt;=750,AJ501&lt;=0.35),"Low",IF(AND(AI501&gt;=600,AJ501&lt;=0.5),"Medium","High"))</f>
        <v>Low</v>
      </c>
      <c r="AL501" s="3" t="n">
        <v>2</v>
      </c>
      <c r="AM501" s="2" t="s">
        <v>233</v>
      </c>
      <c r="AN501" s="2" t="s">
        <v>59</v>
      </c>
      <c r="AO501" s="2" t="s">
        <v>60</v>
      </c>
      <c r="AP501" s="7" t="n">
        <v>0.26</v>
      </c>
    </row>
    <row r="502" customFormat="false" ht="15" hidden="false" customHeight="false" outlineLevel="0" collapsed="false">
      <c r="A502" s="2" t="s">
        <v>2037</v>
      </c>
      <c r="B502" s="2" t="s">
        <v>2038</v>
      </c>
      <c r="C502" s="2" t="s">
        <v>1908</v>
      </c>
      <c r="D502" s="2" t="s">
        <v>45</v>
      </c>
      <c r="E502" s="3" t="n">
        <v>36</v>
      </c>
      <c r="F502" s="2" t="s">
        <v>434</v>
      </c>
      <c r="G502" s="2" t="s">
        <v>166</v>
      </c>
      <c r="H502" s="2" t="s">
        <v>167</v>
      </c>
      <c r="I502" s="4" t="n">
        <v>171000</v>
      </c>
      <c r="J502" s="2" t="s">
        <v>145</v>
      </c>
      <c r="K502" s="3" t="n">
        <v>11</v>
      </c>
      <c r="L502" s="2" t="s">
        <v>70</v>
      </c>
      <c r="M502" s="2" t="s">
        <v>67</v>
      </c>
      <c r="N502" s="2" t="s">
        <v>52</v>
      </c>
      <c r="O502" s="3" t="n">
        <v>0</v>
      </c>
      <c r="P502" s="2" t="s">
        <v>68</v>
      </c>
      <c r="Q502" s="2" t="s">
        <v>69</v>
      </c>
      <c r="R502" s="2" t="s">
        <v>70</v>
      </c>
      <c r="S502" s="2" t="s">
        <v>67</v>
      </c>
      <c r="T502" s="2" t="s">
        <v>2039</v>
      </c>
      <c r="U502" s="2" t="s">
        <v>97</v>
      </c>
      <c r="V502" s="4" t="n">
        <v>866000</v>
      </c>
      <c r="W502" s="5" t="n">
        <v>13.92</v>
      </c>
      <c r="X502" s="3" t="n">
        <v>12</v>
      </c>
      <c r="Y502" s="6" t="n">
        <v>46189</v>
      </c>
      <c r="Z502" s="6" t="n">
        <v>46193</v>
      </c>
      <c r="AA502" s="6" t="n">
        <v>46196</v>
      </c>
      <c r="AB502" s="4" t="n">
        <f aca="false">ROUND(PMT(W502/1200,X502,-V502),2)</f>
        <v>77723.05</v>
      </c>
      <c r="AC502" s="4"/>
      <c r="AD502" s="3" t="n">
        <v>1</v>
      </c>
      <c r="AE502" s="4" t="n">
        <v>278000</v>
      </c>
      <c r="AF502" s="4"/>
      <c r="AG502" s="3" t="n">
        <v>2</v>
      </c>
      <c r="AH502" s="4" t="n">
        <v>102800</v>
      </c>
      <c r="AI502" s="3" t="n">
        <v>607</v>
      </c>
      <c r="AJ502" s="7" t="n">
        <f aca="false">ROUND(AB502/I502,4)</f>
        <v>0.4545</v>
      </c>
      <c r="AK502" s="2" t="str">
        <f aca="false">IF(AND(AI502&gt;=750,AJ502&lt;=0.35),"Low",IF(AND(AI502&gt;=600,AJ502&lt;=0.5),"Medium","High"))</f>
        <v>Medium</v>
      </c>
      <c r="AL502" s="3" t="n">
        <v>2</v>
      </c>
      <c r="AM502" s="2" t="s">
        <v>233</v>
      </c>
      <c r="AN502" s="2" t="s">
        <v>59</v>
      </c>
      <c r="AO502" s="2" t="s">
        <v>60</v>
      </c>
      <c r="AP502" s="7" t="n">
        <v>0.447</v>
      </c>
    </row>
    <row r="503" customFormat="false" ht="15" hidden="false" customHeight="false" outlineLevel="0" collapsed="false">
      <c r="A503" s="2" t="s">
        <v>2040</v>
      </c>
      <c r="B503" s="2" t="s">
        <v>2041</v>
      </c>
      <c r="C503" s="2" t="s">
        <v>2042</v>
      </c>
      <c r="D503" s="2" t="s">
        <v>45</v>
      </c>
      <c r="E503" s="3" t="n">
        <v>50</v>
      </c>
      <c r="F503" s="2" t="s">
        <v>64</v>
      </c>
      <c r="G503" s="2" t="s">
        <v>65</v>
      </c>
      <c r="H503" s="2" t="s">
        <v>101</v>
      </c>
      <c r="I503" s="4" t="n">
        <v>71500</v>
      </c>
      <c r="J503" s="2" t="s">
        <v>49</v>
      </c>
      <c r="K503" s="3" t="n">
        <v>26</v>
      </c>
      <c r="L503" s="2" t="s">
        <v>67</v>
      </c>
      <c r="M503" s="2" t="s">
        <v>67</v>
      </c>
      <c r="N503" s="2" t="s">
        <v>140</v>
      </c>
      <c r="O503" s="3" t="n">
        <v>2</v>
      </c>
      <c r="P503" s="2" t="s">
        <v>68</v>
      </c>
      <c r="Q503" s="2" t="s">
        <v>69</v>
      </c>
      <c r="R503" s="2" t="s">
        <v>70</v>
      </c>
      <c r="S503" s="2" t="s">
        <v>67</v>
      </c>
      <c r="T503" s="2" t="s">
        <v>2043</v>
      </c>
      <c r="U503" s="2" t="s">
        <v>97</v>
      </c>
      <c r="V503" s="4" t="n">
        <v>376000</v>
      </c>
      <c r="W503" s="5" t="n">
        <v>16.2</v>
      </c>
      <c r="X503" s="3" t="n">
        <v>24</v>
      </c>
      <c r="Y503" s="6" t="n">
        <v>46186</v>
      </c>
      <c r="Z503" s="6" t="n">
        <v>46194</v>
      </c>
      <c r="AA503" s="6" t="n">
        <v>46198</v>
      </c>
      <c r="AB503" s="4" t="n">
        <f aca="false">ROUND(PMT(W503/1200,X503,-V503),2)</f>
        <v>18446.08</v>
      </c>
      <c r="AC503" s="4" t="n">
        <v>0</v>
      </c>
      <c r="AD503" s="3" t="n">
        <v>0</v>
      </c>
      <c r="AE503" s="4" t="n">
        <v>5191547</v>
      </c>
      <c r="AF503" s="4" t="n">
        <v>40000</v>
      </c>
      <c r="AG503" s="3" t="n">
        <v>34</v>
      </c>
      <c r="AH503" s="4" t="n">
        <v>36500</v>
      </c>
      <c r="AI503" s="3" t="n">
        <v>711</v>
      </c>
      <c r="AJ503" s="7" t="n">
        <f aca="false">ROUND(AB503/I503,4)</f>
        <v>0.258</v>
      </c>
      <c r="AK503" s="2" t="str">
        <f aca="false">IF(AND(AI503&gt;=750,AJ503&lt;=0.35),"Low",IF(AND(AI503&gt;=600,AJ503&lt;=0.5),"Medium","High"))</f>
        <v>Medium</v>
      </c>
      <c r="AL503" s="3" t="n">
        <v>2</v>
      </c>
      <c r="AM503" s="2" t="s">
        <v>233</v>
      </c>
      <c r="AN503" s="2" t="s">
        <v>59</v>
      </c>
      <c r="AO503" s="2" t="s">
        <v>60</v>
      </c>
      <c r="AP503" s="7" t="n">
        <v>0.386</v>
      </c>
    </row>
    <row r="504" customFormat="false" ht="15" hidden="false" customHeight="false" outlineLevel="0" collapsed="false">
      <c r="A504" s="2" t="s">
        <v>2044</v>
      </c>
      <c r="B504" s="2" t="s">
        <v>2045</v>
      </c>
      <c r="C504" s="2" t="s">
        <v>359</v>
      </c>
      <c r="D504" s="2" t="s">
        <v>109</v>
      </c>
      <c r="E504" s="3" t="n">
        <v>45</v>
      </c>
      <c r="F504" s="2" t="s">
        <v>64</v>
      </c>
      <c r="G504" s="2" t="s">
        <v>110</v>
      </c>
      <c r="H504" s="2" t="s">
        <v>48</v>
      </c>
      <c r="I504" s="4" t="n">
        <v>16000</v>
      </c>
      <c r="J504" s="2" t="s">
        <v>112</v>
      </c>
      <c r="K504" s="3" t="n">
        <v>17</v>
      </c>
      <c r="L504" s="2" t="s">
        <v>533</v>
      </c>
      <c r="M504" s="2" t="s">
        <v>114</v>
      </c>
      <c r="N504" s="2" t="s">
        <v>140</v>
      </c>
      <c r="O504" s="3" t="n">
        <v>3</v>
      </c>
      <c r="P504" s="2" t="s">
        <v>131</v>
      </c>
      <c r="Q504" s="2" t="s">
        <v>132</v>
      </c>
      <c r="R504" s="2" t="s">
        <v>51</v>
      </c>
      <c r="S504" s="2" t="s">
        <v>51</v>
      </c>
      <c r="T504" s="2" t="s">
        <v>2046</v>
      </c>
      <c r="U504" s="2" t="s">
        <v>85</v>
      </c>
      <c r="V504" s="4" t="n">
        <v>50000</v>
      </c>
      <c r="W504" s="5" t="n">
        <v>8.63</v>
      </c>
      <c r="X504" s="3" t="n">
        <v>12</v>
      </c>
      <c r="Y504" s="6" t="n">
        <v>46187</v>
      </c>
      <c r="Z504" s="6" t="n">
        <v>46197</v>
      </c>
      <c r="AA504" s="6" t="n">
        <v>46201</v>
      </c>
      <c r="AB504" s="4" t="n">
        <f aca="false">ROUND(PMT(W504/1200,X504,-V504),2)</f>
        <v>4364</v>
      </c>
      <c r="AC504" s="4" t="n">
        <v>0</v>
      </c>
      <c r="AD504" s="3" t="n">
        <v>0</v>
      </c>
      <c r="AE504" s="4" t="n">
        <v>25500</v>
      </c>
      <c r="AF504" s="4" t="n">
        <v>13000</v>
      </c>
      <c r="AG504" s="3" t="n">
        <v>28</v>
      </c>
      <c r="AH504" s="4" t="n">
        <v>11900</v>
      </c>
      <c r="AI504" s="3" t="n">
        <v>858</v>
      </c>
      <c r="AJ504" s="7" t="n">
        <f aca="false">ROUND(AB504/I504,4)</f>
        <v>0.2728</v>
      </c>
      <c r="AK504" s="2" t="str">
        <f aca="false">IF(AND(AI504&gt;=750,AJ504&lt;=0.35),"Low",IF(AND(AI504&gt;=600,AJ504&lt;=0.5),"Medium","High"))</f>
        <v>Low</v>
      </c>
      <c r="AL504" s="3" t="n">
        <v>1</v>
      </c>
      <c r="AM504" s="2" t="s">
        <v>58</v>
      </c>
      <c r="AN504" s="2" t="s">
        <v>59</v>
      </c>
      <c r="AO504" s="2" t="s">
        <v>60</v>
      </c>
      <c r="AP504" s="7" t="n">
        <v>0.075</v>
      </c>
    </row>
    <row r="505" customFormat="false" ht="15" hidden="false" customHeight="false" outlineLevel="0" collapsed="false">
      <c r="A505" s="2" t="s">
        <v>2047</v>
      </c>
      <c r="B505" s="2" t="s">
        <v>2048</v>
      </c>
      <c r="C505" s="2" t="s">
        <v>2049</v>
      </c>
      <c r="D505" s="2" t="s">
        <v>109</v>
      </c>
      <c r="E505" s="3" t="n">
        <v>21</v>
      </c>
      <c r="F505" s="2" t="s">
        <v>46</v>
      </c>
      <c r="G505" s="2" t="s">
        <v>176</v>
      </c>
      <c r="H505" s="2" t="s">
        <v>77</v>
      </c>
      <c r="I505" s="4" t="n">
        <v>48000</v>
      </c>
      <c r="J505" s="2" t="s">
        <v>177</v>
      </c>
      <c r="K505" s="3" t="n">
        <v>0</v>
      </c>
      <c r="L505" s="2" t="s">
        <v>1378</v>
      </c>
      <c r="M505" s="2" t="s">
        <v>139</v>
      </c>
      <c r="N505" s="2" t="s">
        <v>81</v>
      </c>
      <c r="O505" s="3" t="n">
        <v>0</v>
      </c>
      <c r="P505" s="2" t="s">
        <v>197</v>
      </c>
      <c r="Q505" s="2" t="s">
        <v>198</v>
      </c>
      <c r="R505" s="2" t="s">
        <v>139</v>
      </c>
      <c r="S505" s="2" t="s">
        <v>139</v>
      </c>
      <c r="T505" s="2" t="s">
        <v>2050</v>
      </c>
      <c r="U505" s="2" t="s">
        <v>180</v>
      </c>
      <c r="V505" s="4" t="n">
        <v>382000</v>
      </c>
      <c r="W505" s="5" t="n">
        <v>12.98</v>
      </c>
      <c r="X505" s="3" t="n">
        <v>42</v>
      </c>
      <c r="Y505" s="6" t="n">
        <v>46187</v>
      </c>
      <c r="Z505" s="6" t="n">
        <v>46188</v>
      </c>
      <c r="AA505" s="6" t="n">
        <v>46192</v>
      </c>
      <c r="AB505" s="4" t="n">
        <f aca="false">ROUND(PMT(W505/1200,X505,-V505),2)</f>
        <v>11365.39</v>
      </c>
      <c r="AC505" s="4" t="n">
        <v>537000</v>
      </c>
      <c r="AD505" s="3" t="n">
        <v>0</v>
      </c>
      <c r="AE505" s="4" t="n">
        <v>144200</v>
      </c>
      <c r="AF505" s="4" t="n">
        <v>72100</v>
      </c>
      <c r="AG505" s="3" t="n">
        <v>37</v>
      </c>
      <c r="AH505" s="4" t="n">
        <v>27700</v>
      </c>
      <c r="AI505" s="3" t="n">
        <v>499</v>
      </c>
      <c r="AJ505" s="7" t="n">
        <f aca="false">ROUND(AB505/I505,4)</f>
        <v>0.2368</v>
      </c>
      <c r="AK505" s="2" t="str">
        <f aca="false">IF(AND(AI505&gt;=750,AJ505&lt;=0.35),"Low",IF(AND(AI505&gt;=600,AJ505&lt;=0.5),"Medium","High"))</f>
        <v>High</v>
      </c>
      <c r="AL505" s="3" t="n">
        <v>3</v>
      </c>
      <c r="AM505" s="2" t="s">
        <v>58</v>
      </c>
      <c r="AN505" s="2" t="s">
        <v>258</v>
      </c>
      <c r="AO505" s="2" t="s">
        <v>60</v>
      </c>
      <c r="AP505" s="7" t="n">
        <v>0.424</v>
      </c>
    </row>
    <row r="506" customFormat="false" ht="15" hidden="false" customHeight="false" outlineLevel="0" collapsed="false">
      <c r="A506" s="2" t="s">
        <v>2051</v>
      </c>
      <c r="B506" s="2" t="s">
        <v>474</v>
      </c>
      <c r="C506" s="2" t="s">
        <v>2052</v>
      </c>
      <c r="D506" s="2" t="s">
        <v>109</v>
      </c>
      <c r="E506" s="3" t="n">
        <v>21</v>
      </c>
      <c r="F506" s="2" t="s">
        <v>64</v>
      </c>
      <c r="G506" s="2" t="s">
        <v>65</v>
      </c>
      <c r="H506" s="2" t="s">
        <v>101</v>
      </c>
      <c r="I506" s="4" t="n">
        <v>34000</v>
      </c>
      <c r="J506" s="2" t="s">
        <v>49</v>
      </c>
      <c r="K506" s="3" t="n">
        <v>0</v>
      </c>
      <c r="L506" s="2" t="s">
        <v>55</v>
      </c>
      <c r="M506" s="2" t="s">
        <v>51</v>
      </c>
      <c r="N506" s="2" t="s">
        <v>52</v>
      </c>
      <c r="O506" s="3" t="n">
        <v>1</v>
      </c>
      <c r="P506" s="2" t="s">
        <v>53</v>
      </c>
      <c r="Q506" s="2" t="s">
        <v>54</v>
      </c>
      <c r="R506" s="2" t="s">
        <v>55</v>
      </c>
      <c r="S506" s="2" t="s">
        <v>51</v>
      </c>
      <c r="T506" s="2" t="s">
        <v>2053</v>
      </c>
      <c r="U506" s="2" t="s">
        <v>57</v>
      </c>
      <c r="V506" s="4" t="n">
        <v>800000</v>
      </c>
      <c r="W506" s="5" t="n">
        <v>9.36</v>
      </c>
      <c r="X506" s="3" t="n">
        <v>102</v>
      </c>
      <c r="Y506" s="6" t="n">
        <v>46174</v>
      </c>
      <c r="Z506" s="6" t="n">
        <v>46180</v>
      </c>
      <c r="AA506" s="6" t="n">
        <v>46181</v>
      </c>
      <c r="AB506" s="4" t="n">
        <f aca="false">ROUND(PMT(W506/1200,X506,-V506),2)</f>
        <v>11401.54</v>
      </c>
      <c r="AC506" s="4" t="n">
        <v>1087000</v>
      </c>
      <c r="AD506" s="3" t="n">
        <v>1</v>
      </c>
      <c r="AE506" s="4" t="n">
        <v>102000</v>
      </c>
      <c r="AF506" s="4" t="n">
        <v>47700</v>
      </c>
      <c r="AG506" s="3"/>
      <c r="AH506" s="4"/>
      <c r="AI506" s="3" t="n">
        <v>684</v>
      </c>
      <c r="AJ506" s="7" t="n">
        <f aca="false">ROUND(AB506/I506,4)</f>
        <v>0.3353</v>
      </c>
      <c r="AK506" s="2" t="str">
        <f aca="false">IF(AND(AI506&gt;=750,AJ506&lt;=0.35),"Low",IF(AND(AI506&gt;=600,AJ506&lt;=0.5),"Medium","High"))</f>
        <v>Medium</v>
      </c>
      <c r="AL506" s="3" t="n">
        <v>1</v>
      </c>
      <c r="AM506" s="2" t="s">
        <v>58</v>
      </c>
      <c r="AN506" s="2" t="s">
        <v>59</v>
      </c>
      <c r="AO506" s="2" t="s">
        <v>60</v>
      </c>
      <c r="AP506" s="7" t="n">
        <v>0.244</v>
      </c>
    </row>
    <row r="507" customFormat="false" ht="15" hidden="false" customHeight="false" outlineLevel="0" collapsed="false">
      <c r="A507" s="2" t="s">
        <v>2054</v>
      </c>
      <c r="B507" s="2" t="s">
        <v>2055</v>
      </c>
      <c r="C507" s="2" t="s">
        <v>1772</v>
      </c>
      <c r="D507" s="2" t="s">
        <v>45</v>
      </c>
      <c r="E507" s="3" t="n">
        <v>31</v>
      </c>
      <c r="F507" s="2" t="s">
        <v>64</v>
      </c>
      <c r="G507" s="2" t="s">
        <v>246</v>
      </c>
      <c r="H507" s="2" t="s">
        <v>77</v>
      </c>
      <c r="I507" s="4" t="n">
        <v>15500</v>
      </c>
      <c r="J507" s="2" t="s">
        <v>145</v>
      </c>
      <c r="K507" s="3" t="n">
        <v>8</v>
      </c>
      <c r="L507" s="2" t="s">
        <v>726</v>
      </c>
      <c r="M507" s="2" t="s">
        <v>147</v>
      </c>
      <c r="N507" s="2" t="s">
        <v>81</v>
      </c>
      <c r="O507" s="3" t="n">
        <v>0</v>
      </c>
      <c r="P507" s="2" t="s">
        <v>209</v>
      </c>
      <c r="Q507" s="2" t="s">
        <v>210</v>
      </c>
      <c r="R507" s="2" t="s">
        <v>211</v>
      </c>
      <c r="S507" s="2" t="s">
        <v>147</v>
      </c>
      <c r="T507" s="2" t="s">
        <v>2056</v>
      </c>
      <c r="U507" s="2" t="s">
        <v>85</v>
      </c>
      <c r="V507" s="4" t="n">
        <v>177000</v>
      </c>
      <c r="W507" s="5" t="n">
        <v>8.47</v>
      </c>
      <c r="X507" s="3" t="n">
        <v>24</v>
      </c>
      <c r="Y507" s="6" t="n">
        <v>46191</v>
      </c>
      <c r="Z507" s="6"/>
      <c r="AA507" s="6"/>
      <c r="AB507" s="4" t="n">
        <f aca="false">ROUND(PMT(W507/1200,X507,-V507),2)</f>
        <v>8043.23</v>
      </c>
      <c r="AC507" s="4" t="n">
        <v>0</v>
      </c>
      <c r="AD507" s="3" t="n">
        <v>0</v>
      </c>
      <c r="AE507" s="4" t="n">
        <v>22100</v>
      </c>
      <c r="AF507" s="4" t="n">
        <v>9800</v>
      </c>
      <c r="AG507" s="3" t="n">
        <v>39</v>
      </c>
      <c r="AH507" s="4" t="n">
        <v>14500</v>
      </c>
      <c r="AI507" s="3" t="n">
        <v>686</v>
      </c>
      <c r="AJ507" s="7" t="n">
        <f aca="false">ROUND(AB507/I507,4)</f>
        <v>0.5189</v>
      </c>
      <c r="AK507" s="2" t="str">
        <f aca="false">IF(AND(AI507&gt;=750,AJ507&lt;=0.35),"Low",IF(AND(AI507&gt;=600,AJ507&lt;=0.5),"Medium","High"))</f>
        <v>High</v>
      </c>
      <c r="AL507" s="3" t="n">
        <v>4</v>
      </c>
      <c r="AM507" s="2" t="s">
        <v>58</v>
      </c>
      <c r="AN507" s="2"/>
      <c r="AO507" s="2" t="s">
        <v>127</v>
      </c>
      <c r="AP507" s="7" t="n">
        <v>0.311</v>
      </c>
    </row>
    <row r="508" customFormat="false" ht="15" hidden="false" customHeight="false" outlineLevel="0" collapsed="false">
      <c r="A508" s="2" t="s">
        <v>2057</v>
      </c>
      <c r="B508" s="2" t="s">
        <v>2058</v>
      </c>
      <c r="C508" s="2" t="s">
        <v>2059</v>
      </c>
      <c r="D508" s="2" t="s">
        <v>109</v>
      </c>
      <c r="E508" s="3" t="n">
        <v>35</v>
      </c>
      <c r="F508" s="2" t="s">
        <v>175</v>
      </c>
      <c r="G508" s="2" t="s">
        <v>207</v>
      </c>
      <c r="H508" s="2" t="s">
        <v>77</v>
      </c>
      <c r="I508" s="4" t="n">
        <v>52500</v>
      </c>
      <c r="J508" s="2" t="s">
        <v>49</v>
      </c>
      <c r="K508" s="3" t="n">
        <v>16</v>
      </c>
      <c r="L508" s="2" t="s">
        <v>380</v>
      </c>
      <c r="M508" s="2" t="s">
        <v>92</v>
      </c>
      <c r="N508" s="2" t="s">
        <v>140</v>
      </c>
      <c r="O508" s="3" t="n">
        <v>0</v>
      </c>
      <c r="P508" s="2" t="s">
        <v>124</v>
      </c>
      <c r="Q508" s="2" t="s">
        <v>125</v>
      </c>
      <c r="R508" s="2" t="s">
        <v>91</v>
      </c>
      <c r="S508" s="2" t="s">
        <v>92</v>
      </c>
      <c r="T508" s="2" t="s">
        <v>2060</v>
      </c>
      <c r="U508" s="2" t="s">
        <v>192</v>
      </c>
      <c r="V508" s="4" t="n">
        <v>454000</v>
      </c>
      <c r="W508" s="5" t="n">
        <v>14.57</v>
      </c>
      <c r="X508" s="3" t="n">
        <v>24</v>
      </c>
      <c r="Y508" s="6" t="n">
        <v>46189</v>
      </c>
      <c r="Z508" s="6"/>
      <c r="AA508" s="6"/>
      <c r="AB508" s="4" t="n">
        <f aca="false">ROUND(PMT(W508/1200,X508,-V508),2)</f>
        <v>21920.3</v>
      </c>
      <c r="AC508" s="4" t="n">
        <v>585000</v>
      </c>
      <c r="AD508" s="3" t="n">
        <v>0</v>
      </c>
      <c r="AE508" s="4" t="n">
        <v>142800</v>
      </c>
      <c r="AF508" s="4" t="n">
        <v>68600</v>
      </c>
      <c r="AG508" s="3" t="n">
        <v>32</v>
      </c>
      <c r="AH508" s="4" t="n">
        <v>57200</v>
      </c>
      <c r="AI508" s="3" t="n">
        <v>657</v>
      </c>
      <c r="AJ508" s="7" t="n">
        <f aca="false">ROUND(AB508/I508,4)</f>
        <v>0.4175</v>
      </c>
      <c r="AK508" s="2" t="str">
        <f aca="false">IF(AND(AI508&gt;=750,AJ508&lt;=0.35),"Low",IF(AND(AI508&gt;=600,AJ508&lt;=0.5),"Medium","High"))</f>
        <v>Medium</v>
      </c>
      <c r="AL508" s="3" t="n">
        <v>1</v>
      </c>
      <c r="AM508" s="2" t="s">
        <v>58</v>
      </c>
      <c r="AN508" s="2"/>
      <c r="AO508" s="2" t="s">
        <v>127</v>
      </c>
      <c r="AP508" s="7" t="n">
        <v>0.267</v>
      </c>
    </row>
    <row r="509" customFormat="false" ht="15" hidden="false" customHeight="false" outlineLevel="0" collapsed="false">
      <c r="A509" s="2" t="s">
        <v>2061</v>
      </c>
      <c r="B509" s="2" t="s">
        <v>2062</v>
      </c>
      <c r="C509" s="2" t="s">
        <v>2063</v>
      </c>
      <c r="D509" s="2" t="s">
        <v>45</v>
      </c>
      <c r="E509" s="3" t="n">
        <v>44</v>
      </c>
      <c r="F509" s="2" t="s">
        <v>64</v>
      </c>
      <c r="G509" s="2" t="s">
        <v>176</v>
      </c>
      <c r="H509" s="2" t="s">
        <v>77</v>
      </c>
      <c r="I509" s="4" t="n">
        <v>54500</v>
      </c>
      <c r="J509" s="2" t="s">
        <v>177</v>
      </c>
      <c r="K509" s="3" t="n">
        <v>15</v>
      </c>
      <c r="L509" s="2" t="s">
        <v>231</v>
      </c>
      <c r="M509" s="2" t="s">
        <v>92</v>
      </c>
      <c r="N509" s="2" t="s">
        <v>52</v>
      </c>
      <c r="O509" s="3" t="n">
        <v>1</v>
      </c>
      <c r="P509" s="2" t="s">
        <v>229</v>
      </c>
      <c r="Q509" s="2" t="s">
        <v>230</v>
      </c>
      <c r="R509" s="2" t="s">
        <v>231</v>
      </c>
      <c r="S509" s="2" t="s">
        <v>92</v>
      </c>
      <c r="T509" s="2" t="s">
        <v>2064</v>
      </c>
      <c r="U509" s="2" t="s">
        <v>72</v>
      </c>
      <c r="V509" s="4" t="n">
        <v>778000</v>
      </c>
      <c r="W509" s="5" t="n">
        <v>14.58</v>
      </c>
      <c r="X509" s="3" t="n">
        <v>36</v>
      </c>
      <c r="Y509" s="6" t="n">
        <v>46185</v>
      </c>
      <c r="Z509" s="6"/>
      <c r="AA509" s="6"/>
      <c r="AB509" s="4" t="n">
        <f aca="false">ROUND(PMT(W509/1200,X509,-V509),2)</f>
        <v>26809.88</v>
      </c>
      <c r="AC509" s="4" t="n">
        <v>931000</v>
      </c>
      <c r="AD509" s="3" t="n">
        <v>0</v>
      </c>
      <c r="AE509" s="4" t="n">
        <v>130700</v>
      </c>
      <c r="AF509" s="4" t="n">
        <v>63300</v>
      </c>
      <c r="AG509" s="3" t="n">
        <v>30</v>
      </c>
      <c r="AH509" s="4" t="n">
        <v>20200</v>
      </c>
      <c r="AI509" s="3" t="n">
        <v>699</v>
      </c>
      <c r="AJ509" s="7" t="n">
        <f aca="false">ROUND(AB509/I509,4)</f>
        <v>0.4919</v>
      </c>
      <c r="AK509" s="2" t="str">
        <f aca="false">IF(AND(AI509&gt;=750,AJ509&lt;=0.35),"Low",IF(AND(AI509&gt;=600,AJ509&lt;=0.5),"Medium","High"))</f>
        <v>Medium</v>
      </c>
      <c r="AL509" s="3" t="n">
        <v>2</v>
      </c>
      <c r="AM509" s="2" t="s">
        <v>58</v>
      </c>
      <c r="AN509" s="2"/>
      <c r="AO509" s="2" t="s">
        <v>134</v>
      </c>
      <c r="AP509" s="7" t="n">
        <v>0.268</v>
      </c>
    </row>
    <row r="510" customFormat="false" ht="15" hidden="false" customHeight="false" outlineLevel="0" collapsed="false">
      <c r="A510" s="2" t="s">
        <v>2065</v>
      </c>
      <c r="B510" s="2" t="s">
        <v>1405</v>
      </c>
      <c r="C510" s="2" t="s">
        <v>520</v>
      </c>
      <c r="D510" s="2" t="s">
        <v>45</v>
      </c>
      <c r="E510" s="3" t="n">
        <v>38</v>
      </c>
      <c r="F510" s="2" t="s">
        <v>46</v>
      </c>
      <c r="G510" s="2" t="s">
        <v>145</v>
      </c>
      <c r="H510" s="2" t="s">
        <v>48</v>
      </c>
      <c r="I510" s="4" t="n">
        <v>32500</v>
      </c>
      <c r="J510" s="2" t="s">
        <v>145</v>
      </c>
      <c r="K510" s="3" t="n">
        <v>17</v>
      </c>
      <c r="L510" s="2" t="s">
        <v>288</v>
      </c>
      <c r="M510" s="2" t="s">
        <v>147</v>
      </c>
      <c r="N510" s="2" t="s">
        <v>81</v>
      </c>
      <c r="O510" s="3" t="n">
        <v>0</v>
      </c>
      <c r="P510" s="2" t="s">
        <v>169</v>
      </c>
      <c r="Q510" s="2" t="s">
        <v>170</v>
      </c>
      <c r="R510" s="2" t="s">
        <v>92</v>
      </c>
      <c r="S510" s="2" t="s">
        <v>92</v>
      </c>
      <c r="T510" s="2" t="s">
        <v>2066</v>
      </c>
      <c r="U510" s="2" t="s">
        <v>192</v>
      </c>
      <c r="V510" s="4" t="n">
        <v>588000</v>
      </c>
      <c r="W510" s="5" t="n">
        <v>12.2</v>
      </c>
      <c r="X510" s="3" t="n">
        <v>78</v>
      </c>
      <c r="Y510" s="6" t="n">
        <v>46178</v>
      </c>
      <c r="Z510" s="6"/>
      <c r="AA510" s="6"/>
      <c r="AB510" s="4" t="n">
        <f aca="false">ROUND(PMT(W510/1200,X510,-V510),2)</f>
        <v>10954.75</v>
      </c>
      <c r="AC510" s="4" t="n">
        <v>819000</v>
      </c>
      <c r="AD510" s="3" t="n">
        <v>0</v>
      </c>
      <c r="AE510" s="4" t="n">
        <v>93100</v>
      </c>
      <c r="AF510" s="4" t="n">
        <v>35400</v>
      </c>
      <c r="AG510" s="3" t="n">
        <v>24</v>
      </c>
      <c r="AH510" s="4" t="n">
        <v>30300</v>
      </c>
      <c r="AI510" s="3" t="n">
        <v>685</v>
      </c>
      <c r="AJ510" s="7" t="n">
        <f aca="false">ROUND(AB510/I510,4)</f>
        <v>0.3371</v>
      </c>
      <c r="AK510" s="2" t="str">
        <f aca="false">IF(AND(AI510&gt;=750,AJ510&lt;=0.35),"Low",IF(AND(AI510&gt;=600,AJ510&lt;=0.5),"Medium","High"))</f>
        <v>Medium</v>
      </c>
      <c r="AL510" s="3" t="n">
        <v>4</v>
      </c>
      <c r="AM510" s="2" t="s">
        <v>233</v>
      </c>
      <c r="AN510" s="2"/>
      <c r="AO510" s="2" t="s">
        <v>127</v>
      </c>
      <c r="AP510" s="7" t="n">
        <v>0.38</v>
      </c>
    </row>
    <row r="511" customFormat="false" ht="15" hidden="false" customHeight="false" outlineLevel="0" collapsed="false">
      <c r="A511" s="2" t="s">
        <v>2067</v>
      </c>
      <c r="B511" s="2" t="s">
        <v>2068</v>
      </c>
      <c r="C511" s="2" t="s">
        <v>1382</v>
      </c>
      <c r="D511" s="2" t="s">
        <v>45</v>
      </c>
      <c r="E511" s="3" t="n">
        <v>46</v>
      </c>
      <c r="F511" s="2" t="s">
        <v>434</v>
      </c>
      <c r="G511" s="2" t="s">
        <v>207</v>
      </c>
      <c r="H511" s="2" t="s">
        <v>101</v>
      </c>
      <c r="I511" s="4" t="n">
        <v>113000</v>
      </c>
      <c r="J511" s="2" t="s">
        <v>49</v>
      </c>
      <c r="K511" s="3" t="n">
        <v>22</v>
      </c>
      <c r="L511" s="2" t="s">
        <v>138</v>
      </c>
      <c r="M511" s="2" t="s">
        <v>139</v>
      </c>
      <c r="N511" s="2" t="s">
        <v>81</v>
      </c>
      <c r="O511" s="3" t="n">
        <v>1</v>
      </c>
      <c r="P511" s="2" t="s">
        <v>197</v>
      </c>
      <c r="Q511" s="2" t="s">
        <v>198</v>
      </c>
      <c r="R511" s="2" t="s">
        <v>139</v>
      </c>
      <c r="S511" s="2" t="s">
        <v>139</v>
      </c>
      <c r="T511" s="2" t="s">
        <v>2069</v>
      </c>
      <c r="U511" s="2" t="s">
        <v>118</v>
      </c>
      <c r="V511" s="4" t="n">
        <v>1500000</v>
      </c>
      <c r="W511" s="5" t="n">
        <v>8.51</v>
      </c>
      <c r="X511" s="3" t="n">
        <v>60</v>
      </c>
      <c r="Y511" s="6" t="n">
        <v>46194</v>
      </c>
      <c r="Z511" s="6" t="n">
        <v>46197</v>
      </c>
      <c r="AA511" s="6" t="n">
        <v>46201</v>
      </c>
      <c r="AB511" s="4" t="n">
        <f aca="false">ROUND(PMT(W511/1200,X511,-V511),2)</f>
        <v>30782.03</v>
      </c>
      <c r="AC511" s="4" t="n">
        <v>0</v>
      </c>
      <c r="AD511" s="3" t="n">
        <v>0</v>
      </c>
      <c r="AE511" s="4" t="n">
        <v>135000</v>
      </c>
      <c r="AF511" s="4" t="n">
        <v>46800</v>
      </c>
      <c r="AG511" s="3" t="n">
        <v>43</v>
      </c>
      <c r="AH511" s="4" t="n">
        <v>105500</v>
      </c>
      <c r="AI511" s="3" t="n">
        <v>719</v>
      </c>
      <c r="AJ511" s="7" t="n">
        <f aca="false">ROUND(AB511/I511,4)</f>
        <v>0.2724</v>
      </c>
      <c r="AK511" s="2" t="str">
        <f aca="false">IF(AND(AI511&gt;=750,AJ511&lt;=0.35),"Low",IF(AND(AI511&gt;=600,AJ511&lt;=0.5),"Medium","High"))</f>
        <v>Medium</v>
      </c>
      <c r="AL511" s="3" t="n">
        <v>5</v>
      </c>
      <c r="AM511" s="2" t="s">
        <v>233</v>
      </c>
      <c r="AN511" s="2" t="s">
        <v>119</v>
      </c>
      <c r="AO511" s="2" t="s">
        <v>60</v>
      </c>
      <c r="AP511" s="7" t="n">
        <v>0.41</v>
      </c>
    </row>
    <row r="512" customFormat="false" ht="15" hidden="false" customHeight="false" outlineLevel="0" collapsed="false">
      <c r="A512" s="2" t="s">
        <v>2070</v>
      </c>
      <c r="B512" s="2" t="s">
        <v>1643</v>
      </c>
      <c r="C512" s="2" t="s">
        <v>555</v>
      </c>
      <c r="D512" s="2" t="s">
        <v>45</v>
      </c>
      <c r="E512" s="3" t="n">
        <v>66</v>
      </c>
      <c r="F512" s="2" t="s">
        <v>64</v>
      </c>
      <c r="G512" s="2" t="s">
        <v>145</v>
      </c>
      <c r="H512" s="2" t="s">
        <v>77</v>
      </c>
      <c r="I512" s="4" t="n">
        <v>27000</v>
      </c>
      <c r="J512" s="2" t="s">
        <v>145</v>
      </c>
      <c r="K512" s="3" t="n">
        <v>39</v>
      </c>
      <c r="L512" s="2" t="s">
        <v>51</v>
      </c>
      <c r="M512" s="2" t="s">
        <v>51</v>
      </c>
      <c r="N512" s="2" t="s">
        <v>102</v>
      </c>
      <c r="O512" s="3" t="n">
        <v>3</v>
      </c>
      <c r="P512" s="2" t="s">
        <v>131</v>
      </c>
      <c r="Q512" s="2" t="s">
        <v>132</v>
      </c>
      <c r="R512" s="2" t="s">
        <v>51</v>
      </c>
      <c r="S512" s="2" t="s">
        <v>51</v>
      </c>
      <c r="T512" s="2" t="s">
        <v>2071</v>
      </c>
      <c r="U512" s="2" t="s">
        <v>180</v>
      </c>
      <c r="V512" s="4" t="n">
        <v>300000</v>
      </c>
      <c r="W512" s="5" t="n">
        <v>12.1</v>
      </c>
      <c r="X512" s="3" t="n">
        <v>18</v>
      </c>
      <c r="Y512" s="6" t="n">
        <v>46187</v>
      </c>
      <c r="Z512" s="6" t="n">
        <v>46197</v>
      </c>
      <c r="AA512" s="6" t="n">
        <v>46199</v>
      </c>
      <c r="AB512" s="4" t="n">
        <f aca="false">ROUND(PMT(W512/1200,X512,-V512),2)</f>
        <v>18308.55</v>
      </c>
      <c r="AC512" s="4" t="n">
        <v>361000</v>
      </c>
      <c r="AD512" s="3" t="n">
        <v>0</v>
      </c>
      <c r="AE512" s="4" t="n">
        <v>69400</v>
      </c>
      <c r="AF512" s="4" t="n">
        <v>24400</v>
      </c>
      <c r="AG512" s="3" t="n">
        <v>42</v>
      </c>
      <c r="AH512" s="4" t="n">
        <v>22100</v>
      </c>
      <c r="AI512" s="3" t="n">
        <v>796</v>
      </c>
      <c r="AJ512" s="7" t="n">
        <f aca="false">ROUND(AB512/I512,4)</f>
        <v>0.6781</v>
      </c>
      <c r="AK512" s="2" t="str">
        <f aca="false">IF(AND(AI512&gt;=750,AJ512&lt;=0.35),"Low",IF(AND(AI512&gt;=600,AJ512&lt;=0.5),"Medium","High"))</f>
        <v>High</v>
      </c>
      <c r="AL512" s="3" t="n">
        <v>3</v>
      </c>
      <c r="AM512" s="2" t="s">
        <v>58</v>
      </c>
      <c r="AN512" s="2" t="s">
        <v>59</v>
      </c>
      <c r="AO512" s="2" t="s">
        <v>60</v>
      </c>
      <c r="AP512" s="7" t="n">
        <v>0.163</v>
      </c>
    </row>
    <row r="513" customFormat="false" ht="15" hidden="false" customHeight="false" outlineLevel="0" collapsed="false">
      <c r="A513" s="2" t="s">
        <v>2072</v>
      </c>
      <c r="B513" s="2" t="s">
        <v>2073</v>
      </c>
      <c r="C513" s="2" t="s">
        <v>2074</v>
      </c>
      <c r="D513" s="2" t="s">
        <v>109</v>
      </c>
      <c r="E513" s="3" t="n">
        <v>49</v>
      </c>
      <c r="F513" s="2" t="s">
        <v>46</v>
      </c>
      <c r="G513" s="2" t="s">
        <v>207</v>
      </c>
      <c r="H513" s="2" t="s">
        <v>101</v>
      </c>
      <c r="I513" s="4" t="n">
        <v>83000</v>
      </c>
      <c r="J513" s="2" t="s">
        <v>49</v>
      </c>
      <c r="K513" s="3" t="n">
        <v>26</v>
      </c>
      <c r="L513" s="2" t="s">
        <v>95</v>
      </c>
      <c r="M513" s="2" t="s">
        <v>92</v>
      </c>
      <c r="N513" s="2" t="s">
        <v>52</v>
      </c>
      <c r="O513" s="3" t="n">
        <v>0</v>
      </c>
      <c r="P513" s="2" t="s">
        <v>93</v>
      </c>
      <c r="Q513" s="2" t="s">
        <v>94</v>
      </c>
      <c r="R513" s="2" t="s">
        <v>95</v>
      </c>
      <c r="S513" s="2" t="s">
        <v>92</v>
      </c>
      <c r="T513" s="2" t="s">
        <v>2075</v>
      </c>
      <c r="U513" s="2" t="s">
        <v>72</v>
      </c>
      <c r="V513" s="4" t="n">
        <v>1628000</v>
      </c>
      <c r="W513" s="5" t="n">
        <v>16.49</v>
      </c>
      <c r="X513" s="3" t="n">
        <v>72</v>
      </c>
      <c r="Y513" s="6" t="n">
        <v>46199</v>
      </c>
      <c r="Z513" s="6"/>
      <c r="AA513" s="6"/>
      <c r="AB513" s="4" t="n">
        <f aca="false">ROUND(PMT(W513/1200,X513,-V513),2)</f>
        <v>35754.98</v>
      </c>
      <c r="AC513" s="4" t="n">
        <v>2192000</v>
      </c>
      <c r="AD513" s="3" t="n">
        <v>0</v>
      </c>
      <c r="AE513" s="4" t="n">
        <v>191600</v>
      </c>
      <c r="AF513" s="4" t="n">
        <v>44400</v>
      </c>
      <c r="AG513" s="3" t="n">
        <v>16</v>
      </c>
      <c r="AH513" s="4" t="n">
        <v>38800</v>
      </c>
      <c r="AI513" s="3" t="n">
        <v>569</v>
      </c>
      <c r="AJ513" s="7" t="n">
        <f aca="false">ROUND(AB513/I513,4)</f>
        <v>0.4308</v>
      </c>
      <c r="AK513" s="2" t="str">
        <f aca="false">IF(AND(AI513&gt;=750,AJ513&lt;=0.35),"Low",IF(AND(AI513&gt;=600,AJ513&lt;=0.5),"Medium","High"))</f>
        <v>High</v>
      </c>
      <c r="AL513" s="3" t="n">
        <v>2</v>
      </c>
      <c r="AM513" s="2" t="s">
        <v>58</v>
      </c>
      <c r="AN513" s="2"/>
      <c r="AO513" s="2" t="s">
        <v>127</v>
      </c>
      <c r="AP513" s="7" t="n">
        <v>0.35</v>
      </c>
    </row>
    <row r="514" customFormat="false" ht="15" hidden="false" customHeight="false" outlineLevel="0" collapsed="false">
      <c r="A514" s="2" t="s">
        <v>2076</v>
      </c>
      <c r="B514" s="2" t="s">
        <v>1480</v>
      </c>
      <c r="C514" s="2" t="s">
        <v>2077</v>
      </c>
      <c r="D514" s="2" t="s">
        <v>45</v>
      </c>
      <c r="E514" s="3" t="n">
        <v>29</v>
      </c>
      <c r="F514" s="2" t="s">
        <v>434</v>
      </c>
      <c r="G514" s="2" t="s">
        <v>154</v>
      </c>
      <c r="H514" s="2" t="s">
        <v>77</v>
      </c>
      <c r="I514" s="4" t="n">
        <v>30500</v>
      </c>
      <c r="J514" s="2" t="s">
        <v>145</v>
      </c>
      <c r="K514" s="3" t="n">
        <v>4</v>
      </c>
      <c r="L514" s="2" t="s">
        <v>80</v>
      </c>
      <c r="M514" s="2" t="s">
        <v>80</v>
      </c>
      <c r="N514" s="2" t="s">
        <v>52</v>
      </c>
      <c r="O514" s="3" t="n">
        <v>0</v>
      </c>
      <c r="P514" s="2" t="s">
        <v>82</v>
      </c>
      <c r="Q514" s="2" t="s">
        <v>83</v>
      </c>
      <c r="R514" s="2" t="s">
        <v>80</v>
      </c>
      <c r="S514" s="2" t="s">
        <v>80</v>
      </c>
      <c r="T514" s="2" t="s">
        <v>2078</v>
      </c>
      <c r="U514" s="2" t="s">
        <v>118</v>
      </c>
      <c r="V514" s="4" t="n">
        <v>940000</v>
      </c>
      <c r="W514" s="5" t="n">
        <v>8.48</v>
      </c>
      <c r="X514" s="3" t="n">
        <v>78</v>
      </c>
      <c r="Y514" s="6" t="n">
        <v>46176</v>
      </c>
      <c r="Z514" s="6" t="n">
        <v>46182</v>
      </c>
      <c r="AA514" s="6" t="n">
        <v>46184</v>
      </c>
      <c r="AB514" s="4" t="n">
        <f aca="false">ROUND(PMT(W514/1200,X514,-V514),2)</f>
        <v>15717.68</v>
      </c>
      <c r="AC514" s="4" t="n">
        <v>0</v>
      </c>
      <c r="AD514" s="3" t="n">
        <v>0</v>
      </c>
      <c r="AE514" s="4" t="n">
        <v>110400</v>
      </c>
      <c r="AF514" s="4" t="n">
        <v>55400</v>
      </c>
      <c r="AG514" s="3" t="n">
        <v>22</v>
      </c>
      <c r="AH514" s="4" t="n">
        <v>13600</v>
      </c>
      <c r="AI514" s="3" t="n">
        <v>745</v>
      </c>
      <c r="AJ514" s="7" t="n">
        <f aca="false">ROUND(AB514/I514,4)</f>
        <v>0.5153</v>
      </c>
      <c r="AK514" s="2" t="str">
        <f aca="false">IF(AND(AI514&gt;=750,AJ514&lt;=0.35),"Low",IF(AND(AI514&gt;=600,AJ514&lt;=0.5),"Medium","High"))</f>
        <v>High</v>
      </c>
      <c r="AL514" s="3" t="n">
        <v>1</v>
      </c>
      <c r="AM514" s="2" t="s">
        <v>58</v>
      </c>
      <c r="AN514" s="2" t="s">
        <v>59</v>
      </c>
      <c r="AO514" s="2" t="s">
        <v>60</v>
      </c>
      <c r="AP514" s="7" t="n">
        <v>0.203</v>
      </c>
    </row>
    <row r="515" customFormat="false" ht="15" hidden="false" customHeight="false" outlineLevel="0" collapsed="false">
      <c r="A515" s="2" t="s">
        <v>2079</v>
      </c>
      <c r="B515" s="2" t="s">
        <v>2080</v>
      </c>
      <c r="C515" s="2" t="s">
        <v>2081</v>
      </c>
      <c r="D515" s="2" t="s">
        <v>109</v>
      </c>
      <c r="E515" s="3" t="n">
        <v>49</v>
      </c>
      <c r="F515" s="2" t="s">
        <v>64</v>
      </c>
      <c r="G515" s="2" t="s">
        <v>90</v>
      </c>
      <c r="H515" s="2"/>
      <c r="I515" s="4" t="n">
        <v>20500</v>
      </c>
      <c r="J515" s="2" t="s">
        <v>90</v>
      </c>
      <c r="K515" s="3" t="n">
        <v>27</v>
      </c>
      <c r="L515" s="2" t="s">
        <v>50</v>
      </c>
      <c r="M515" s="2" t="s">
        <v>51</v>
      </c>
      <c r="N515" s="2" t="s">
        <v>52</v>
      </c>
      <c r="O515" s="3" t="n">
        <v>0</v>
      </c>
      <c r="P515" s="2" t="s">
        <v>160</v>
      </c>
      <c r="Q515" s="2" t="s">
        <v>161</v>
      </c>
      <c r="R515" s="2" t="s">
        <v>159</v>
      </c>
      <c r="S515" s="2" t="s">
        <v>159</v>
      </c>
      <c r="T515" s="2" t="s">
        <v>2082</v>
      </c>
      <c r="U515" s="2" t="s">
        <v>57</v>
      </c>
      <c r="V515" s="4" t="n">
        <v>800000</v>
      </c>
      <c r="W515" s="5" t="n">
        <v>8.48</v>
      </c>
      <c r="X515" s="3" t="n">
        <v>150</v>
      </c>
      <c r="Y515" s="6" t="n">
        <v>46193</v>
      </c>
      <c r="Z515" s="6"/>
      <c r="AA515" s="6"/>
      <c r="AB515" s="4" t="n">
        <f aca="false">ROUND(PMT(W515/1200,X515,-V515),2)</f>
        <v>8667.43</v>
      </c>
      <c r="AC515" s="4" t="n">
        <v>860000</v>
      </c>
      <c r="AD515" s="3" t="n">
        <v>2</v>
      </c>
      <c r="AE515" s="4" t="n">
        <v>38300</v>
      </c>
      <c r="AF515" s="4" t="n">
        <v>20000</v>
      </c>
      <c r="AG515" s="3" t="n">
        <v>29</v>
      </c>
      <c r="AH515" s="4" t="n">
        <v>6200</v>
      </c>
      <c r="AI515" s="3" t="n">
        <v>734</v>
      </c>
      <c r="AJ515" s="7" t="n">
        <f aca="false">ROUND(AB515/I515,4)</f>
        <v>0.4228</v>
      </c>
      <c r="AK515" s="2" t="str">
        <f aca="false">IF(AND(AI515&gt;=750,AJ515&lt;=0.35),"Low",IF(AND(AI515&gt;=600,AJ515&lt;=0.5),"Medium","High"))</f>
        <v>Medium</v>
      </c>
      <c r="AL515" s="3" t="n">
        <v>2</v>
      </c>
      <c r="AM515" s="2" t="s">
        <v>58</v>
      </c>
      <c r="AN515" s="2"/>
      <c r="AO515" s="2" t="s">
        <v>134</v>
      </c>
      <c r="AP515" s="7" t="n">
        <v>0.254</v>
      </c>
    </row>
    <row r="516" customFormat="false" ht="15" hidden="false" customHeight="false" outlineLevel="0" collapsed="false">
      <c r="A516" s="2" t="s">
        <v>2083</v>
      </c>
      <c r="B516" s="2" t="s">
        <v>2084</v>
      </c>
      <c r="C516" s="2" t="s">
        <v>2085</v>
      </c>
      <c r="D516" s="2" t="s">
        <v>45</v>
      </c>
      <c r="E516" s="3" t="n">
        <v>45</v>
      </c>
      <c r="F516" s="2"/>
      <c r="G516" s="2"/>
      <c r="H516" s="2"/>
      <c r="I516" s="4" t="n">
        <v>72500</v>
      </c>
      <c r="J516" s="2" t="s">
        <v>49</v>
      </c>
      <c r="K516" s="3" t="n">
        <v>27</v>
      </c>
      <c r="L516" s="2" t="s">
        <v>95</v>
      </c>
      <c r="M516" s="2" t="s">
        <v>92</v>
      </c>
      <c r="N516" s="2" t="s">
        <v>140</v>
      </c>
      <c r="O516" s="3" t="n">
        <v>0</v>
      </c>
      <c r="P516" s="2" t="s">
        <v>93</v>
      </c>
      <c r="Q516" s="2" t="s">
        <v>94</v>
      </c>
      <c r="R516" s="2" t="s">
        <v>95</v>
      </c>
      <c r="S516" s="2" t="s">
        <v>92</v>
      </c>
      <c r="T516" s="2" t="s">
        <v>2086</v>
      </c>
      <c r="U516" s="2" t="s">
        <v>192</v>
      </c>
      <c r="V516" s="4" t="n">
        <v>1206000</v>
      </c>
      <c r="W516" s="5" t="n">
        <v>12.59</v>
      </c>
      <c r="X516" s="3" t="n">
        <v>84</v>
      </c>
      <c r="Y516" s="6" t="n">
        <v>46185</v>
      </c>
      <c r="Z516" s="6" t="n">
        <v>46189</v>
      </c>
      <c r="AA516" s="6" t="n">
        <v>46190</v>
      </c>
      <c r="AB516" s="4" t="n">
        <f aca="false">ROUND(PMT(W516/1200,X516,-V516),2)</f>
        <v>21671.59</v>
      </c>
      <c r="AC516" s="4" t="n">
        <v>1710000</v>
      </c>
      <c r="AD516" s="3" t="n">
        <v>1</v>
      </c>
      <c r="AE516" s="4" t="n">
        <v>37000</v>
      </c>
      <c r="AF516" s="4" t="n">
        <v>9300</v>
      </c>
      <c r="AG516" s="3" t="n">
        <v>23</v>
      </c>
      <c r="AH516" s="4" t="n">
        <v>28000</v>
      </c>
      <c r="AI516" s="3" t="n">
        <v>576</v>
      </c>
      <c r="AJ516" s="7" t="n">
        <f aca="false">ROUND(AB516/I516,4)</f>
        <v>0.2989</v>
      </c>
      <c r="AK516" s="2" t="str">
        <f aca="false">IF(AND(AI516&gt;=750,AJ516&lt;=0.35),"Low",IF(AND(AI516&gt;=600,AJ516&lt;=0.5),"Medium","High"))</f>
        <v>High</v>
      </c>
      <c r="AL516" s="3" t="n">
        <v>4</v>
      </c>
      <c r="AM516" s="2" t="s">
        <v>58</v>
      </c>
      <c r="AN516" s="2" t="s">
        <v>59</v>
      </c>
      <c r="AO516" s="2" t="s">
        <v>60</v>
      </c>
      <c r="AP516" s="7" t="n">
        <v>0.385</v>
      </c>
    </row>
    <row r="517" customFormat="false" ht="15" hidden="false" customHeight="false" outlineLevel="0" collapsed="false">
      <c r="A517" s="2" t="s">
        <v>2087</v>
      </c>
      <c r="B517" s="2" t="s">
        <v>2088</v>
      </c>
      <c r="C517" s="2" t="s">
        <v>2089</v>
      </c>
      <c r="D517" s="2" t="s">
        <v>45</v>
      </c>
      <c r="E517" s="3" t="n">
        <v>60</v>
      </c>
      <c r="F517" s="2" t="s">
        <v>46</v>
      </c>
      <c r="G517" s="2" t="s">
        <v>47</v>
      </c>
      <c r="H517" s="2" t="s">
        <v>101</v>
      </c>
      <c r="I517" s="4" t="n">
        <v>129500</v>
      </c>
      <c r="J517" s="2" t="s">
        <v>49</v>
      </c>
      <c r="K517" s="3" t="n">
        <v>32</v>
      </c>
      <c r="L517" s="2" t="s">
        <v>80</v>
      </c>
      <c r="M517" s="2" t="s">
        <v>80</v>
      </c>
      <c r="N517" s="2" t="s">
        <v>140</v>
      </c>
      <c r="O517" s="3" t="n">
        <v>1</v>
      </c>
      <c r="P517" s="2" t="s">
        <v>82</v>
      </c>
      <c r="Q517" s="2" t="s">
        <v>83</v>
      </c>
      <c r="R517" s="2" t="s">
        <v>80</v>
      </c>
      <c r="S517" s="2" t="s">
        <v>80</v>
      </c>
      <c r="T517" s="2" t="s">
        <v>2090</v>
      </c>
      <c r="U517" s="2" t="s">
        <v>180</v>
      </c>
      <c r="V517" s="4" t="n">
        <v>975000</v>
      </c>
      <c r="W517" s="5" t="n">
        <v>11.69</v>
      </c>
      <c r="X517" s="3" t="n">
        <v>36</v>
      </c>
      <c r="Y517" s="6" t="n">
        <v>46179</v>
      </c>
      <c r="Z517" s="6" t="n">
        <v>46184</v>
      </c>
      <c r="AA517" s="6" t="n">
        <v>46188</v>
      </c>
      <c r="AB517" s="4" t="n">
        <f aca="false">ROUND(PMT(W517/1200,X517,-V517),2)</f>
        <v>32239.78</v>
      </c>
      <c r="AC517" s="4" t="n">
        <v>1225000</v>
      </c>
      <c r="AD517" s="3" t="n">
        <v>1</v>
      </c>
      <c r="AE517" s="4" t="n">
        <v>178700</v>
      </c>
      <c r="AF517" s="4" t="n">
        <v>32700</v>
      </c>
      <c r="AG517" s="3" t="n">
        <v>50</v>
      </c>
      <c r="AH517" s="4" t="n">
        <v>75100</v>
      </c>
      <c r="AI517" s="3" t="n">
        <v>642</v>
      </c>
      <c r="AJ517" s="7" t="n">
        <f aca="false">ROUND(AB517/I517,4)</f>
        <v>0.249</v>
      </c>
      <c r="AK517" s="2" t="str">
        <f aca="false">IF(AND(AI517&gt;=750,AJ517&lt;=0.35),"Low",IF(AND(AI517&gt;=600,AJ517&lt;=0.5),"Medium","High"))</f>
        <v>Medium</v>
      </c>
      <c r="AL517" s="3" t="n">
        <v>1</v>
      </c>
      <c r="AM517" s="2" t="s">
        <v>58</v>
      </c>
      <c r="AN517" s="2" t="s">
        <v>59</v>
      </c>
      <c r="AO517" s="2" t="s">
        <v>60</v>
      </c>
      <c r="AP517" s="7" t="n">
        <v>0.25</v>
      </c>
    </row>
    <row r="518" customFormat="false" ht="15" hidden="false" customHeight="false" outlineLevel="0" collapsed="false">
      <c r="A518" s="2" t="s">
        <v>2091</v>
      </c>
      <c r="B518" s="2" t="s">
        <v>859</v>
      </c>
      <c r="C518" s="2" t="s">
        <v>2092</v>
      </c>
      <c r="D518" s="2" t="s">
        <v>45</v>
      </c>
      <c r="E518" s="3" t="n">
        <v>47</v>
      </c>
      <c r="F518" s="2" t="s">
        <v>64</v>
      </c>
      <c r="G518" s="2" t="s">
        <v>145</v>
      </c>
      <c r="H518" s="2" t="s">
        <v>111</v>
      </c>
      <c r="I518" s="4" t="n">
        <v>35000</v>
      </c>
      <c r="J518" s="2" t="s">
        <v>145</v>
      </c>
      <c r="K518" s="3" t="n">
        <v>20</v>
      </c>
      <c r="L518" s="2" t="s">
        <v>726</v>
      </c>
      <c r="M518" s="2" t="s">
        <v>147</v>
      </c>
      <c r="N518" s="2" t="s">
        <v>52</v>
      </c>
      <c r="O518" s="3" t="n">
        <v>1</v>
      </c>
      <c r="P518" s="2" t="s">
        <v>209</v>
      </c>
      <c r="Q518" s="2" t="s">
        <v>210</v>
      </c>
      <c r="R518" s="2" t="s">
        <v>211</v>
      </c>
      <c r="S518" s="2" t="s">
        <v>147</v>
      </c>
      <c r="T518" s="2" t="s">
        <v>2093</v>
      </c>
      <c r="U518" s="2" t="s">
        <v>192</v>
      </c>
      <c r="V518" s="4" t="n">
        <v>4915325</v>
      </c>
      <c r="W518" s="5" t="n">
        <v>12.26</v>
      </c>
      <c r="X518" s="3" t="n">
        <v>60</v>
      </c>
      <c r="Y518" s="6" t="n">
        <v>46200</v>
      </c>
      <c r="Z518" s="6" t="n">
        <v>46203</v>
      </c>
      <c r="AA518" s="6" t="n">
        <v>46204</v>
      </c>
      <c r="AB518" s="4" t="n">
        <f aca="false">ROUND(PMT(W518/1200,X518,-V518),2)</f>
        <v>109985.59</v>
      </c>
      <c r="AC518" s="4" t="n">
        <v>331000</v>
      </c>
      <c r="AD518" s="3" t="n">
        <v>1</v>
      </c>
      <c r="AE518" s="4" t="n">
        <v>25700</v>
      </c>
      <c r="AF518" s="4" t="n">
        <v>15100</v>
      </c>
      <c r="AG518" s="3" t="n">
        <v>33</v>
      </c>
      <c r="AH518" s="4" t="n">
        <v>37300</v>
      </c>
      <c r="AI518" s="3" t="n">
        <v>900</v>
      </c>
      <c r="AJ518" s="7" t="n">
        <f aca="false">ROUND(AB518/I518,4)</f>
        <v>3.1424</v>
      </c>
      <c r="AK518" s="2" t="str">
        <f aca="false">IF(AND(AI518&gt;=750,AJ518&lt;=0.35),"Low",IF(AND(AI518&gt;=600,AJ518&lt;=0.5),"Medium","High"))</f>
        <v>High</v>
      </c>
      <c r="AL518" s="3" t="n">
        <v>0</v>
      </c>
      <c r="AM518" s="2" t="s">
        <v>58</v>
      </c>
      <c r="AN518" s="2" t="s">
        <v>119</v>
      </c>
      <c r="AO518" s="2" t="s">
        <v>60</v>
      </c>
      <c r="AP518" s="7" t="n">
        <v>0.017</v>
      </c>
    </row>
    <row r="519" customFormat="false" ht="15" hidden="false" customHeight="false" outlineLevel="0" collapsed="false">
      <c r="A519" s="2" t="s">
        <v>2094</v>
      </c>
      <c r="B519" s="2" t="s">
        <v>2095</v>
      </c>
      <c r="C519" s="2" t="s">
        <v>214</v>
      </c>
      <c r="D519" s="2" t="s">
        <v>109</v>
      </c>
      <c r="E519" s="3" t="n">
        <v>37</v>
      </c>
      <c r="F519" s="2"/>
      <c r="G519" s="2" t="s">
        <v>110</v>
      </c>
      <c r="H519" s="2"/>
      <c r="I519" s="4" t="n">
        <v>11500</v>
      </c>
      <c r="J519" s="2" t="s">
        <v>112</v>
      </c>
      <c r="K519" s="3" t="n">
        <v>17</v>
      </c>
      <c r="L519" s="2" t="s">
        <v>139</v>
      </c>
      <c r="M519" s="2" t="s">
        <v>139</v>
      </c>
      <c r="N519" s="2" t="s">
        <v>140</v>
      </c>
      <c r="O519" s="3" t="n">
        <v>0</v>
      </c>
      <c r="P519" s="2" t="s">
        <v>197</v>
      </c>
      <c r="Q519" s="2" t="s">
        <v>198</v>
      </c>
      <c r="R519" s="2" t="s">
        <v>139</v>
      </c>
      <c r="S519" s="2" t="s">
        <v>139</v>
      </c>
      <c r="T519" s="2" t="s">
        <v>2096</v>
      </c>
      <c r="U519" s="2" t="s">
        <v>180</v>
      </c>
      <c r="V519" s="4" t="n">
        <v>300000</v>
      </c>
      <c r="W519" s="5" t="n">
        <v>11.1</v>
      </c>
      <c r="X519" s="3" t="n">
        <v>30</v>
      </c>
      <c r="Y519" s="6" t="n">
        <v>46177</v>
      </c>
      <c r="Z519" s="6" t="n">
        <v>46178</v>
      </c>
      <c r="AA519" s="6" t="n">
        <v>46184</v>
      </c>
      <c r="AB519" s="4" t="n">
        <f aca="false">ROUND(PMT(W519/1200,X519,-V519),2)</f>
        <v>11497.47</v>
      </c>
      <c r="AC519" s="4" t="n">
        <v>305000</v>
      </c>
      <c r="AD519" s="3" t="n">
        <v>0</v>
      </c>
      <c r="AE519" s="4" t="n">
        <v>18800</v>
      </c>
      <c r="AF519" s="4" t="n">
        <v>6300</v>
      </c>
      <c r="AG519" s="3" t="n">
        <v>46</v>
      </c>
      <c r="AH519" s="4" t="n">
        <v>11000</v>
      </c>
      <c r="AI519" s="3" t="n">
        <v>580</v>
      </c>
      <c r="AJ519" s="7" t="n">
        <f aca="false">ROUND(AB519/I519,4)</f>
        <v>0.9998</v>
      </c>
      <c r="AK519" s="2" t="str">
        <f aca="false">IF(AND(AI519&gt;=750,AJ519&lt;=0.35),"Low",IF(AND(AI519&gt;=600,AJ519&lt;=0.5),"Medium","High"))</f>
        <v>High</v>
      </c>
      <c r="AL519" s="3" t="n">
        <v>4</v>
      </c>
      <c r="AM519" s="2" t="s">
        <v>58</v>
      </c>
      <c r="AN519" s="2" t="s">
        <v>59</v>
      </c>
      <c r="AO519" s="2" t="s">
        <v>60</v>
      </c>
      <c r="AP519" s="7" t="n">
        <v>0.382</v>
      </c>
    </row>
    <row r="520" customFormat="false" ht="15" hidden="false" customHeight="false" outlineLevel="0" collapsed="false">
      <c r="A520" s="2" t="s">
        <v>2097</v>
      </c>
      <c r="B520" s="2" t="s">
        <v>1754</v>
      </c>
      <c r="C520" s="2" t="s">
        <v>331</v>
      </c>
      <c r="D520" s="2" t="s">
        <v>45</v>
      </c>
      <c r="E520" s="3" t="n">
        <v>23</v>
      </c>
      <c r="F520" s="2" t="s">
        <v>64</v>
      </c>
      <c r="G520" s="2" t="s">
        <v>176</v>
      </c>
      <c r="H520" s="2" t="s">
        <v>48</v>
      </c>
      <c r="I520" s="4" t="n">
        <v>60500</v>
      </c>
      <c r="J520" s="2" t="s">
        <v>177</v>
      </c>
      <c r="K520" s="3"/>
      <c r="L520" s="2" t="s">
        <v>188</v>
      </c>
      <c r="M520" s="2" t="s">
        <v>51</v>
      </c>
      <c r="N520" s="2" t="s">
        <v>140</v>
      </c>
      <c r="O520" s="3"/>
      <c r="P520" s="2" t="s">
        <v>189</v>
      </c>
      <c r="Q520" s="2" t="s">
        <v>190</v>
      </c>
      <c r="R520" s="2" t="s">
        <v>188</v>
      </c>
      <c r="S520" s="2" t="s">
        <v>51</v>
      </c>
      <c r="T520" s="2" t="s">
        <v>2098</v>
      </c>
      <c r="U520" s="2" t="s">
        <v>192</v>
      </c>
      <c r="V520" s="4" t="n">
        <v>1714000</v>
      </c>
      <c r="W520" s="5" t="n">
        <v>13.2</v>
      </c>
      <c r="X520" s="3" t="n">
        <v>66</v>
      </c>
      <c r="Y520" s="6" t="n">
        <v>46187</v>
      </c>
      <c r="Z520" s="6" t="n">
        <v>46193</v>
      </c>
      <c r="AA520" s="6" t="n">
        <v>46195</v>
      </c>
      <c r="AB520" s="4" t="n">
        <f aca="false">ROUND(PMT(W520/1200,X520,-V520),2)</f>
        <v>36663.97</v>
      </c>
      <c r="AC520" s="4" t="n">
        <v>2365000</v>
      </c>
      <c r="AD520" s="3" t="n">
        <v>0</v>
      </c>
      <c r="AE520" s="4" t="n">
        <v>226700</v>
      </c>
      <c r="AF520" s="4" t="n">
        <v>60400</v>
      </c>
      <c r="AG520" s="3" t="n">
        <v>35</v>
      </c>
      <c r="AH520" s="4" t="n">
        <v>42500</v>
      </c>
      <c r="AI520" s="3" t="n">
        <v>651</v>
      </c>
      <c r="AJ520" s="7" t="n">
        <f aca="false">ROUND(AB520/I520,4)</f>
        <v>0.606</v>
      </c>
      <c r="AK520" s="2" t="str">
        <f aca="false">IF(AND(AI520&gt;=750,AJ520&lt;=0.35),"Low",IF(AND(AI520&gt;=600,AJ520&lt;=0.5),"Medium","High"))</f>
        <v>High</v>
      </c>
      <c r="AL520" s="3" t="n">
        <v>1</v>
      </c>
      <c r="AM520" s="2" t="s">
        <v>58</v>
      </c>
      <c r="AN520" s="2" t="s">
        <v>59</v>
      </c>
      <c r="AO520" s="2" t="s">
        <v>60</v>
      </c>
      <c r="AP520" s="7" t="n">
        <v>0.296</v>
      </c>
    </row>
    <row r="521" customFormat="false" ht="15" hidden="false" customHeight="false" outlineLevel="0" collapsed="false">
      <c r="A521" s="2" t="s">
        <v>2099</v>
      </c>
      <c r="B521" s="2" t="s">
        <v>2100</v>
      </c>
      <c r="C521" s="2" t="s">
        <v>2101</v>
      </c>
      <c r="D521" s="2" t="s">
        <v>45</v>
      </c>
      <c r="E521" s="3" t="n">
        <v>33</v>
      </c>
      <c r="F521" s="2" t="s">
        <v>64</v>
      </c>
      <c r="G521" s="2" t="s">
        <v>145</v>
      </c>
      <c r="H521" s="2" t="s">
        <v>111</v>
      </c>
      <c r="I521" s="4" t="n">
        <v>23000</v>
      </c>
      <c r="J521" s="2" t="s">
        <v>145</v>
      </c>
      <c r="K521" s="3" t="n">
        <v>11</v>
      </c>
      <c r="L521" s="2" t="s">
        <v>80</v>
      </c>
      <c r="M521" s="2" t="s">
        <v>80</v>
      </c>
      <c r="N521" s="2" t="s">
        <v>140</v>
      </c>
      <c r="O521" s="3" t="n">
        <v>1</v>
      </c>
      <c r="P521" s="2" t="s">
        <v>82</v>
      </c>
      <c r="Q521" s="2" t="s">
        <v>83</v>
      </c>
      <c r="R521" s="2" t="s">
        <v>80</v>
      </c>
      <c r="S521" s="2" t="s">
        <v>80</v>
      </c>
      <c r="T521" s="2" t="s">
        <v>2102</v>
      </c>
      <c r="U521" s="2" t="s">
        <v>72</v>
      </c>
      <c r="V521" s="4" t="n">
        <v>413000</v>
      </c>
      <c r="W521" s="5" t="n">
        <v>16.58</v>
      </c>
      <c r="X521" s="3" t="n">
        <v>72</v>
      </c>
      <c r="Y521" s="6" t="n">
        <v>46203</v>
      </c>
      <c r="Z521" s="6" t="n">
        <v>46206</v>
      </c>
      <c r="AA521" s="6" t="n">
        <v>46210</v>
      </c>
      <c r="AB521" s="4" t="n">
        <f aca="false">ROUND(PMT(W521/1200,X521,-V521),2)</f>
        <v>9091.13</v>
      </c>
      <c r="AC521" s="4" t="n">
        <v>598000</v>
      </c>
      <c r="AD521" s="3"/>
      <c r="AE521" s="4" t="n">
        <v>83400</v>
      </c>
      <c r="AF521" s="4" t="n">
        <v>20500</v>
      </c>
      <c r="AG521" s="3" t="n">
        <v>46</v>
      </c>
      <c r="AH521" s="4" t="n">
        <v>17300</v>
      </c>
      <c r="AI521" s="3" t="n">
        <v>639</v>
      </c>
      <c r="AJ521" s="7" t="n">
        <f aca="false">ROUND(AB521/I521,4)</f>
        <v>0.3953</v>
      </c>
      <c r="AK521" s="2" t="str">
        <f aca="false">IF(AND(AI521&gt;=750,AJ521&lt;=0.35),"Low",IF(AND(AI521&gt;=600,AJ521&lt;=0.5),"Medium","High"))</f>
        <v>Medium</v>
      </c>
      <c r="AL521" s="3" t="n">
        <v>4</v>
      </c>
      <c r="AM521" s="2" t="s">
        <v>58</v>
      </c>
      <c r="AN521" s="2" t="s">
        <v>59</v>
      </c>
      <c r="AO521" s="2" t="s">
        <v>60</v>
      </c>
      <c r="AP521" s="7" t="n">
        <v>0.286</v>
      </c>
    </row>
    <row r="522" customFormat="false" ht="15" hidden="false" customHeight="false" outlineLevel="0" collapsed="false">
      <c r="A522" s="2" t="s">
        <v>2103</v>
      </c>
      <c r="B522" s="2" t="s">
        <v>2104</v>
      </c>
      <c r="C522" s="2" t="s">
        <v>537</v>
      </c>
      <c r="D522" s="2" t="s">
        <v>109</v>
      </c>
      <c r="E522" s="3" t="n">
        <v>33</v>
      </c>
      <c r="F522" s="2" t="s">
        <v>64</v>
      </c>
      <c r="G522" s="2" t="s">
        <v>145</v>
      </c>
      <c r="H522" s="2" t="s">
        <v>77</v>
      </c>
      <c r="I522" s="4" t="n">
        <v>30500</v>
      </c>
      <c r="J522" s="2" t="s">
        <v>145</v>
      </c>
      <c r="K522" s="3" t="n">
        <v>8</v>
      </c>
      <c r="L522" s="2" t="s">
        <v>1251</v>
      </c>
      <c r="M522" s="2" t="s">
        <v>51</v>
      </c>
      <c r="N522" s="2" t="s">
        <v>52</v>
      </c>
      <c r="O522" s="3" t="n">
        <v>3</v>
      </c>
      <c r="P522" s="2" t="s">
        <v>53</v>
      </c>
      <c r="Q522" s="2" t="s">
        <v>54</v>
      </c>
      <c r="R522" s="2" t="s">
        <v>55</v>
      </c>
      <c r="S522" s="2" t="s">
        <v>51</v>
      </c>
      <c r="T522" s="2" t="s">
        <v>2105</v>
      </c>
      <c r="U522" s="2" t="s">
        <v>72</v>
      </c>
      <c r="V522" s="4" t="n">
        <v>489000</v>
      </c>
      <c r="W522" s="5" t="n">
        <v>13.91</v>
      </c>
      <c r="X522" s="3" t="n">
        <v>42</v>
      </c>
      <c r="Y522" s="6" t="n">
        <v>46201</v>
      </c>
      <c r="Z522" s="6" t="n">
        <v>46203</v>
      </c>
      <c r="AA522" s="6" t="n">
        <v>46206</v>
      </c>
      <c r="AB522" s="4" t="n">
        <f aca="false">ROUND(PMT(W522/1200,X522,-V522),2)</f>
        <v>14772.13</v>
      </c>
      <c r="AC522" s="4" t="n">
        <v>679000</v>
      </c>
      <c r="AD522" s="3" t="n">
        <v>0</v>
      </c>
      <c r="AE522" s="4" t="n">
        <v>42800</v>
      </c>
      <c r="AF522" s="4" t="n">
        <v>5100</v>
      </c>
      <c r="AG522" s="3" t="n">
        <v>32</v>
      </c>
      <c r="AH522" s="4" t="n">
        <v>23400</v>
      </c>
      <c r="AI522" s="3" t="n">
        <v>689</v>
      </c>
      <c r="AJ522" s="7" t="n">
        <f aca="false">ROUND(AB522/I522,4)</f>
        <v>0.4843</v>
      </c>
      <c r="AK522" s="2" t="str">
        <f aca="false">IF(AND(AI522&gt;=750,AJ522&lt;=0.35),"Low",IF(AND(AI522&gt;=600,AJ522&lt;=0.5),"Medium","High"))</f>
        <v>Medium</v>
      </c>
      <c r="AL522" s="3" t="n">
        <v>2</v>
      </c>
      <c r="AM522" s="2" t="s">
        <v>58</v>
      </c>
      <c r="AN522" s="2" t="s">
        <v>258</v>
      </c>
      <c r="AO522" s="2" t="s">
        <v>86</v>
      </c>
      <c r="AP522" s="7" t="n">
        <v>0.183</v>
      </c>
    </row>
    <row r="523" customFormat="false" ht="15" hidden="false" customHeight="false" outlineLevel="0" collapsed="false">
      <c r="A523" s="2" t="s">
        <v>2106</v>
      </c>
      <c r="B523" s="2" t="s">
        <v>2107</v>
      </c>
      <c r="C523" s="2" t="s">
        <v>2108</v>
      </c>
      <c r="D523" s="2" t="s">
        <v>45</v>
      </c>
      <c r="E523" s="3" t="n">
        <v>31</v>
      </c>
      <c r="F523" s="2"/>
      <c r="G523" s="2" t="s">
        <v>246</v>
      </c>
      <c r="H523" s="2" t="s">
        <v>111</v>
      </c>
      <c r="I523" s="4" t="n">
        <v>11000</v>
      </c>
      <c r="J523" s="2" t="s">
        <v>145</v>
      </c>
      <c r="K523" s="3" t="n">
        <v>11</v>
      </c>
      <c r="L523" s="2" t="s">
        <v>91</v>
      </c>
      <c r="M523" s="2" t="s">
        <v>92</v>
      </c>
      <c r="N523" s="2" t="s">
        <v>140</v>
      </c>
      <c r="O523" s="3"/>
      <c r="P523" s="2" t="s">
        <v>124</v>
      </c>
      <c r="Q523" s="2" t="s">
        <v>125</v>
      </c>
      <c r="R523" s="2" t="s">
        <v>91</v>
      </c>
      <c r="S523" s="2" t="s">
        <v>92</v>
      </c>
      <c r="T523" s="2" t="s">
        <v>2109</v>
      </c>
      <c r="U523" s="2" t="s">
        <v>85</v>
      </c>
      <c r="V523" s="4" t="n">
        <v>57000</v>
      </c>
      <c r="W523" s="5" t="n">
        <v>10.36</v>
      </c>
      <c r="X523" s="3" t="n">
        <v>12</v>
      </c>
      <c r="Y523" s="6" t="n">
        <v>46191</v>
      </c>
      <c r="Z523" s="6"/>
      <c r="AA523" s="6"/>
      <c r="AB523" s="4" t="n">
        <f aca="false">ROUND(PMT(W523/1200,X523,-V523),2)</f>
        <v>5020.75</v>
      </c>
      <c r="AC523" s="4" t="n">
        <v>0</v>
      </c>
      <c r="AD523" s="3" t="n">
        <v>2</v>
      </c>
      <c r="AE523" s="4" t="n">
        <v>7700</v>
      </c>
      <c r="AF523" s="4" t="n">
        <v>4500</v>
      </c>
      <c r="AG523" s="3" t="n">
        <v>8</v>
      </c>
      <c r="AH523" s="4" t="n">
        <v>8500</v>
      </c>
      <c r="AI523" s="3" t="n">
        <v>735</v>
      </c>
      <c r="AJ523" s="7" t="n">
        <f aca="false">ROUND(AB523/I523,4)</f>
        <v>0.4564</v>
      </c>
      <c r="AK523" s="2" t="str">
        <f aca="false">IF(AND(AI523&gt;=750,AJ523&lt;=0.35),"Low",IF(AND(AI523&gt;=600,AJ523&lt;=0.5),"Medium","High"))</f>
        <v>Medium</v>
      </c>
      <c r="AL523" s="3" t="n">
        <v>0</v>
      </c>
      <c r="AM523" s="2" t="s">
        <v>58</v>
      </c>
      <c r="AN523" s="2"/>
      <c r="AO523" s="2" t="s">
        <v>134</v>
      </c>
      <c r="AP523" s="7" t="n">
        <v>0.18</v>
      </c>
    </row>
    <row r="524" customFormat="false" ht="15" hidden="false" customHeight="false" outlineLevel="0" collapsed="false">
      <c r="A524" s="2" t="s">
        <v>2110</v>
      </c>
      <c r="B524" s="2" t="s">
        <v>2111</v>
      </c>
      <c r="C524" s="2" t="s">
        <v>2049</v>
      </c>
      <c r="D524" s="2" t="s">
        <v>45</v>
      </c>
      <c r="E524" s="3" t="n">
        <v>59</v>
      </c>
      <c r="F524" s="2" t="s">
        <v>46</v>
      </c>
      <c r="G524" s="2" t="s">
        <v>154</v>
      </c>
      <c r="H524" s="2"/>
      <c r="I524" s="4" t="n">
        <v>62000</v>
      </c>
      <c r="J524" s="2" t="s">
        <v>145</v>
      </c>
      <c r="K524" s="3" t="n">
        <v>36</v>
      </c>
      <c r="L524" s="2" t="s">
        <v>51</v>
      </c>
      <c r="M524" s="2" t="s">
        <v>51</v>
      </c>
      <c r="N524" s="2" t="s">
        <v>81</v>
      </c>
      <c r="O524" s="3" t="n">
        <v>0</v>
      </c>
      <c r="P524" s="2" t="s">
        <v>131</v>
      </c>
      <c r="Q524" s="2" t="s">
        <v>132</v>
      </c>
      <c r="R524" s="2" t="s">
        <v>51</v>
      </c>
      <c r="S524" s="2" t="s">
        <v>51</v>
      </c>
      <c r="T524" s="2" t="s">
        <v>2112</v>
      </c>
      <c r="U524" s="2" t="s">
        <v>192</v>
      </c>
      <c r="V524" s="4" t="n">
        <v>612000</v>
      </c>
      <c r="W524" s="5" t="n">
        <v>13.05</v>
      </c>
      <c r="X524" s="3" t="n">
        <v>30</v>
      </c>
      <c r="Y524" s="6" t="n">
        <v>46184</v>
      </c>
      <c r="Z524" s="6"/>
      <c r="AA524" s="6"/>
      <c r="AB524" s="4" t="n">
        <f aca="false">ROUND(PMT(W524/1200,X524,-V524),2)</f>
        <v>24018.13</v>
      </c>
      <c r="AC524" s="4" t="n">
        <v>680000</v>
      </c>
      <c r="AD524" s="3" t="n">
        <v>0</v>
      </c>
      <c r="AE524" s="4" t="n">
        <v>214800</v>
      </c>
      <c r="AF524" s="4" t="n">
        <v>110400</v>
      </c>
      <c r="AG524" s="3" t="n">
        <v>13</v>
      </c>
      <c r="AH524" s="4" t="n">
        <v>37600</v>
      </c>
      <c r="AI524" s="3" t="n">
        <v>893</v>
      </c>
      <c r="AJ524" s="7" t="n">
        <f aca="false">ROUND(AB524/I524,4)</f>
        <v>0.3874</v>
      </c>
      <c r="AK524" s="2" t="str">
        <f aca="false">IF(AND(AI524&gt;=750,AJ524&lt;=0.35),"Low",IF(AND(AI524&gt;=600,AJ524&lt;=0.5),"Medium","High"))</f>
        <v>Medium</v>
      </c>
      <c r="AL524" s="3" t="n">
        <v>0</v>
      </c>
      <c r="AM524" s="2" t="s">
        <v>58</v>
      </c>
      <c r="AN524" s="2"/>
      <c r="AO524" s="2" t="s">
        <v>134</v>
      </c>
      <c r="AP524" s="7" t="n">
        <v>0.03</v>
      </c>
    </row>
    <row r="525" customFormat="false" ht="15" hidden="false" customHeight="false" outlineLevel="0" collapsed="false">
      <c r="A525" s="2" t="s">
        <v>2113</v>
      </c>
      <c r="B525" s="2" t="s">
        <v>2114</v>
      </c>
      <c r="C525" s="2" t="s">
        <v>75</v>
      </c>
      <c r="D525" s="2" t="s">
        <v>109</v>
      </c>
      <c r="E525" s="3" t="n">
        <v>55</v>
      </c>
      <c r="F525" s="2" t="s">
        <v>434</v>
      </c>
      <c r="G525" s="2" t="s">
        <v>47</v>
      </c>
      <c r="H525" s="2" t="s">
        <v>48</v>
      </c>
      <c r="I525" s="4" t="n">
        <v>141500</v>
      </c>
      <c r="J525" s="2" t="s">
        <v>49</v>
      </c>
      <c r="K525" s="3" t="n">
        <v>34</v>
      </c>
      <c r="L525" s="2" t="s">
        <v>504</v>
      </c>
      <c r="M525" s="2" t="s">
        <v>51</v>
      </c>
      <c r="N525" s="2" t="s">
        <v>81</v>
      </c>
      <c r="O525" s="3" t="n">
        <v>0</v>
      </c>
      <c r="P525" s="2" t="s">
        <v>53</v>
      </c>
      <c r="Q525" s="2" t="s">
        <v>54</v>
      </c>
      <c r="R525" s="2" t="s">
        <v>55</v>
      </c>
      <c r="S525" s="2" t="s">
        <v>51</v>
      </c>
      <c r="T525" s="2" t="s">
        <v>2115</v>
      </c>
      <c r="U525" s="2" t="s">
        <v>85</v>
      </c>
      <c r="V525" s="4" t="n">
        <v>580000</v>
      </c>
      <c r="W525" s="5" t="n">
        <v>9.47</v>
      </c>
      <c r="X525" s="3" t="n">
        <v>12</v>
      </c>
      <c r="Y525" s="6" t="n">
        <v>46200</v>
      </c>
      <c r="Z525" s="6"/>
      <c r="AA525" s="6"/>
      <c r="AB525" s="4" t="n">
        <f aca="false">ROUND(PMT(W525/1200,X525,-V525),2)</f>
        <v>50848.36</v>
      </c>
      <c r="AC525" s="4" t="n">
        <v>0</v>
      </c>
      <c r="AD525" s="3" t="n">
        <v>0</v>
      </c>
      <c r="AE525" s="4" t="n">
        <v>229000</v>
      </c>
      <c r="AF525" s="4" t="n">
        <v>42100</v>
      </c>
      <c r="AG525" s="3" t="n">
        <v>3</v>
      </c>
      <c r="AH525" s="4" t="n">
        <v>72200</v>
      </c>
      <c r="AI525" s="3" t="n">
        <v>757</v>
      </c>
      <c r="AJ525" s="7" t="n">
        <f aca="false">ROUND(AB525/I525,4)</f>
        <v>0.3594</v>
      </c>
      <c r="AK525" s="2" t="str">
        <f aca="false">IF(AND(AI525&gt;=750,AJ525&lt;=0.35),"Low",IF(AND(AI525&gt;=600,AJ525&lt;=0.5),"Medium","High"))</f>
        <v>Medium</v>
      </c>
      <c r="AL525" s="3" t="n">
        <v>1</v>
      </c>
      <c r="AM525" s="2" t="s">
        <v>58</v>
      </c>
      <c r="AN525" s="2"/>
      <c r="AO525" s="2" t="s">
        <v>134</v>
      </c>
      <c r="AP525" s="7" t="n">
        <v>0.189</v>
      </c>
    </row>
    <row r="526" customFormat="false" ht="15" hidden="false" customHeight="false" outlineLevel="0" collapsed="false">
      <c r="A526" s="2" t="s">
        <v>2116</v>
      </c>
      <c r="B526" s="2" t="s">
        <v>2117</v>
      </c>
      <c r="C526" s="2" t="s">
        <v>2118</v>
      </c>
      <c r="D526" s="2" t="s">
        <v>45</v>
      </c>
      <c r="E526" s="3" t="n">
        <v>27</v>
      </c>
      <c r="F526" s="2" t="s">
        <v>64</v>
      </c>
      <c r="G526" s="2" t="s">
        <v>154</v>
      </c>
      <c r="H526" s="2" t="s">
        <v>77</v>
      </c>
      <c r="I526" s="4" t="n">
        <v>27500</v>
      </c>
      <c r="J526" s="2" t="s">
        <v>145</v>
      </c>
      <c r="K526" s="3" t="n">
        <v>2</v>
      </c>
      <c r="L526" s="2" t="s">
        <v>91</v>
      </c>
      <c r="M526" s="2" t="s">
        <v>92</v>
      </c>
      <c r="N526" s="2" t="s">
        <v>52</v>
      </c>
      <c r="O526" s="3" t="n">
        <v>0</v>
      </c>
      <c r="P526" s="2" t="s">
        <v>131</v>
      </c>
      <c r="Q526" s="2" t="s">
        <v>132</v>
      </c>
      <c r="R526" s="2" t="s">
        <v>51</v>
      </c>
      <c r="S526" s="2" t="s">
        <v>51</v>
      </c>
      <c r="T526" s="2" t="s">
        <v>2119</v>
      </c>
      <c r="U526" s="2" t="s">
        <v>72</v>
      </c>
      <c r="V526" s="4" t="n">
        <v>535000</v>
      </c>
      <c r="W526" s="5" t="n">
        <v>12.94</v>
      </c>
      <c r="X526" s="3" t="n">
        <v>78</v>
      </c>
      <c r="Y526" s="6" t="n">
        <v>46190</v>
      </c>
      <c r="Z526" s="6"/>
      <c r="AA526" s="6"/>
      <c r="AB526" s="4" t="n">
        <f aca="false">ROUND(PMT(W526/1200,X526,-V526),2)</f>
        <v>10178.02</v>
      </c>
      <c r="AC526" s="4" t="n">
        <v>727000</v>
      </c>
      <c r="AD526" s="3" t="n">
        <v>0</v>
      </c>
      <c r="AE526" s="4" t="n">
        <v>71600</v>
      </c>
      <c r="AF526" s="4" t="n">
        <v>31600</v>
      </c>
      <c r="AG526" s="3" t="n">
        <v>27</v>
      </c>
      <c r="AH526" s="4" t="n">
        <v>30100</v>
      </c>
      <c r="AI526" s="3" t="n">
        <v>624</v>
      </c>
      <c r="AJ526" s="7" t="n">
        <f aca="false">ROUND(AB526/I526,4)</f>
        <v>0.3701</v>
      </c>
      <c r="AK526" s="2" t="str">
        <f aca="false">IF(AND(AI526&gt;=750,AJ526&lt;=0.35),"Low",IF(AND(AI526&gt;=600,AJ526&lt;=0.5),"Medium","High"))</f>
        <v>Medium</v>
      </c>
      <c r="AL526" s="3" t="n">
        <v>1</v>
      </c>
      <c r="AM526" s="2" t="s">
        <v>58</v>
      </c>
      <c r="AN526" s="2"/>
      <c r="AO526" s="2" t="s">
        <v>134</v>
      </c>
      <c r="AP526" s="7" t="n">
        <v>0.356</v>
      </c>
    </row>
    <row r="527" customFormat="false" ht="15" hidden="false" customHeight="false" outlineLevel="0" collapsed="false">
      <c r="A527" s="2" t="s">
        <v>2120</v>
      </c>
      <c r="B527" s="2" t="s">
        <v>2121</v>
      </c>
      <c r="C527" s="2" t="s">
        <v>2122</v>
      </c>
      <c r="D527" s="2" t="s">
        <v>45</v>
      </c>
      <c r="E527" s="3" t="n">
        <v>44</v>
      </c>
      <c r="F527" s="2" t="s">
        <v>64</v>
      </c>
      <c r="G527" s="2" t="s">
        <v>90</v>
      </c>
      <c r="H527" s="2" t="s">
        <v>77</v>
      </c>
      <c r="I527" s="4" t="n">
        <v>17000</v>
      </c>
      <c r="J527" s="2" t="s">
        <v>90</v>
      </c>
      <c r="K527" s="3" t="n">
        <v>19</v>
      </c>
      <c r="L527" s="2" t="s">
        <v>188</v>
      </c>
      <c r="M527" s="2" t="s">
        <v>51</v>
      </c>
      <c r="N527" s="2" t="s">
        <v>52</v>
      </c>
      <c r="O527" s="3" t="n">
        <v>1</v>
      </c>
      <c r="P527" s="2" t="s">
        <v>53</v>
      </c>
      <c r="Q527" s="2" t="s">
        <v>54</v>
      </c>
      <c r="R527" s="2" t="s">
        <v>55</v>
      </c>
      <c r="S527" s="2" t="s">
        <v>51</v>
      </c>
      <c r="T527" s="2" t="s">
        <v>2123</v>
      </c>
      <c r="U527" s="2" t="s">
        <v>180</v>
      </c>
      <c r="V527" s="4" t="n">
        <v>300000</v>
      </c>
      <c r="W527" s="5" t="n">
        <v>9.51</v>
      </c>
      <c r="X527" s="3" t="n">
        <v>42</v>
      </c>
      <c r="Y527" s="6" t="n">
        <v>46201</v>
      </c>
      <c r="Z527" s="6" t="n">
        <v>46203</v>
      </c>
      <c r="AA527" s="6" t="n">
        <v>46205</v>
      </c>
      <c r="AB527" s="4" t="n">
        <f aca="false">ROUND(PMT(W527/1200,X527,-V527),2)</f>
        <v>8425.44</v>
      </c>
      <c r="AC527" s="4" t="n">
        <v>439000</v>
      </c>
      <c r="AD527" s="3" t="n">
        <v>0</v>
      </c>
      <c r="AE527" s="4" t="n">
        <v>54900</v>
      </c>
      <c r="AF527" s="4" t="n">
        <v>27000</v>
      </c>
      <c r="AG527" s="3" t="n">
        <v>9</v>
      </c>
      <c r="AH527" s="4" t="n">
        <v>12200</v>
      </c>
      <c r="AI527" s="3" t="n">
        <v>748</v>
      </c>
      <c r="AJ527" s="7" t="n">
        <f aca="false">ROUND(AB527/I527,4)</f>
        <v>0.4956</v>
      </c>
      <c r="AK527" s="2" t="str">
        <f aca="false">IF(AND(AI527&gt;=750,AJ527&lt;=0.35),"Low",IF(AND(AI527&gt;=600,AJ527&lt;=0.5),"Medium","High"))</f>
        <v>Medium</v>
      </c>
      <c r="AL527" s="3" t="n">
        <v>1</v>
      </c>
      <c r="AM527" s="2" t="s">
        <v>58</v>
      </c>
      <c r="AN527" s="2" t="s">
        <v>59</v>
      </c>
      <c r="AO527" s="2" t="s">
        <v>60</v>
      </c>
      <c r="AP527" s="7" t="n">
        <v>0.259</v>
      </c>
    </row>
    <row r="528" customFormat="false" ht="15" hidden="false" customHeight="false" outlineLevel="0" collapsed="false">
      <c r="A528" s="2" t="s">
        <v>2124</v>
      </c>
      <c r="B528" s="2" t="s">
        <v>2125</v>
      </c>
      <c r="C528" s="2" t="s">
        <v>2126</v>
      </c>
      <c r="D528" s="2" t="s">
        <v>45</v>
      </c>
      <c r="E528" s="3" t="n">
        <v>34</v>
      </c>
      <c r="F528" s="2" t="s">
        <v>64</v>
      </c>
      <c r="G528" s="2"/>
      <c r="H528" s="2" t="s">
        <v>111</v>
      </c>
      <c r="I528" s="4" t="n">
        <v>32000</v>
      </c>
      <c r="J528" s="2" t="s">
        <v>145</v>
      </c>
      <c r="K528" s="3" t="n">
        <v>8</v>
      </c>
      <c r="L528" s="2" t="s">
        <v>188</v>
      </c>
      <c r="M528" s="2" t="s">
        <v>51</v>
      </c>
      <c r="N528" s="2" t="s">
        <v>52</v>
      </c>
      <c r="O528" s="3" t="n">
        <v>2</v>
      </c>
      <c r="P528" s="2" t="s">
        <v>189</v>
      </c>
      <c r="Q528" s="2" t="s">
        <v>190</v>
      </c>
      <c r="R528" s="2" t="s">
        <v>188</v>
      </c>
      <c r="S528" s="2" t="s">
        <v>51</v>
      </c>
      <c r="T528" s="2" t="s">
        <v>2127</v>
      </c>
      <c r="U528" s="2" t="s">
        <v>180</v>
      </c>
      <c r="V528" s="4" t="n">
        <v>681000</v>
      </c>
      <c r="W528" s="5" t="n">
        <v>13.18</v>
      </c>
      <c r="X528" s="3" t="n">
        <v>60</v>
      </c>
      <c r="Y528" s="6" t="n">
        <v>46187</v>
      </c>
      <c r="Z528" s="6" t="n">
        <v>46188</v>
      </c>
      <c r="AA528" s="6" t="n">
        <v>46192</v>
      </c>
      <c r="AB528" s="4" t="n">
        <f aca="false">ROUND(PMT(W528/1200,X528,-V528),2)</f>
        <v>15557.66</v>
      </c>
      <c r="AC528" s="4" t="n">
        <v>869000</v>
      </c>
      <c r="AD528" s="3" t="n">
        <v>0</v>
      </c>
      <c r="AE528" s="4" t="n">
        <v>59900</v>
      </c>
      <c r="AF528" s="4" t="n">
        <v>33400</v>
      </c>
      <c r="AG528" s="3" t="n">
        <v>60</v>
      </c>
      <c r="AH528" s="4" t="n">
        <v>12800</v>
      </c>
      <c r="AI528" s="3" t="n">
        <v>671</v>
      </c>
      <c r="AJ528" s="7" t="n">
        <f aca="false">ROUND(AB528/I528,4)</f>
        <v>0.4862</v>
      </c>
      <c r="AK528" s="2" t="str">
        <f aca="false">IF(AND(AI528&gt;=750,AJ528&lt;=0.35),"Low",IF(AND(AI528&gt;=600,AJ528&lt;=0.5),"Medium","High"))</f>
        <v>Medium</v>
      </c>
      <c r="AL528" s="3" t="n">
        <v>1</v>
      </c>
      <c r="AM528" s="2" t="s">
        <v>58</v>
      </c>
      <c r="AN528" s="2" t="s">
        <v>59</v>
      </c>
      <c r="AO528" s="2" t="s">
        <v>60</v>
      </c>
      <c r="AP528" s="7" t="n">
        <v>0.244</v>
      </c>
    </row>
    <row r="529" customFormat="false" ht="15" hidden="false" customHeight="false" outlineLevel="0" collapsed="false">
      <c r="A529" s="2" t="s">
        <v>2128</v>
      </c>
      <c r="B529" s="2" t="s">
        <v>1167</v>
      </c>
      <c r="C529" s="2" t="s">
        <v>2129</v>
      </c>
      <c r="D529" s="2" t="s">
        <v>45</v>
      </c>
      <c r="E529" s="3" t="n">
        <v>21</v>
      </c>
      <c r="F529" s="2" t="s">
        <v>64</v>
      </c>
      <c r="G529" s="2" t="s">
        <v>166</v>
      </c>
      <c r="H529" s="2" t="s">
        <v>101</v>
      </c>
      <c r="I529" s="4" t="n">
        <v>100000</v>
      </c>
      <c r="J529" s="2" t="s">
        <v>145</v>
      </c>
      <c r="K529" s="3" t="n">
        <v>0</v>
      </c>
      <c r="L529" s="2" t="s">
        <v>211</v>
      </c>
      <c r="M529" s="2" t="s">
        <v>147</v>
      </c>
      <c r="N529" s="2" t="s">
        <v>52</v>
      </c>
      <c r="O529" s="3" t="n">
        <v>2</v>
      </c>
      <c r="P529" s="2" t="s">
        <v>209</v>
      </c>
      <c r="Q529" s="2" t="s">
        <v>210</v>
      </c>
      <c r="R529" s="2" t="s">
        <v>211</v>
      </c>
      <c r="S529" s="2" t="s">
        <v>147</v>
      </c>
      <c r="T529" s="2" t="s">
        <v>2130</v>
      </c>
      <c r="U529" s="2" t="s">
        <v>97</v>
      </c>
      <c r="V529" s="4" t="n">
        <v>909000</v>
      </c>
      <c r="W529" s="5" t="n">
        <v>15.7</v>
      </c>
      <c r="X529" s="3" t="n">
        <v>30</v>
      </c>
      <c r="Y529" s="6" t="n">
        <v>46177</v>
      </c>
      <c r="Z529" s="6" t="n">
        <v>46178</v>
      </c>
      <c r="AA529" s="6" t="n">
        <v>46179</v>
      </c>
      <c r="AB529" s="4" t="n">
        <f aca="false">ROUND(PMT(W529/1200,X529,-V529),2)</f>
        <v>36829.65</v>
      </c>
      <c r="AC529" s="4" t="n">
        <v>0</v>
      </c>
      <c r="AD529" s="3"/>
      <c r="AE529" s="4" t="n">
        <v>287800</v>
      </c>
      <c r="AF529" s="4" t="n">
        <v>96500</v>
      </c>
      <c r="AG529" s="3" t="n">
        <v>38</v>
      </c>
      <c r="AH529" s="4" t="n">
        <v>61000</v>
      </c>
      <c r="AI529" s="3" t="n">
        <v>546</v>
      </c>
      <c r="AJ529" s="7" t="n">
        <f aca="false">ROUND(AB529/I529,4)</f>
        <v>0.3683</v>
      </c>
      <c r="AK529" s="2" t="str">
        <f aca="false">IF(AND(AI529&gt;=750,AJ529&lt;=0.35),"Low",IF(AND(AI529&gt;=600,AJ529&lt;=0.5),"Medium","High"))</f>
        <v>High</v>
      </c>
      <c r="AL529" s="3" t="n">
        <v>1</v>
      </c>
      <c r="AM529" s="2" t="s">
        <v>58</v>
      </c>
      <c r="AN529" s="2" t="s">
        <v>119</v>
      </c>
      <c r="AO529" s="2" t="s">
        <v>60</v>
      </c>
      <c r="AP529" s="7" t="n">
        <v>0.435</v>
      </c>
    </row>
    <row r="530" customFormat="false" ht="15" hidden="false" customHeight="false" outlineLevel="0" collapsed="false">
      <c r="A530" s="2" t="s">
        <v>2131</v>
      </c>
      <c r="B530" s="2" t="s">
        <v>2132</v>
      </c>
      <c r="C530" s="2" t="s">
        <v>2133</v>
      </c>
      <c r="D530" s="2" t="s">
        <v>45</v>
      </c>
      <c r="E530" s="3" t="n">
        <v>54</v>
      </c>
      <c r="F530" s="2" t="s">
        <v>64</v>
      </c>
      <c r="G530" s="2" t="s">
        <v>47</v>
      </c>
      <c r="H530" s="2" t="s">
        <v>101</v>
      </c>
      <c r="I530" s="4" t="n">
        <v>94000</v>
      </c>
      <c r="J530" s="2" t="s">
        <v>49</v>
      </c>
      <c r="K530" s="3" t="n">
        <v>28</v>
      </c>
      <c r="L530" s="2" t="s">
        <v>564</v>
      </c>
      <c r="M530" s="2" t="s">
        <v>80</v>
      </c>
      <c r="N530" s="2" t="s">
        <v>52</v>
      </c>
      <c r="O530" s="3" t="n">
        <v>3</v>
      </c>
      <c r="P530" s="2" t="s">
        <v>82</v>
      </c>
      <c r="Q530" s="2" t="s">
        <v>83</v>
      </c>
      <c r="R530" s="2" t="s">
        <v>80</v>
      </c>
      <c r="S530" s="2" t="s">
        <v>80</v>
      </c>
      <c r="T530" s="2" t="s">
        <v>2134</v>
      </c>
      <c r="U530" s="2" t="s">
        <v>57</v>
      </c>
      <c r="V530" s="4" t="n">
        <v>2966000</v>
      </c>
      <c r="W530" s="5" t="n">
        <v>11.43</v>
      </c>
      <c r="X530" s="3" t="n">
        <v>114</v>
      </c>
      <c r="Y530" s="6" t="n">
        <v>46196</v>
      </c>
      <c r="Z530" s="6"/>
      <c r="AA530" s="6"/>
      <c r="AB530" s="4" t="n">
        <f aca="false">ROUND(PMT(W530/1200,X530,-V530),2)</f>
        <v>42762.92</v>
      </c>
      <c r="AC530" s="4" t="n">
        <v>4344000</v>
      </c>
      <c r="AD530" s="3" t="n">
        <v>0</v>
      </c>
      <c r="AE530" s="4" t="n">
        <v>113300</v>
      </c>
      <c r="AF530" s="4" t="n">
        <v>24600</v>
      </c>
      <c r="AG530" s="3" t="n">
        <v>39</v>
      </c>
      <c r="AH530" s="4" t="n">
        <v>67400</v>
      </c>
      <c r="AI530" s="3" t="n">
        <v>595</v>
      </c>
      <c r="AJ530" s="7" t="n">
        <f aca="false">ROUND(AB530/I530,4)</f>
        <v>0.4549</v>
      </c>
      <c r="AK530" s="2" t="str">
        <f aca="false">IF(AND(AI530&gt;=750,AJ530&lt;=0.35),"Low",IF(AND(AI530&gt;=600,AJ530&lt;=0.5),"Medium","High"))</f>
        <v>High</v>
      </c>
      <c r="AL530" s="3" t="n">
        <v>0</v>
      </c>
      <c r="AM530" s="2" t="s">
        <v>58</v>
      </c>
      <c r="AN530" s="2"/>
      <c r="AO530" s="2" t="s">
        <v>127</v>
      </c>
      <c r="AP530" s="7" t="n">
        <v>0.358</v>
      </c>
    </row>
    <row r="531" customFormat="false" ht="15" hidden="false" customHeight="false" outlineLevel="0" collapsed="false">
      <c r="A531" s="2" t="s">
        <v>2135</v>
      </c>
      <c r="B531" s="2" t="s">
        <v>2136</v>
      </c>
      <c r="C531" s="2" t="s">
        <v>2137</v>
      </c>
      <c r="D531" s="2" t="s">
        <v>109</v>
      </c>
      <c r="E531" s="3" t="n">
        <v>32</v>
      </c>
      <c r="F531" s="2"/>
      <c r="G531" s="2" t="s">
        <v>110</v>
      </c>
      <c r="H531" s="2" t="s">
        <v>111</v>
      </c>
      <c r="I531" s="4" t="n">
        <v>8000</v>
      </c>
      <c r="J531" s="2" t="s">
        <v>112</v>
      </c>
      <c r="K531" s="3" t="n">
        <v>11</v>
      </c>
      <c r="L531" s="2" t="s">
        <v>653</v>
      </c>
      <c r="M531" s="2" t="s">
        <v>159</v>
      </c>
      <c r="N531" s="2" t="s">
        <v>52</v>
      </c>
      <c r="O531" s="3" t="n">
        <v>0</v>
      </c>
      <c r="P531" s="2" t="s">
        <v>229</v>
      </c>
      <c r="Q531" s="2" t="s">
        <v>230</v>
      </c>
      <c r="R531" s="2" t="s">
        <v>231</v>
      </c>
      <c r="S531" s="2" t="s">
        <v>92</v>
      </c>
      <c r="T531" s="2" t="s">
        <v>2138</v>
      </c>
      <c r="U531" s="2" t="s">
        <v>192</v>
      </c>
      <c r="V531" s="4" t="n">
        <v>200000</v>
      </c>
      <c r="W531" s="5" t="n">
        <v>10.47</v>
      </c>
      <c r="X531" s="3" t="n">
        <v>60</v>
      </c>
      <c r="Y531" s="6" t="n">
        <v>46195</v>
      </c>
      <c r="Z531" s="6" t="n">
        <v>46201</v>
      </c>
      <c r="AA531" s="6" t="n">
        <v>46202</v>
      </c>
      <c r="AB531" s="4" t="n">
        <f aca="false">ROUND(PMT(W531/1200,X531,-V531),2)</f>
        <v>4295.81</v>
      </c>
      <c r="AC531" s="4" t="n">
        <v>298000</v>
      </c>
      <c r="AD531" s="3" t="n">
        <v>0</v>
      </c>
      <c r="AE531" s="4" t="n">
        <v>20000</v>
      </c>
      <c r="AF531" s="4" t="n">
        <v>11100</v>
      </c>
      <c r="AG531" s="3" t="n">
        <v>23</v>
      </c>
      <c r="AH531" s="4" t="n">
        <v>7400</v>
      </c>
      <c r="AI531" s="3" t="n">
        <v>759</v>
      </c>
      <c r="AJ531" s="7" t="n">
        <f aca="false">ROUND(AB531/I531,4)</f>
        <v>0.537</v>
      </c>
      <c r="AK531" s="2" t="str">
        <f aca="false">IF(AND(AI531&gt;=750,AJ531&lt;=0.35),"Low",IF(AND(AI531&gt;=600,AJ531&lt;=0.5),"Medium","High"))</f>
        <v>High</v>
      </c>
      <c r="AL531" s="3" t="n">
        <v>0</v>
      </c>
      <c r="AM531" s="2" t="s">
        <v>58</v>
      </c>
      <c r="AN531" s="2" t="s">
        <v>59</v>
      </c>
      <c r="AO531" s="2" t="s">
        <v>60</v>
      </c>
      <c r="AP531" s="7" t="n">
        <v>0.138</v>
      </c>
    </row>
    <row r="532" customFormat="false" ht="15" hidden="false" customHeight="false" outlineLevel="0" collapsed="false">
      <c r="A532" s="2" t="s">
        <v>2139</v>
      </c>
      <c r="B532" s="2" t="s">
        <v>2140</v>
      </c>
      <c r="C532" s="2" t="s">
        <v>2141</v>
      </c>
      <c r="D532" s="2" t="s">
        <v>45</v>
      </c>
      <c r="E532" s="3" t="n">
        <v>21</v>
      </c>
      <c r="F532" s="2" t="s">
        <v>64</v>
      </c>
      <c r="G532" s="2" t="s">
        <v>207</v>
      </c>
      <c r="H532" s="2" t="s">
        <v>77</v>
      </c>
      <c r="I532" s="4" t="n">
        <v>48500</v>
      </c>
      <c r="J532" s="2" t="s">
        <v>49</v>
      </c>
      <c r="K532" s="3" t="n">
        <v>0</v>
      </c>
      <c r="L532" s="2" t="s">
        <v>92</v>
      </c>
      <c r="M532" s="2" t="s">
        <v>92</v>
      </c>
      <c r="N532" s="2" t="s">
        <v>140</v>
      </c>
      <c r="O532" s="3" t="n">
        <v>1</v>
      </c>
      <c r="P532" s="2" t="s">
        <v>93</v>
      </c>
      <c r="Q532" s="2" t="s">
        <v>94</v>
      </c>
      <c r="R532" s="2" t="s">
        <v>95</v>
      </c>
      <c r="S532" s="2" t="s">
        <v>92</v>
      </c>
      <c r="T532" s="2" t="s">
        <v>2142</v>
      </c>
      <c r="U532" s="2" t="s">
        <v>97</v>
      </c>
      <c r="V532" s="4" t="n">
        <v>424000</v>
      </c>
      <c r="W532" s="5" t="n">
        <v>12.81</v>
      </c>
      <c r="X532" s="3" t="n">
        <v>36</v>
      </c>
      <c r="Y532" s="6" t="n">
        <v>46177</v>
      </c>
      <c r="Z532" s="6" t="n">
        <v>46183</v>
      </c>
      <c r="AA532" s="6" t="n">
        <v>46187</v>
      </c>
      <c r="AB532" s="4" t="n">
        <f aca="false">ROUND(PMT(W532/1200,X532,-V532),2)</f>
        <v>14247.46</v>
      </c>
      <c r="AC532" s="4" t="n">
        <v>0</v>
      </c>
      <c r="AD532" s="3" t="n">
        <v>1</v>
      </c>
      <c r="AE532" s="4" t="n">
        <v>104700</v>
      </c>
      <c r="AF532" s="4" t="n">
        <v>52300</v>
      </c>
      <c r="AG532" s="3" t="n">
        <v>22</v>
      </c>
      <c r="AH532" s="4" t="n">
        <v>37100</v>
      </c>
      <c r="AI532" s="3" t="n">
        <v>700</v>
      </c>
      <c r="AJ532" s="7" t="n">
        <f aca="false">ROUND(AB532/I532,4)</f>
        <v>0.2938</v>
      </c>
      <c r="AK532" s="2" t="str">
        <f aca="false">IF(AND(AI532&gt;=750,AJ532&lt;=0.35),"Low",IF(AND(AI532&gt;=600,AJ532&lt;=0.5),"Medium","High"))</f>
        <v>Medium</v>
      </c>
      <c r="AL532" s="3" t="n">
        <v>2</v>
      </c>
      <c r="AM532" s="2" t="s">
        <v>58</v>
      </c>
      <c r="AN532" s="2" t="s">
        <v>59</v>
      </c>
      <c r="AO532" s="2" t="s">
        <v>60</v>
      </c>
      <c r="AP532" s="7" t="n">
        <v>0.286</v>
      </c>
    </row>
    <row r="533" customFormat="false" ht="15" hidden="false" customHeight="false" outlineLevel="0" collapsed="false">
      <c r="A533" s="2" t="s">
        <v>2143</v>
      </c>
      <c r="B533" s="2" t="s">
        <v>2144</v>
      </c>
      <c r="C533" s="2" t="s">
        <v>2145</v>
      </c>
      <c r="D533" s="2" t="s">
        <v>45</v>
      </c>
      <c r="E533" s="3" t="n">
        <v>30</v>
      </c>
      <c r="F533" s="2" t="s">
        <v>46</v>
      </c>
      <c r="G533" s="2" t="s">
        <v>154</v>
      </c>
      <c r="H533" s="2" t="s">
        <v>101</v>
      </c>
      <c r="I533" s="4" t="n">
        <v>63500</v>
      </c>
      <c r="J533" s="2" t="s">
        <v>145</v>
      </c>
      <c r="K533" s="3" t="n">
        <v>5</v>
      </c>
      <c r="L533" s="2" t="s">
        <v>80</v>
      </c>
      <c r="M533" s="2" t="s">
        <v>80</v>
      </c>
      <c r="N533" s="2" t="s">
        <v>52</v>
      </c>
      <c r="O533" s="3" t="n">
        <v>1</v>
      </c>
      <c r="P533" s="2" t="s">
        <v>82</v>
      </c>
      <c r="Q533" s="2" t="s">
        <v>83</v>
      </c>
      <c r="R533" s="2" t="s">
        <v>80</v>
      </c>
      <c r="S533" s="2" t="s">
        <v>80</v>
      </c>
      <c r="T533" s="2" t="s">
        <v>2146</v>
      </c>
      <c r="U533" s="2" t="s">
        <v>118</v>
      </c>
      <c r="V533" s="4" t="n">
        <v>1256000</v>
      </c>
      <c r="W533" s="5" t="n">
        <v>10.27</v>
      </c>
      <c r="X533" s="3" t="n">
        <v>84</v>
      </c>
      <c r="Y533" s="6" t="n">
        <v>46178</v>
      </c>
      <c r="Z533" s="6"/>
      <c r="AA533" s="6"/>
      <c r="AB533" s="4" t="n">
        <f aca="false">ROUND(PMT(W533/1200,X533,-V533),2)</f>
        <v>21026.73</v>
      </c>
      <c r="AC533" s="4" t="n">
        <v>0</v>
      </c>
      <c r="AD533" s="3" t="n">
        <v>1</v>
      </c>
      <c r="AE533" s="4" t="n">
        <v>34400</v>
      </c>
      <c r="AF533" s="4"/>
      <c r="AG533" s="3" t="n">
        <v>25</v>
      </c>
      <c r="AH533" s="4" t="n">
        <v>44500</v>
      </c>
      <c r="AI533" s="3" t="n">
        <v>537</v>
      </c>
      <c r="AJ533" s="7" t="n">
        <f aca="false">ROUND(AB533/I533,4)</f>
        <v>0.3311</v>
      </c>
      <c r="AK533" s="2" t="str">
        <f aca="false">IF(AND(AI533&gt;=750,AJ533&lt;=0.35),"Low",IF(AND(AI533&gt;=600,AJ533&lt;=0.5),"Medium","High"))</f>
        <v>High</v>
      </c>
      <c r="AL533" s="3" t="n">
        <v>2</v>
      </c>
      <c r="AM533" s="2" t="s">
        <v>58</v>
      </c>
      <c r="AN533" s="2"/>
      <c r="AO533" s="2" t="s">
        <v>134</v>
      </c>
      <c r="AP533" s="7" t="n">
        <v>0.428</v>
      </c>
    </row>
    <row r="534" customFormat="false" ht="15" hidden="false" customHeight="false" outlineLevel="0" collapsed="false">
      <c r="A534" s="2" t="s">
        <v>2147</v>
      </c>
      <c r="B534" s="2" t="s">
        <v>2148</v>
      </c>
      <c r="C534" s="2" t="s">
        <v>2149</v>
      </c>
      <c r="D534" s="2" t="s">
        <v>109</v>
      </c>
      <c r="E534" s="3" t="n">
        <v>50</v>
      </c>
      <c r="F534" s="2" t="s">
        <v>434</v>
      </c>
      <c r="G534" s="2" t="s">
        <v>65</v>
      </c>
      <c r="H534" s="2" t="s">
        <v>48</v>
      </c>
      <c r="I534" s="4" t="n">
        <v>68000</v>
      </c>
      <c r="J534" s="2" t="s">
        <v>49</v>
      </c>
      <c r="K534" s="3" t="n">
        <v>26</v>
      </c>
      <c r="L534" s="2" t="s">
        <v>139</v>
      </c>
      <c r="M534" s="2" t="s">
        <v>139</v>
      </c>
      <c r="N534" s="2" t="s">
        <v>102</v>
      </c>
      <c r="O534" s="3" t="n">
        <v>0</v>
      </c>
      <c r="P534" s="2" t="s">
        <v>197</v>
      </c>
      <c r="Q534" s="2" t="s">
        <v>198</v>
      </c>
      <c r="R534" s="2" t="s">
        <v>139</v>
      </c>
      <c r="S534" s="2" t="s">
        <v>139</v>
      </c>
      <c r="T534" s="2" t="s">
        <v>2150</v>
      </c>
      <c r="U534" s="2" t="s">
        <v>85</v>
      </c>
      <c r="V534" s="4" t="n">
        <v>618000</v>
      </c>
      <c r="W534" s="5" t="n">
        <v>9.27</v>
      </c>
      <c r="X534" s="3" t="n">
        <v>36</v>
      </c>
      <c r="Y534" s="6" t="n">
        <v>46202</v>
      </c>
      <c r="Z534" s="6"/>
      <c r="AA534" s="6"/>
      <c r="AB534" s="4" t="n">
        <f aca="false">ROUND(PMT(W534/1200,X534,-V534),2)</f>
        <v>19729.99</v>
      </c>
      <c r="AC534" s="4" t="n">
        <v>0</v>
      </c>
      <c r="AD534" s="3" t="n">
        <v>2</v>
      </c>
      <c r="AE534" s="4" t="n">
        <v>231600</v>
      </c>
      <c r="AF534" s="4" t="n">
        <v>64900</v>
      </c>
      <c r="AG534" s="3" t="n">
        <v>22</v>
      </c>
      <c r="AH534" s="4" t="n">
        <v>43800</v>
      </c>
      <c r="AI534" s="3" t="n">
        <v>512</v>
      </c>
      <c r="AJ534" s="7" t="n">
        <f aca="false">ROUND(AB534/I534,4)</f>
        <v>0.2901</v>
      </c>
      <c r="AK534" s="2" t="str">
        <f aca="false">IF(AND(AI534&gt;=750,AJ534&lt;=0.35),"Low",IF(AND(AI534&gt;=600,AJ534&lt;=0.5),"Medium","High"))</f>
        <v>High</v>
      </c>
      <c r="AL534" s="3" t="n">
        <v>2</v>
      </c>
      <c r="AM534" s="2" t="s">
        <v>58</v>
      </c>
      <c r="AN534" s="2"/>
      <c r="AO534" s="2" t="s">
        <v>134</v>
      </c>
      <c r="AP534" s="7" t="n">
        <v>0.517</v>
      </c>
    </row>
    <row r="535" customFormat="false" ht="15" hidden="false" customHeight="false" outlineLevel="0" collapsed="false">
      <c r="A535" s="2" t="s">
        <v>2151</v>
      </c>
      <c r="B535" s="2" t="s">
        <v>2152</v>
      </c>
      <c r="C535" s="2" t="s">
        <v>2153</v>
      </c>
      <c r="D535" s="2" t="s">
        <v>45</v>
      </c>
      <c r="E535" s="3" t="n">
        <v>21</v>
      </c>
      <c r="F535" s="2" t="s">
        <v>175</v>
      </c>
      <c r="G535" s="2" t="s">
        <v>176</v>
      </c>
      <c r="H535" s="2" t="s">
        <v>123</v>
      </c>
      <c r="I535" s="4" t="n">
        <v>31000</v>
      </c>
      <c r="J535" s="2" t="s">
        <v>177</v>
      </c>
      <c r="K535" s="3" t="n">
        <v>1</v>
      </c>
      <c r="L535" s="2" t="s">
        <v>1251</v>
      </c>
      <c r="M535" s="2" t="s">
        <v>51</v>
      </c>
      <c r="N535" s="2" t="s">
        <v>81</v>
      </c>
      <c r="O535" s="3" t="n">
        <v>2</v>
      </c>
      <c r="P535" s="2" t="s">
        <v>189</v>
      </c>
      <c r="Q535" s="2" t="s">
        <v>190</v>
      </c>
      <c r="R535" s="2" t="s">
        <v>188</v>
      </c>
      <c r="S535" s="2" t="s">
        <v>51</v>
      </c>
      <c r="T535" s="2" t="s">
        <v>2154</v>
      </c>
      <c r="U535" s="2" t="s">
        <v>180</v>
      </c>
      <c r="V535" s="4" t="n">
        <v>300000</v>
      </c>
      <c r="W535" s="5" t="n">
        <v>11.83</v>
      </c>
      <c r="X535" s="3" t="n">
        <v>12</v>
      </c>
      <c r="Y535" s="6" t="n">
        <v>46192</v>
      </c>
      <c r="Z535" s="6"/>
      <c r="AA535" s="6"/>
      <c r="AB535" s="4" t="n">
        <f aca="false">ROUND(PMT(W535/1200,X535,-V535),2)</f>
        <v>26630.78</v>
      </c>
      <c r="AC535" s="4" t="n">
        <v>347000</v>
      </c>
      <c r="AD535" s="3" t="n">
        <v>0</v>
      </c>
      <c r="AE535" s="4" t="n">
        <v>121600</v>
      </c>
      <c r="AF535" s="4" t="n">
        <v>65300</v>
      </c>
      <c r="AG535" s="3" t="n">
        <v>56</v>
      </c>
      <c r="AH535" s="4" t="n">
        <v>18200</v>
      </c>
      <c r="AI535" s="3" t="n">
        <v>604</v>
      </c>
      <c r="AJ535" s="7" t="n">
        <f aca="false">ROUND(AB535/I535,4)</f>
        <v>0.8591</v>
      </c>
      <c r="AK535" s="2" t="str">
        <f aca="false">IF(AND(AI535&gt;=750,AJ535&lt;=0.35),"Low",IF(AND(AI535&gt;=600,AJ535&lt;=0.5),"Medium","High"))</f>
        <v>High</v>
      </c>
      <c r="AL535" s="3" t="n">
        <v>1</v>
      </c>
      <c r="AM535" s="2" t="s">
        <v>58</v>
      </c>
      <c r="AN535" s="2"/>
      <c r="AO535" s="2" t="s">
        <v>134</v>
      </c>
      <c r="AP535" s="7" t="n">
        <v>0.318</v>
      </c>
    </row>
    <row r="536" customFormat="false" ht="15" hidden="false" customHeight="false" outlineLevel="0" collapsed="false">
      <c r="A536" s="2" t="s">
        <v>2155</v>
      </c>
      <c r="B536" s="2" t="s">
        <v>2156</v>
      </c>
      <c r="C536" s="2" t="s">
        <v>2157</v>
      </c>
      <c r="D536" s="2" t="s">
        <v>109</v>
      </c>
      <c r="E536" s="3" t="n">
        <v>70</v>
      </c>
      <c r="F536" s="2" t="s">
        <v>64</v>
      </c>
      <c r="G536" s="2" t="s">
        <v>166</v>
      </c>
      <c r="H536" s="2" t="s">
        <v>48</v>
      </c>
      <c r="I536" s="4" t="n">
        <v>109500</v>
      </c>
      <c r="J536" s="2" t="s">
        <v>145</v>
      </c>
      <c r="K536" s="3"/>
      <c r="L536" s="2" t="s">
        <v>241</v>
      </c>
      <c r="M536" s="2" t="s">
        <v>92</v>
      </c>
      <c r="N536" s="2" t="s">
        <v>52</v>
      </c>
      <c r="O536" s="3" t="n">
        <v>2</v>
      </c>
      <c r="P536" s="2" t="s">
        <v>169</v>
      </c>
      <c r="Q536" s="2" t="s">
        <v>170</v>
      </c>
      <c r="R536" s="2" t="s">
        <v>92</v>
      </c>
      <c r="S536" s="2" t="s">
        <v>92</v>
      </c>
      <c r="T536" s="2" t="s">
        <v>2158</v>
      </c>
      <c r="U536" s="2" t="s">
        <v>72</v>
      </c>
      <c r="V536" s="4" t="n">
        <v>2174000</v>
      </c>
      <c r="W536" s="5" t="n">
        <v>12.32</v>
      </c>
      <c r="X536" s="3" t="n">
        <v>48</v>
      </c>
      <c r="Y536" s="6" t="n">
        <v>46175</v>
      </c>
      <c r="Z536" s="6" t="n">
        <v>46185</v>
      </c>
      <c r="AA536" s="6" t="n">
        <v>46186</v>
      </c>
      <c r="AB536" s="4" t="n">
        <f aca="false">ROUND(PMT(W536/1200,X536,-V536),2)</f>
        <v>57591.93</v>
      </c>
      <c r="AC536" s="4" t="n">
        <v>2449000</v>
      </c>
      <c r="AD536" s="3" t="n">
        <v>0</v>
      </c>
      <c r="AE536" s="4" t="n">
        <v>213400</v>
      </c>
      <c r="AF536" s="4" t="n">
        <v>46200</v>
      </c>
      <c r="AG536" s="3" t="n">
        <v>17</v>
      </c>
      <c r="AH536" s="4" t="n">
        <v>75900</v>
      </c>
      <c r="AI536" s="3" t="n">
        <v>754</v>
      </c>
      <c r="AJ536" s="7" t="n">
        <f aca="false">ROUND(AB536/I536,4)</f>
        <v>0.526</v>
      </c>
      <c r="AK536" s="2" t="str">
        <f aca="false">IF(AND(AI536&gt;=750,AJ536&lt;=0.35),"Low",IF(AND(AI536&gt;=600,AJ536&lt;=0.5),"Medium","High"))</f>
        <v>High</v>
      </c>
      <c r="AL536" s="3" t="n">
        <v>2</v>
      </c>
      <c r="AM536" s="2" t="s">
        <v>233</v>
      </c>
      <c r="AN536" s="2" t="s">
        <v>59</v>
      </c>
      <c r="AO536" s="2" t="s">
        <v>60</v>
      </c>
      <c r="AP536" s="7" t="n">
        <v>0.277</v>
      </c>
    </row>
    <row r="537" customFormat="false" ht="15" hidden="false" customHeight="false" outlineLevel="0" collapsed="false">
      <c r="A537" s="2" t="s">
        <v>2159</v>
      </c>
      <c r="B537" s="2" t="s">
        <v>2160</v>
      </c>
      <c r="C537" s="2" t="s">
        <v>2161</v>
      </c>
      <c r="D537" s="2" t="s">
        <v>45</v>
      </c>
      <c r="E537" s="3" t="n">
        <v>42</v>
      </c>
      <c r="F537" s="2" t="s">
        <v>46</v>
      </c>
      <c r="G537" s="2" t="s">
        <v>154</v>
      </c>
      <c r="H537" s="2" t="s">
        <v>101</v>
      </c>
      <c r="I537" s="4" t="n">
        <v>63000</v>
      </c>
      <c r="J537" s="2" t="s">
        <v>145</v>
      </c>
      <c r="K537" s="3" t="n">
        <v>15</v>
      </c>
      <c r="L537" s="2" t="s">
        <v>55</v>
      </c>
      <c r="M537" s="2" t="s">
        <v>51</v>
      </c>
      <c r="N537" s="2" t="s">
        <v>102</v>
      </c>
      <c r="O537" s="3" t="n">
        <v>0</v>
      </c>
      <c r="P537" s="2" t="s">
        <v>53</v>
      </c>
      <c r="Q537" s="2" t="s">
        <v>54</v>
      </c>
      <c r="R537" s="2" t="s">
        <v>55</v>
      </c>
      <c r="S537" s="2" t="s">
        <v>51</v>
      </c>
      <c r="T537" s="2" t="s">
        <v>2162</v>
      </c>
      <c r="U537" s="2" t="s">
        <v>192</v>
      </c>
      <c r="V537" s="4" t="n">
        <v>520000</v>
      </c>
      <c r="W537" s="5" t="n">
        <v>14.03</v>
      </c>
      <c r="X537" s="3" t="n">
        <v>24</v>
      </c>
      <c r="Y537" s="6" t="n">
        <v>46197</v>
      </c>
      <c r="Z537" s="6" t="n">
        <v>46207</v>
      </c>
      <c r="AA537" s="6" t="n">
        <v>46208</v>
      </c>
      <c r="AB537" s="4" t="n">
        <f aca="false">ROUND(PMT(W537/1200,X537,-V537),2)</f>
        <v>24974.07</v>
      </c>
      <c r="AC537" s="4" t="n">
        <v>667000</v>
      </c>
      <c r="AD537" s="3" t="n">
        <v>0</v>
      </c>
      <c r="AE537" s="4" t="n">
        <v>231100</v>
      </c>
      <c r="AF537" s="4" t="n">
        <v>73300</v>
      </c>
      <c r="AG537" s="3" t="n">
        <v>17</v>
      </c>
      <c r="AH537" s="4" t="n">
        <v>43500</v>
      </c>
      <c r="AI537" s="3" t="n">
        <v>661</v>
      </c>
      <c r="AJ537" s="7" t="n">
        <f aca="false">ROUND(AB537/I537,4)</f>
        <v>0.3964</v>
      </c>
      <c r="AK537" s="2" t="str">
        <f aca="false">IF(AND(AI537&gt;=750,AJ537&lt;=0.35),"Low",IF(AND(AI537&gt;=600,AJ537&lt;=0.5),"Medium","High"))</f>
        <v>Medium</v>
      </c>
      <c r="AL537" s="3" t="n">
        <v>3</v>
      </c>
      <c r="AM537" s="2" t="s">
        <v>233</v>
      </c>
      <c r="AN537" s="2" t="s">
        <v>59</v>
      </c>
      <c r="AO537" s="2" t="s">
        <v>60</v>
      </c>
      <c r="AP537" s="7" t="n">
        <v>0.419</v>
      </c>
    </row>
    <row r="538" customFormat="false" ht="15" hidden="false" customHeight="false" outlineLevel="0" collapsed="false">
      <c r="A538" s="2" t="s">
        <v>2163</v>
      </c>
      <c r="B538" s="2" t="s">
        <v>2164</v>
      </c>
      <c r="C538" s="2" t="s">
        <v>1242</v>
      </c>
      <c r="D538" s="2" t="s">
        <v>45</v>
      </c>
      <c r="E538" s="3" t="n">
        <v>38</v>
      </c>
      <c r="F538" s="2" t="s">
        <v>175</v>
      </c>
      <c r="G538" s="2" t="s">
        <v>154</v>
      </c>
      <c r="H538" s="2" t="s">
        <v>48</v>
      </c>
      <c r="I538" s="4" t="n">
        <v>53500</v>
      </c>
      <c r="J538" s="2" t="s">
        <v>145</v>
      </c>
      <c r="K538" s="3" t="n">
        <v>15</v>
      </c>
      <c r="L538" s="2" t="s">
        <v>726</v>
      </c>
      <c r="M538" s="2" t="s">
        <v>147</v>
      </c>
      <c r="N538" s="2" t="s">
        <v>140</v>
      </c>
      <c r="O538" s="3" t="n">
        <v>0</v>
      </c>
      <c r="P538" s="2" t="s">
        <v>148</v>
      </c>
      <c r="Q538" s="2" t="s">
        <v>149</v>
      </c>
      <c r="R538" s="2" t="s">
        <v>147</v>
      </c>
      <c r="S538" s="2" t="s">
        <v>147</v>
      </c>
      <c r="T538" s="2" t="s">
        <v>2165</v>
      </c>
      <c r="U538" s="2" t="s">
        <v>85</v>
      </c>
      <c r="V538" s="4" t="n">
        <v>467000</v>
      </c>
      <c r="W538" s="5" t="n">
        <v>9.51</v>
      </c>
      <c r="X538" s="3" t="n">
        <v>30</v>
      </c>
      <c r="Y538" s="6" t="n">
        <v>46192</v>
      </c>
      <c r="Z538" s="6" t="n">
        <v>46196</v>
      </c>
      <c r="AA538" s="6" t="n">
        <v>46199</v>
      </c>
      <c r="AB538" s="4" t="n">
        <f aca="false">ROUND(PMT(W538/1200,X538,-V538),2)</f>
        <v>17551.72</v>
      </c>
      <c r="AC538" s="4" t="n">
        <v>0</v>
      </c>
      <c r="AD538" s="3" t="n">
        <v>1</v>
      </c>
      <c r="AE538" s="4" t="n">
        <v>95300</v>
      </c>
      <c r="AF538" s="4" t="n">
        <v>38200</v>
      </c>
      <c r="AG538" s="3" t="n">
        <v>21</v>
      </c>
      <c r="AH538" s="4" t="n">
        <v>42000</v>
      </c>
      <c r="AI538" s="3" t="n">
        <v>658</v>
      </c>
      <c r="AJ538" s="7" t="n">
        <f aca="false">ROUND(AB538/I538,4)</f>
        <v>0.3281</v>
      </c>
      <c r="AK538" s="2" t="str">
        <f aca="false">IF(AND(AI538&gt;=750,AJ538&lt;=0.35),"Low",IF(AND(AI538&gt;=600,AJ538&lt;=0.5),"Medium","High"))</f>
        <v>Medium</v>
      </c>
      <c r="AL538" s="3" t="n">
        <v>2</v>
      </c>
      <c r="AM538" s="2" t="s">
        <v>58</v>
      </c>
      <c r="AN538" s="2" t="s">
        <v>59</v>
      </c>
      <c r="AO538" s="2" t="s">
        <v>60</v>
      </c>
      <c r="AP538" s="7" t="n">
        <v>0.337</v>
      </c>
    </row>
    <row r="539" customFormat="false" ht="15" hidden="false" customHeight="false" outlineLevel="0" collapsed="false">
      <c r="A539" s="2" t="s">
        <v>2166</v>
      </c>
      <c r="B539" s="2" t="s">
        <v>2167</v>
      </c>
      <c r="C539" s="2" t="s">
        <v>2168</v>
      </c>
      <c r="D539" s="2" t="s">
        <v>45</v>
      </c>
      <c r="E539" s="3" t="n">
        <v>46</v>
      </c>
      <c r="F539" s="2" t="s">
        <v>64</v>
      </c>
      <c r="G539" s="2" t="s">
        <v>154</v>
      </c>
      <c r="H539" s="2" t="s">
        <v>48</v>
      </c>
      <c r="I539" s="4" t="n">
        <v>44500</v>
      </c>
      <c r="J539" s="2" t="s">
        <v>145</v>
      </c>
      <c r="K539" s="3" t="n">
        <v>26</v>
      </c>
      <c r="L539" s="2" t="s">
        <v>504</v>
      </c>
      <c r="M539" s="2" t="s">
        <v>51</v>
      </c>
      <c r="N539" s="2" t="s">
        <v>140</v>
      </c>
      <c r="O539" s="3" t="n">
        <v>3</v>
      </c>
      <c r="P539" s="2" t="s">
        <v>131</v>
      </c>
      <c r="Q539" s="2" t="s">
        <v>132</v>
      </c>
      <c r="R539" s="2" t="s">
        <v>51</v>
      </c>
      <c r="S539" s="2" t="s">
        <v>51</v>
      </c>
      <c r="T539" s="2" t="s">
        <v>2169</v>
      </c>
      <c r="U539" s="2" t="s">
        <v>85</v>
      </c>
      <c r="V539" s="4" t="n">
        <v>159000</v>
      </c>
      <c r="W539" s="5" t="n">
        <v>9.21</v>
      </c>
      <c r="X539" s="3" t="n">
        <v>12</v>
      </c>
      <c r="Y539" s="6" t="n">
        <v>46195</v>
      </c>
      <c r="Z539" s="6" t="n">
        <v>46203</v>
      </c>
      <c r="AA539" s="6" t="n">
        <v>46206</v>
      </c>
      <c r="AB539" s="4" t="n">
        <f aca="false">ROUND(PMT(W539/1200,X539,-V539),2)</f>
        <v>13920.27</v>
      </c>
      <c r="AC539" s="4" t="n">
        <v>0</v>
      </c>
      <c r="AD539" s="3" t="n">
        <v>0</v>
      </c>
      <c r="AE539" s="4" t="n">
        <v>174200</v>
      </c>
      <c r="AF539" s="4" t="n">
        <v>93100</v>
      </c>
      <c r="AG539" s="3" t="n">
        <v>24</v>
      </c>
      <c r="AH539" s="4" t="n">
        <v>45100</v>
      </c>
      <c r="AI539" s="3" t="n">
        <v>865</v>
      </c>
      <c r="AJ539" s="7" t="n">
        <f aca="false">ROUND(AB539/I539,4)</f>
        <v>0.3128</v>
      </c>
      <c r="AK539" s="2" t="str">
        <f aca="false">IF(AND(AI539&gt;=750,AJ539&lt;=0.35),"Low",IF(AND(AI539&gt;=600,AJ539&lt;=0.5),"Medium","High"))</f>
        <v>Low</v>
      </c>
      <c r="AL539" s="3" t="n">
        <v>1</v>
      </c>
      <c r="AM539" s="2" t="s">
        <v>58</v>
      </c>
      <c r="AN539" s="2" t="s">
        <v>59</v>
      </c>
      <c r="AO539" s="2" t="s">
        <v>86</v>
      </c>
      <c r="AP539" s="7" t="n">
        <v>0.074</v>
      </c>
    </row>
    <row r="540" customFormat="false" ht="15" hidden="false" customHeight="false" outlineLevel="0" collapsed="false">
      <c r="A540" s="2" t="s">
        <v>2170</v>
      </c>
      <c r="B540" s="2" t="s">
        <v>2171</v>
      </c>
      <c r="C540" s="2" t="s">
        <v>2172</v>
      </c>
      <c r="D540" s="2" t="s">
        <v>45</v>
      </c>
      <c r="E540" s="3" t="n">
        <v>39</v>
      </c>
      <c r="F540" s="2" t="s">
        <v>64</v>
      </c>
      <c r="G540" s="2" t="s">
        <v>90</v>
      </c>
      <c r="H540" s="2" t="s">
        <v>77</v>
      </c>
      <c r="I540" s="4" t="n">
        <v>31000</v>
      </c>
      <c r="J540" s="2" t="s">
        <v>90</v>
      </c>
      <c r="K540" s="3" t="n">
        <v>11</v>
      </c>
      <c r="L540" s="2" t="s">
        <v>1251</v>
      </c>
      <c r="M540" s="2" t="s">
        <v>51</v>
      </c>
      <c r="N540" s="2" t="s">
        <v>52</v>
      </c>
      <c r="O540" s="3" t="n">
        <v>2</v>
      </c>
      <c r="P540" s="2" t="s">
        <v>189</v>
      </c>
      <c r="Q540" s="2" t="s">
        <v>190</v>
      </c>
      <c r="R540" s="2" t="s">
        <v>188</v>
      </c>
      <c r="S540" s="2" t="s">
        <v>51</v>
      </c>
      <c r="T540" s="2" t="s">
        <v>2173</v>
      </c>
      <c r="U540" s="2" t="s">
        <v>118</v>
      </c>
      <c r="V540" s="4" t="n">
        <v>392000</v>
      </c>
      <c r="W540" s="5" t="n">
        <v>8.29</v>
      </c>
      <c r="X540" s="3" t="n">
        <v>24</v>
      </c>
      <c r="Y540" s="6" t="n">
        <v>46183</v>
      </c>
      <c r="Z540" s="6" t="n">
        <v>46190</v>
      </c>
      <c r="AA540" s="6" t="n">
        <v>46192</v>
      </c>
      <c r="AB540" s="4" t="n">
        <f aca="false">ROUND(PMT(W540/1200,X540,-V540),2)</f>
        <v>17780.99</v>
      </c>
      <c r="AC540" s="4" t="n">
        <v>0</v>
      </c>
      <c r="AD540" s="3" t="n">
        <v>1</v>
      </c>
      <c r="AE540" s="4" t="n">
        <v>79600</v>
      </c>
      <c r="AF540" s="4" t="n">
        <v>32200</v>
      </c>
      <c r="AG540" s="3" t="n">
        <v>18</v>
      </c>
      <c r="AH540" s="4" t="n">
        <v>13100</v>
      </c>
      <c r="AI540" s="3" t="n">
        <v>719</v>
      </c>
      <c r="AJ540" s="7" t="n">
        <f aca="false">ROUND(AB540/I540,4)</f>
        <v>0.5736</v>
      </c>
      <c r="AK540" s="2" t="str">
        <f aca="false">IF(AND(AI540&gt;=750,AJ540&lt;=0.35),"Low",IF(AND(AI540&gt;=600,AJ540&lt;=0.5),"Medium","High"))</f>
        <v>High</v>
      </c>
      <c r="AL540" s="3" t="n">
        <v>1</v>
      </c>
      <c r="AM540" s="2" t="s">
        <v>58</v>
      </c>
      <c r="AN540" s="2" t="s">
        <v>59</v>
      </c>
      <c r="AO540" s="2" t="s">
        <v>60</v>
      </c>
      <c r="AP540" s="7" t="n">
        <v>0.201</v>
      </c>
    </row>
    <row r="541" customFormat="false" ht="15" hidden="false" customHeight="false" outlineLevel="0" collapsed="false">
      <c r="A541" s="2" t="s">
        <v>2174</v>
      </c>
      <c r="B541" s="2" t="s">
        <v>2175</v>
      </c>
      <c r="C541" s="2" t="s">
        <v>2176</v>
      </c>
      <c r="D541" s="2" t="s">
        <v>45</v>
      </c>
      <c r="E541" s="3" t="n">
        <v>44</v>
      </c>
      <c r="F541" s="2" t="s">
        <v>434</v>
      </c>
      <c r="G541" s="2" t="s">
        <v>76</v>
      </c>
      <c r="H541" s="2" t="s">
        <v>101</v>
      </c>
      <c r="I541" s="4" t="n">
        <v>80000</v>
      </c>
      <c r="J541" s="2" t="s">
        <v>78</v>
      </c>
      <c r="K541" s="3" t="n">
        <v>23</v>
      </c>
      <c r="L541" s="2" t="s">
        <v>159</v>
      </c>
      <c r="M541" s="2" t="s">
        <v>159</v>
      </c>
      <c r="N541" s="2" t="s">
        <v>140</v>
      </c>
      <c r="O541" s="3"/>
      <c r="P541" s="2" t="s">
        <v>160</v>
      </c>
      <c r="Q541" s="2" t="s">
        <v>161</v>
      </c>
      <c r="R541" s="2" t="s">
        <v>159</v>
      </c>
      <c r="S541" s="2" t="s">
        <v>159</v>
      </c>
      <c r="T541" s="2" t="s">
        <v>2177</v>
      </c>
      <c r="U541" s="2" t="s">
        <v>192</v>
      </c>
      <c r="V541" s="4" t="n">
        <v>992000</v>
      </c>
      <c r="W541" s="5" t="n">
        <v>11.23</v>
      </c>
      <c r="X541" s="3" t="n">
        <v>42</v>
      </c>
      <c r="Y541" s="6" t="n">
        <v>46177</v>
      </c>
      <c r="Z541" s="6"/>
      <c r="AA541" s="6"/>
      <c r="AB541" s="4" t="n">
        <f aca="false">ROUND(PMT(W541/1200,X541,-V541),2)</f>
        <v>28673.02</v>
      </c>
      <c r="AC541" s="4" t="n">
        <v>1290000</v>
      </c>
      <c r="AD541" s="3" t="n">
        <v>0</v>
      </c>
      <c r="AE541" s="4" t="n">
        <v>275300</v>
      </c>
      <c r="AF541" s="4" t="n">
        <v>72100</v>
      </c>
      <c r="AG541" s="3" t="n">
        <v>18</v>
      </c>
      <c r="AH541" s="4" t="n">
        <v>77700</v>
      </c>
      <c r="AI541" s="3" t="n">
        <v>708</v>
      </c>
      <c r="AJ541" s="7" t="n">
        <f aca="false">ROUND(AB541/I541,4)</f>
        <v>0.3584</v>
      </c>
      <c r="AK541" s="2" t="str">
        <f aca="false">IF(AND(AI541&gt;=750,AJ541&lt;=0.35),"Low",IF(AND(AI541&gt;=600,AJ541&lt;=0.5),"Medium","High"))</f>
        <v>Medium</v>
      </c>
      <c r="AL541" s="3" t="n">
        <v>1</v>
      </c>
      <c r="AM541" s="2" t="s">
        <v>58</v>
      </c>
      <c r="AN541" s="2"/>
      <c r="AO541" s="2" t="s">
        <v>127</v>
      </c>
      <c r="AP541" s="7" t="n">
        <v>0.274</v>
      </c>
    </row>
    <row r="542" customFormat="false" ht="15" hidden="false" customHeight="false" outlineLevel="0" collapsed="false">
      <c r="A542" s="2" t="s">
        <v>2178</v>
      </c>
      <c r="B542" s="2" t="s">
        <v>2179</v>
      </c>
      <c r="C542" s="2" t="s">
        <v>1140</v>
      </c>
      <c r="D542" s="2" t="s">
        <v>109</v>
      </c>
      <c r="E542" s="3" t="n">
        <v>33</v>
      </c>
      <c r="F542" s="2" t="s">
        <v>64</v>
      </c>
      <c r="G542" s="2"/>
      <c r="H542" s="2" t="s">
        <v>48</v>
      </c>
      <c r="I542" s="4" t="n">
        <v>176000</v>
      </c>
      <c r="J542" s="2" t="s">
        <v>49</v>
      </c>
      <c r="K542" s="3" t="n">
        <v>9</v>
      </c>
      <c r="L542" s="2" t="s">
        <v>211</v>
      </c>
      <c r="M542" s="2" t="s">
        <v>147</v>
      </c>
      <c r="N542" s="2" t="s">
        <v>140</v>
      </c>
      <c r="O542" s="3" t="n">
        <v>2</v>
      </c>
      <c r="P542" s="2" t="s">
        <v>209</v>
      </c>
      <c r="Q542" s="2" t="s">
        <v>210</v>
      </c>
      <c r="R542" s="2" t="s">
        <v>211</v>
      </c>
      <c r="S542" s="2" t="s">
        <v>147</v>
      </c>
      <c r="T542" s="2" t="s">
        <v>2180</v>
      </c>
      <c r="U542" s="2" t="s">
        <v>85</v>
      </c>
      <c r="V542" s="4" t="n">
        <v>382000</v>
      </c>
      <c r="W542" s="5" t="n">
        <v>10.01</v>
      </c>
      <c r="X542" s="3" t="n">
        <v>12</v>
      </c>
      <c r="Y542" s="6" t="n">
        <v>46193</v>
      </c>
      <c r="Z542" s="6" t="n">
        <v>46195</v>
      </c>
      <c r="AA542" s="6" t="n">
        <v>46196</v>
      </c>
      <c r="AB542" s="4" t="n">
        <f aca="false">ROUND(PMT(W542/1200,X542,-V542),2)</f>
        <v>33585.65</v>
      </c>
      <c r="AC542" s="4" t="n">
        <v>0</v>
      </c>
      <c r="AD542" s="3" t="n">
        <v>1</v>
      </c>
      <c r="AE542" s="4" t="n">
        <v>505100</v>
      </c>
      <c r="AF542" s="4" t="n">
        <v>170700</v>
      </c>
      <c r="AG542" s="3" t="n">
        <v>49</v>
      </c>
      <c r="AH542" s="4" t="n">
        <v>192700</v>
      </c>
      <c r="AI542" s="3" t="n">
        <v>864</v>
      </c>
      <c r="AJ542" s="7" t="n">
        <f aca="false">ROUND(AB542/I542,4)</f>
        <v>0.1908</v>
      </c>
      <c r="AK542" s="2" t="str">
        <f aca="false">IF(AND(AI542&gt;=750,AJ542&lt;=0.35),"Low",IF(AND(AI542&gt;=600,AJ542&lt;=0.5),"Medium","High"))</f>
        <v>Low</v>
      </c>
      <c r="AL542" s="3" t="n">
        <v>1</v>
      </c>
      <c r="AM542" s="2" t="s">
        <v>58</v>
      </c>
      <c r="AN542" s="2" t="s">
        <v>59</v>
      </c>
      <c r="AO542" s="2" t="s">
        <v>60</v>
      </c>
      <c r="AP542" s="7" t="n">
        <v>0.057</v>
      </c>
    </row>
    <row r="543" customFormat="false" ht="15" hidden="false" customHeight="false" outlineLevel="0" collapsed="false">
      <c r="A543" s="2" t="s">
        <v>2181</v>
      </c>
      <c r="B543" s="2" t="s">
        <v>988</v>
      </c>
      <c r="C543" s="2" t="s">
        <v>2182</v>
      </c>
      <c r="D543" s="2" t="s">
        <v>45</v>
      </c>
      <c r="E543" s="3" t="n">
        <v>36</v>
      </c>
      <c r="F543" s="2" t="s">
        <v>175</v>
      </c>
      <c r="G543" s="2" t="s">
        <v>145</v>
      </c>
      <c r="H543" s="2" t="s">
        <v>48</v>
      </c>
      <c r="I543" s="4" t="n">
        <v>73500</v>
      </c>
      <c r="J543" s="2" t="s">
        <v>145</v>
      </c>
      <c r="K543" s="3" t="n">
        <v>15</v>
      </c>
      <c r="L543" s="2" t="s">
        <v>146</v>
      </c>
      <c r="M543" s="2" t="s">
        <v>147</v>
      </c>
      <c r="N543" s="2" t="s">
        <v>81</v>
      </c>
      <c r="O543" s="3" t="n">
        <v>0</v>
      </c>
      <c r="P543" s="2" t="s">
        <v>148</v>
      </c>
      <c r="Q543" s="2" t="s">
        <v>149</v>
      </c>
      <c r="R543" s="2" t="s">
        <v>147</v>
      </c>
      <c r="S543" s="2" t="s">
        <v>147</v>
      </c>
      <c r="T543" s="2" t="s">
        <v>2183</v>
      </c>
      <c r="U543" s="2" t="s">
        <v>192</v>
      </c>
      <c r="V543" s="4" t="n">
        <v>1048000</v>
      </c>
      <c r="W543" s="5" t="n">
        <v>14.28</v>
      </c>
      <c r="X543" s="3" t="n">
        <v>78</v>
      </c>
      <c r="Y543" s="6" t="n">
        <v>46195</v>
      </c>
      <c r="Z543" s="6" t="n">
        <v>46205</v>
      </c>
      <c r="AA543" s="6" t="n">
        <v>46206</v>
      </c>
      <c r="AB543" s="4" t="n">
        <f aca="false">ROUND(PMT(W543/1200,X543,-V543),2)</f>
        <v>20696.9</v>
      </c>
      <c r="AC543" s="4"/>
      <c r="AD543" s="3" t="n">
        <v>0</v>
      </c>
      <c r="AE543" s="4" t="n">
        <v>129500</v>
      </c>
      <c r="AF543" s="4"/>
      <c r="AG543" s="3"/>
      <c r="AH543" s="4" t="n">
        <v>52900</v>
      </c>
      <c r="AI543" s="3" t="n">
        <v>747</v>
      </c>
      <c r="AJ543" s="7" t="n">
        <f aca="false">ROUND(AB543/I543,4)</f>
        <v>0.2816</v>
      </c>
      <c r="AK543" s="2" t="str">
        <f aca="false">IF(AND(AI543&gt;=750,AJ543&lt;=0.35),"Low",IF(AND(AI543&gt;=600,AJ543&lt;=0.5),"Medium","High"))</f>
        <v>Medium</v>
      </c>
      <c r="AL543" s="3" t="n">
        <v>1</v>
      </c>
      <c r="AM543" s="2" t="s">
        <v>58</v>
      </c>
      <c r="AN543" s="2" t="s">
        <v>59</v>
      </c>
      <c r="AO543" s="2" t="s">
        <v>60</v>
      </c>
      <c r="AP543" s="7" t="n">
        <v>0.151</v>
      </c>
    </row>
    <row r="544" customFormat="false" ht="15" hidden="false" customHeight="false" outlineLevel="0" collapsed="false">
      <c r="A544" s="2" t="s">
        <v>2184</v>
      </c>
      <c r="B544" s="2" t="s">
        <v>228</v>
      </c>
      <c r="C544" s="2" t="s">
        <v>2185</v>
      </c>
      <c r="D544" s="2" t="s">
        <v>45</v>
      </c>
      <c r="E544" s="3" t="n">
        <v>50</v>
      </c>
      <c r="F544" s="2" t="s">
        <v>46</v>
      </c>
      <c r="G544" s="2" t="s">
        <v>207</v>
      </c>
      <c r="H544" s="2" t="s">
        <v>48</v>
      </c>
      <c r="I544" s="4" t="n">
        <v>68500</v>
      </c>
      <c r="J544" s="2" t="s">
        <v>49</v>
      </c>
      <c r="K544" s="3" t="n">
        <v>26</v>
      </c>
      <c r="L544" s="2" t="s">
        <v>91</v>
      </c>
      <c r="M544" s="2" t="s">
        <v>92</v>
      </c>
      <c r="N544" s="2" t="s">
        <v>140</v>
      </c>
      <c r="O544" s="3" t="n">
        <v>1</v>
      </c>
      <c r="P544" s="2" t="s">
        <v>124</v>
      </c>
      <c r="Q544" s="2" t="s">
        <v>125</v>
      </c>
      <c r="R544" s="2" t="s">
        <v>91</v>
      </c>
      <c r="S544" s="2" t="s">
        <v>92</v>
      </c>
      <c r="T544" s="2" t="s">
        <v>2186</v>
      </c>
      <c r="U544" s="2" t="s">
        <v>85</v>
      </c>
      <c r="V544" s="4" t="n">
        <v>486000</v>
      </c>
      <c r="W544" s="5" t="n">
        <v>8.22</v>
      </c>
      <c r="X544" s="3" t="n">
        <v>24</v>
      </c>
      <c r="Y544" s="6" t="n">
        <v>46195</v>
      </c>
      <c r="Z544" s="6" t="n">
        <v>46202</v>
      </c>
      <c r="AA544" s="6" t="n">
        <v>46208</v>
      </c>
      <c r="AB544" s="4" t="n">
        <f aca="false">ROUND(PMT(W544/1200,X544,-V544),2)</f>
        <v>22029.26</v>
      </c>
      <c r="AC544" s="4" t="n">
        <v>0</v>
      </c>
      <c r="AD544" s="3" t="n">
        <v>1</v>
      </c>
      <c r="AE544" s="4" t="n">
        <v>46100</v>
      </c>
      <c r="AF544" s="4" t="n">
        <v>24200</v>
      </c>
      <c r="AG544" s="3" t="n">
        <v>39</v>
      </c>
      <c r="AH544" s="4" t="n">
        <v>21100</v>
      </c>
      <c r="AI544" s="3" t="n">
        <v>715</v>
      </c>
      <c r="AJ544" s="7" t="n">
        <f aca="false">ROUND(AB544/I544,4)</f>
        <v>0.3216</v>
      </c>
      <c r="AK544" s="2" t="str">
        <f aca="false">IF(AND(AI544&gt;=750,AJ544&lt;=0.35),"Low",IF(AND(AI544&gt;=600,AJ544&lt;=0.5),"Medium","High"))</f>
        <v>Medium</v>
      </c>
      <c r="AL544" s="3" t="n">
        <v>1</v>
      </c>
      <c r="AM544" s="2" t="s">
        <v>58</v>
      </c>
      <c r="AN544" s="2" t="s">
        <v>119</v>
      </c>
      <c r="AO544" s="2" t="s">
        <v>60</v>
      </c>
      <c r="AP544" s="7" t="n">
        <v>0.194</v>
      </c>
    </row>
    <row r="545" customFormat="false" ht="15" hidden="false" customHeight="false" outlineLevel="0" collapsed="false">
      <c r="A545" s="2" t="s">
        <v>2187</v>
      </c>
      <c r="B545" s="2" t="s">
        <v>2188</v>
      </c>
      <c r="C545" s="2" t="s">
        <v>2189</v>
      </c>
      <c r="D545" s="2" t="s">
        <v>45</v>
      </c>
      <c r="E545" s="3" t="n">
        <v>39</v>
      </c>
      <c r="F545" s="2" t="s">
        <v>64</v>
      </c>
      <c r="G545" s="2" t="s">
        <v>166</v>
      </c>
      <c r="H545" s="2" t="s">
        <v>167</v>
      </c>
      <c r="I545" s="4" t="n">
        <v>247000</v>
      </c>
      <c r="J545" s="2" t="s">
        <v>145</v>
      </c>
      <c r="K545" s="3" t="n">
        <v>14</v>
      </c>
      <c r="L545" s="2" t="s">
        <v>569</v>
      </c>
      <c r="M545" s="2" t="s">
        <v>67</v>
      </c>
      <c r="N545" s="2" t="s">
        <v>81</v>
      </c>
      <c r="O545" s="3" t="n">
        <v>1</v>
      </c>
      <c r="P545" s="2" t="s">
        <v>103</v>
      </c>
      <c r="Q545" s="2" t="s">
        <v>104</v>
      </c>
      <c r="R545" s="2" t="s">
        <v>67</v>
      </c>
      <c r="S545" s="2" t="s">
        <v>67</v>
      </c>
      <c r="T545" s="2" t="s">
        <v>2190</v>
      </c>
      <c r="U545" s="2" t="s">
        <v>180</v>
      </c>
      <c r="V545" s="4" t="n">
        <v>2737000</v>
      </c>
      <c r="W545" s="5" t="n">
        <v>11.6</v>
      </c>
      <c r="X545" s="3" t="n">
        <v>48</v>
      </c>
      <c r="Y545" s="6" t="n">
        <v>46202</v>
      </c>
      <c r="Z545" s="6"/>
      <c r="AA545" s="6"/>
      <c r="AB545" s="4" t="n">
        <f aca="false">ROUND(PMT(W545/1200,X545,-V545),2)</f>
        <v>71539.34</v>
      </c>
      <c r="AC545" s="4" t="n">
        <v>3145000</v>
      </c>
      <c r="AD545" s="3" t="n">
        <v>0</v>
      </c>
      <c r="AE545" s="4" t="n">
        <v>496700</v>
      </c>
      <c r="AF545" s="4" t="n">
        <v>162200</v>
      </c>
      <c r="AG545" s="3" t="n">
        <v>19</v>
      </c>
      <c r="AH545" s="4" t="n">
        <v>175400</v>
      </c>
      <c r="AI545" s="3" t="n">
        <v>706</v>
      </c>
      <c r="AJ545" s="7" t="n">
        <f aca="false">ROUND(AB545/I545,4)</f>
        <v>0.2896</v>
      </c>
      <c r="AK545" s="2" t="str">
        <f aca="false">IF(AND(AI545&gt;=750,AJ545&lt;=0.35),"Low",IF(AND(AI545&gt;=600,AJ545&lt;=0.5),"Medium","High"))</f>
        <v>Medium</v>
      </c>
      <c r="AL545" s="3" t="n">
        <v>1</v>
      </c>
      <c r="AM545" s="2" t="s">
        <v>58</v>
      </c>
      <c r="AN545" s="2"/>
      <c r="AO545" s="2" t="s">
        <v>127</v>
      </c>
      <c r="AP545" s="7" t="n">
        <v>0.273</v>
      </c>
    </row>
    <row r="546" customFormat="false" ht="15" hidden="false" customHeight="false" outlineLevel="0" collapsed="false">
      <c r="A546" s="2" t="s">
        <v>2191</v>
      </c>
      <c r="B546" s="2" t="s">
        <v>2192</v>
      </c>
      <c r="C546" s="2" t="s">
        <v>2193</v>
      </c>
      <c r="D546" s="2" t="s">
        <v>109</v>
      </c>
      <c r="E546" s="3" t="n">
        <v>26</v>
      </c>
      <c r="F546" s="2" t="s">
        <v>64</v>
      </c>
      <c r="G546" s="2" t="s">
        <v>176</v>
      </c>
      <c r="H546" s="2" t="s">
        <v>123</v>
      </c>
      <c r="I546" s="4" t="n">
        <v>60500</v>
      </c>
      <c r="J546" s="2" t="s">
        <v>177</v>
      </c>
      <c r="K546" s="3" t="n">
        <v>1</v>
      </c>
      <c r="L546" s="2" t="s">
        <v>416</v>
      </c>
      <c r="M546" s="2" t="s">
        <v>147</v>
      </c>
      <c r="N546" s="2" t="s">
        <v>140</v>
      </c>
      <c r="O546" s="3" t="n">
        <v>0</v>
      </c>
      <c r="P546" s="2" t="s">
        <v>229</v>
      </c>
      <c r="Q546" s="2" t="s">
        <v>230</v>
      </c>
      <c r="R546" s="2" t="s">
        <v>231</v>
      </c>
      <c r="S546" s="2" t="s">
        <v>92</v>
      </c>
      <c r="T546" s="2" t="s">
        <v>2194</v>
      </c>
      <c r="U546" s="2" t="s">
        <v>85</v>
      </c>
      <c r="V546" s="4" t="n">
        <v>287000</v>
      </c>
      <c r="W546" s="5" t="n">
        <v>8.9</v>
      </c>
      <c r="X546" s="3" t="n">
        <v>24</v>
      </c>
      <c r="Y546" s="6" t="n">
        <v>46199</v>
      </c>
      <c r="Z546" s="6" t="n">
        <v>46204</v>
      </c>
      <c r="AA546" s="6" t="n">
        <v>46208</v>
      </c>
      <c r="AB546" s="4" t="n">
        <f aca="false">ROUND(PMT(W546/1200,X546,-V546),2)</f>
        <v>13098.36</v>
      </c>
      <c r="AC546" s="4" t="n">
        <v>0</v>
      </c>
      <c r="AD546" s="3" t="n">
        <v>1</v>
      </c>
      <c r="AE546" s="4" t="n">
        <v>143400</v>
      </c>
      <c r="AF546" s="4" t="n">
        <v>63000</v>
      </c>
      <c r="AG546" s="3" t="n">
        <v>42</v>
      </c>
      <c r="AH546" s="4" t="n">
        <v>60400</v>
      </c>
      <c r="AI546" s="3" t="n">
        <v>883</v>
      </c>
      <c r="AJ546" s="7" t="n">
        <f aca="false">ROUND(AB546/I546,4)</f>
        <v>0.2165</v>
      </c>
      <c r="AK546" s="2" t="str">
        <f aca="false">IF(AND(AI546&gt;=750,AJ546&lt;=0.35),"Low",IF(AND(AI546&gt;=600,AJ546&lt;=0.5),"Medium","High"))</f>
        <v>Low</v>
      </c>
      <c r="AL546" s="3" t="n">
        <v>0</v>
      </c>
      <c r="AM546" s="2" t="s">
        <v>58</v>
      </c>
      <c r="AN546" s="2" t="s">
        <v>59</v>
      </c>
      <c r="AO546" s="2" t="s">
        <v>86</v>
      </c>
      <c r="AP546" s="7" t="n">
        <v>0.091</v>
      </c>
    </row>
    <row r="547" customFormat="false" ht="15" hidden="false" customHeight="false" outlineLevel="0" collapsed="false">
      <c r="A547" s="2" t="s">
        <v>2195</v>
      </c>
      <c r="B547" s="2" t="s">
        <v>2196</v>
      </c>
      <c r="C547" s="2" t="s">
        <v>360</v>
      </c>
      <c r="D547" s="2" t="s">
        <v>109</v>
      </c>
      <c r="E547" s="3" t="n">
        <v>21</v>
      </c>
      <c r="F547" s="2" t="s">
        <v>64</v>
      </c>
      <c r="G547" s="2" t="s">
        <v>110</v>
      </c>
      <c r="H547" s="2" t="s">
        <v>77</v>
      </c>
      <c r="I547" s="4" t="n">
        <v>8500</v>
      </c>
      <c r="J547" s="2" t="s">
        <v>112</v>
      </c>
      <c r="K547" s="3" t="n">
        <v>0</v>
      </c>
      <c r="L547" s="2" t="s">
        <v>297</v>
      </c>
      <c r="M547" s="2" t="s">
        <v>92</v>
      </c>
      <c r="N547" s="2" t="s">
        <v>52</v>
      </c>
      <c r="O547" s="3" t="n">
        <v>2</v>
      </c>
      <c r="P547" s="2" t="s">
        <v>93</v>
      </c>
      <c r="Q547" s="2" t="s">
        <v>94</v>
      </c>
      <c r="R547" s="2" t="s">
        <v>95</v>
      </c>
      <c r="S547" s="2" t="s">
        <v>92</v>
      </c>
      <c r="T547" s="2" t="s">
        <v>2197</v>
      </c>
      <c r="U547" s="2" t="s">
        <v>97</v>
      </c>
      <c r="V547" s="4" t="n">
        <v>88000</v>
      </c>
      <c r="W547" s="5" t="n">
        <v>14.33</v>
      </c>
      <c r="X547" s="3" t="n">
        <v>30</v>
      </c>
      <c r="Y547" s="6" t="n">
        <v>46181</v>
      </c>
      <c r="Z547" s="6" t="n">
        <v>46183</v>
      </c>
      <c r="AA547" s="6" t="n">
        <v>46187</v>
      </c>
      <c r="AB547" s="4" t="n">
        <f aca="false">ROUND(PMT(W547/1200,X547,-V547),2)</f>
        <v>3507.37</v>
      </c>
      <c r="AC547" s="4" t="n">
        <v>0</v>
      </c>
      <c r="AD547" s="3" t="n">
        <v>1</v>
      </c>
      <c r="AE547" s="4" t="n">
        <v>21000</v>
      </c>
      <c r="AF547" s="4" t="n">
        <v>7100</v>
      </c>
      <c r="AG547" s="3" t="n">
        <v>24</v>
      </c>
      <c r="AH547" s="4" t="n">
        <v>3300</v>
      </c>
      <c r="AI547" s="3" t="n">
        <v>760</v>
      </c>
      <c r="AJ547" s="7" t="n">
        <f aca="false">ROUND(AB547/I547,4)</f>
        <v>0.4126</v>
      </c>
      <c r="AK547" s="2" t="str">
        <f aca="false">IF(AND(AI547&gt;=750,AJ547&lt;=0.35),"Low",IF(AND(AI547&gt;=600,AJ547&lt;=0.5),"Medium","High"))</f>
        <v>Medium</v>
      </c>
      <c r="AL547" s="3" t="n">
        <v>1</v>
      </c>
      <c r="AM547" s="2" t="s">
        <v>58</v>
      </c>
      <c r="AN547" s="2" t="s">
        <v>258</v>
      </c>
      <c r="AO547" s="2" t="s">
        <v>60</v>
      </c>
      <c r="AP547" s="7" t="n">
        <v>0.157</v>
      </c>
    </row>
    <row r="548" customFormat="false" ht="15" hidden="false" customHeight="false" outlineLevel="0" collapsed="false">
      <c r="A548" s="2" t="s">
        <v>2198</v>
      </c>
      <c r="B548" s="2" t="s">
        <v>202</v>
      </c>
      <c r="C548" s="2" t="s">
        <v>2199</v>
      </c>
      <c r="D548" s="2" t="s">
        <v>45</v>
      </c>
      <c r="E548" s="3" t="n">
        <v>53</v>
      </c>
      <c r="F548" s="2" t="s">
        <v>46</v>
      </c>
      <c r="G548" s="2"/>
      <c r="H548" s="2" t="s">
        <v>101</v>
      </c>
      <c r="I548" s="4" t="n">
        <v>172500</v>
      </c>
      <c r="J548" s="2" t="s">
        <v>49</v>
      </c>
      <c r="K548" s="3" t="n">
        <v>29</v>
      </c>
      <c r="L548" s="2" t="s">
        <v>348</v>
      </c>
      <c r="M548" s="2" t="s">
        <v>67</v>
      </c>
      <c r="N548" s="2" t="s">
        <v>52</v>
      </c>
      <c r="O548" s="3" t="n">
        <v>2</v>
      </c>
      <c r="P548" s="2" t="s">
        <v>68</v>
      </c>
      <c r="Q548" s="2" t="s">
        <v>69</v>
      </c>
      <c r="R548" s="2" t="s">
        <v>70</v>
      </c>
      <c r="S548" s="2" t="s">
        <v>67</v>
      </c>
      <c r="T548" s="2" t="s">
        <v>2200</v>
      </c>
      <c r="U548" s="2" t="s">
        <v>57</v>
      </c>
      <c r="V548" s="4" t="n">
        <v>4008000</v>
      </c>
      <c r="W548" s="5" t="n">
        <v>8.76</v>
      </c>
      <c r="X548" s="3" t="n">
        <v>264</v>
      </c>
      <c r="Y548" s="6" t="n">
        <v>46197</v>
      </c>
      <c r="Z548" s="6" t="n">
        <v>46203</v>
      </c>
      <c r="AA548" s="6" t="n">
        <v>46208</v>
      </c>
      <c r="AB548" s="4" t="n">
        <f aca="false">ROUND(PMT(W548/1200,X548,-V548),2)</f>
        <v>34283.61</v>
      </c>
      <c r="AC548" s="4" t="n">
        <v>4629000</v>
      </c>
      <c r="AD548" s="3" t="n">
        <v>2</v>
      </c>
      <c r="AE548" s="4" t="n">
        <v>348300</v>
      </c>
      <c r="AF548" s="4" t="n">
        <v>196500</v>
      </c>
      <c r="AG548" s="3" t="n">
        <v>34</v>
      </c>
      <c r="AH548" s="4" t="n">
        <v>133200</v>
      </c>
      <c r="AI548" s="3" t="n">
        <v>723</v>
      </c>
      <c r="AJ548" s="7" t="n">
        <f aca="false">ROUND(AB548/I548,4)</f>
        <v>0.1987</v>
      </c>
      <c r="AK548" s="2" t="str">
        <f aca="false">IF(AND(AI548&gt;=750,AJ548&lt;=0.35),"Low",IF(AND(AI548&gt;=600,AJ548&lt;=0.5),"Medium","High"))</f>
        <v>Medium</v>
      </c>
      <c r="AL548" s="3" t="n">
        <v>4</v>
      </c>
      <c r="AM548" s="2" t="s">
        <v>233</v>
      </c>
      <c r="AN548" s="2" t="s">
        <v>59</v>
      </c>
      <c r="AO548" s="2" t="s">
        <v>60</v>
      </c>
      <c r="AP548" s="7" t="n">
        <v>0.391</v>
      </c>
    </row>
    <row r="549" customFormat="false" ht="15" hidden="false" customHeight="false" outlineLevel="0" collapsed="false">
      <c r="A549" s="2" t="s">
        <v>2201</v>
      </c>
      <c r="B549" s="2" t="s">
        <v>2202</v>
      </c>
      <c r="C549" s="2" t="s">
        <v>2203</v>
      </c>
      <c r="D549" s="2" t="s">
        <v>109</v>
      </c>
      <c r="E549" s="3" t="n">
        <v>49</v>
      </c>
      <c r="F549" s="2" t="s">
        <v>64</v>
      </c>
      <c r="G549" s="2" t="s">
        <v>110</v>
      </c>
      <c r="H549" s="2" t="s">
        <v>48</v>
      </c>
      <c r="I549" s="4" t="n">
        <v>26000</v>
      </c>
      <c r="J549" s="2" t="s">
        <v>112</v>
      </c>
      <c r="K549" s="3" t="n">
        <v>22</v>
      </c>
      <c r="L549" s="2" t="s">
        <v>211</v>
      </c>
      <c r="M549" s="2" t="s">
        <v>147</v>
      </c>
      <c r="N549" s="2" t="s">
        <v>52</v>
      </c>
      <c r="O549" s="3" t="n">
        <v>1</v>
      </c>
      <c r="P549" s="2" t="s">
        <v>209</v>
      </c>
      <c r="Q549" s="2" t="s">
        <v>210</v>
      </c>
      <c r="R549" s="2" t="s">
        <v>211</v>
      </c>
      <c r="S549" s="2" t="s">
        <v>147</v>
      </c>
      <c r="T549" s="2" t="s">
        <v>2204</v>
      </c>
      <c r="U549" s="2" t="s">
        <v>72</v>
      </c>
      <c r="V549" s="4" t="n">
        <v>300000</v>
      </c>
      <c r="W549" s="5" t="n">
        <v>13.16</v>
      </c>
      <c r="X549" s="3" t="n">
        <v>18</v>
      </c>
      <c r="Y549" s="6" t="n">
        <v>46190</v>
      </c>
      <c r="Z549" s="6"/>
      <c r="AA549" s="6"/>
      <c r="AB549" s="4" t="n">
        <f aca="false">ROUND(PMT(W549/1200,X549,-V549),2)</f>
        <v>18456.68</v>
      </c>
      <c r="AC549" s="4" t="n">
        <v>434000</v>
      </c>
      <c r="AD549" s="3" t="n">
        <v>4</v>
      </c>
      <c r="AE549" s="4" t="n">
        <v>83700</v>
      </c>
      <c r="AF549" s="4" t="n">
        <v>34600</v>
      </c>
      <c r="AG549" s="3" t="n">
        <v>32</v>
      </c>
      <c r="AH549" s="4" t="n">
        <v>16300</v>
      </c>
      <c r="AI549" s="3" t="n">
        <v>678</v>
      </c>
      <c r="AJ549" s="7" t="n">
        <f aca="false">ROUND(AB549/I549,4)</f>
        <v>0.7099</v>
      </c>
      <c r="AK549" s="2" t="str">
        <f aca="false">IF(AND(AI549&gt;=750,AJ549&lt;=0.35),"Low",IF(AND(AI549&gt;=600,AJ549&lt;=0.5),"Medium","High"))</f>
        <v>High</v>
      </c>
      <c r="AL549" s="3" t="n">
        <v>3</v>
      </c>
      <c r="AM549" s="2" t="s">
        <v>58</v>
      </c>
      <c r="AN549" s="2"/>
      <c r="AO549" s="2" t="s">
        <v>127</v>
      </c>
      <c r="AP549" s="7" t="n">
        <v>0.271</v>
      </c>
    </row>
    <row r="550" customFormat="false" ht="15" hidden="false" customHeight="false" outlineLevel="0" collapsed="false">
      <c r="A550" s="2" t="s">
        <v>2205</v>
      </c>
      <c r="B550" s="2" t="s">
        <v>2206</v>
      </c>
      <c r="C550" s="2" t="s">
        <v>2207</v>
      </c>
      <c r="D550" s="2" t="s">
        <v>109</v>
      </c>
      <c r="E550" s="3" t="n">
        <v>44</v>
      </c>
      <c r="F550" s="2" t="s">
        <v>46</v>
      </c>
      <c r="G550" s="2" t="s">
        <v>145</v>
      </c>
      <c r="H550" s="2" t="s">
        <v>111</v>
      </c>
      <c r="I550" s="4" t="n">
        <v>24000</v>
      </c>
      <c r="J550" s="2" t="s">
        <v>145</v>
      </c>
      <c r="K550" s="3" t="n">
        <v>20</v>
      </c>
      <c r="L550" s="2" t="s">
        <v>55</v>
      </c>
      <c r="M550" s="2" t="s">
        <v>51</v>
      </c>
      <c r="N550" s="2" t="s">
        <v>140</v>
      </c>
      <c r="O550" s="3" t="n">
        <v>1</v>
      </c>
      <c r="P550" s="2" t="s">
        <v>53</v>
      </c>
      <c r="Q550" s="2" t="s">
        <v>54</v>
      </c>
      <c r="R550" s="2" t="s">
        <v>55</v>
      </c>
      <c r="S550" s="2" t="s">
        <v>51</v>
      </c>
      <c r="T550" s="2" t="s">
        <v>2208</v>
      </c>
      <c r="U550" s="2" t="s">
        <v>85</v>
      </c>
      <c r="V550" s="4" t="n">
        <v>180000</v>
      </c>
      <c r="W550" s="5" t="n">
        <v>8.43</v>
      </c>
      <c r="X550" s="3" t="n">
        <v>24</v>
      </c>
      <c r="Y550" s="6" t="n">
        <v>46190</v>
      </c>
      <c r="Z550" s="6" t="n">
        <v>46194</v>
      </c>
      <c r="AA550" s="6" t="n">
        <v>46199</v>
      </c>
      <c r="AB550" s="4" t="n">
        <f aca="false">ROUND(PMT(W550/1200,X550,-V550),2)</f>
        <v>8176.26</v>
      </c>
      <c r="AC550" s="4" t="n">
        <v>0</v>
      </c>
      <c r="AD550" s="3" t="n">
        <v>1</v>
      </c>
      <c r="AE550" s="4" t="n">
        <v>85000</v>
      </c>
      <c r="AF550" s="4" t="n">
        <v>31300</v>
      </c>
      <c r="AG550" s="3" t="n">
        <v>35</v>
      </c>
      <c r="AH550" s="4" t="n">
        <v>21600</v>
      </c>
      <c r="AI550" s="3" t="n">
        <v>576</v>
      </c>
      <c r="AJ550" s="7" t="n">
        <f aca="false">ROUND(AB550/I550,4)</f>
        <v>0.3407</v>
      </c>
      <c r="AK550" s="2" t="str">
        <f aca="false">IF(AND(AI550&gt;=750,AJ550&lt;=0.35),"Low",IF(AND(AI550&gt;=600,AJ550&lt;=0.5),"Medium","High"))</f>
        <v>High</v>
      </c>
      <c r="AL550" s="3" t="n">
        <v>3</v>
      </c>
      <c r="AM550" s="2" t="s">
        <v>58</v>
      </c>
      <c r="AN550" s="2" t="s">
        <v>258</v>
      </c>
      <c r="AO550" s="2" t="s">
        <v>60</v>
      </c>
      <c r="AP550" s="7" t="n">
        <v>0.395</v>
      </c>
    </row>
    <row r="551" customFormat="false" ht="15" hidden="false" customHeight="false" outlineLevel="0" collapsed="false">
      <c r="A551" s="2" t="s">
        <v>2209</v>
      </c>
      <c r="B551" s="2" t="s">
        <v>2210</v>
      </c>
      <c r="C551" s="2" t="s">
        <v>1287</v>
      </c>
      <c r="D551" s="2" t="s">
        <v>45</v>
      </c>
      <c r="E551" s="3" t="n">
        <v>33</v>
      </c>
      <c r="F551" s="2" t="s">
        <v>64</v>
      </c>
      <c r="G551" s="2" t="s">
        <v>76</v>
      </c>
      <c r="H551" s="2" t="s">
        <v>77</v>
      </c>
      <c r="I551" s="4" t="n">
        <v>28000</v>
      </c>
      <c r="J551" s="2" t="s">
        <v>78</v>
      </c>
      <c r="K551" s="3" t="n">
        <v>11</v>
      </c>
      <c r="L551" s="2" t="s">
        <v>91</v>
      </c>
      <c r="M551" s="2" t="s">
        <v>92</v>
      </c>
      <c r="N551" s="2" t="s">
        <v>52</v>
      </c>
      <c r="O551" s="3" t="n">
        <v>1</v>
      </c>
      <c r="P551" s="2" t="s">
        <v>124</v>
      </c>
      <c r="Q551" s="2" t="s">
        <v>125</v>
      </c>
      <c r="R551" s="2" t="s">
        <v>91</v>
      </c>
      <c r="S551" s="2" t="s">
        <v>92</v>
      </c>
      <c r="T551" s="2" t="s">
        <v>2211</v>
      </c>
      <c r="U551" s="2" t="s">
        <v>180</v>
      </c>
      <c r="V551" s="4" t="n">
        <v>300000</v>
      </c>
      <c r="W551" s="5" t="n">
        <v>10.46</v>
      </c>
      <c r="X551" s="3" t="n">
        <v>42</v>
      </c>
      <c r="Y551" s="6" t="n">
        <v>46191</v>
      </c>
      <c r="Z551" s="6" t="n">
        <v>46195</v>
      </c>
      <c r="AA551" s="6" t="n">
        <v>46198</v>
      </c>
      <c r="AB551" s="4" t="n">
        <f aca="false">ROUND(PMT(W551/1200,X551,-V551),2)</f>
        <v>8560.7</v>
      </c>
      <c r="AC551" s="4" t="n">
        <v>383000</v>
      </c>
      <c r="AD551" s="3" t="n">
        <v>2</v>
      </c>
      <c r="AE551" s="4" t="n">
        <v>50100</v>
      </c>
      <c r="AF551" s="4" t="n">
        <v>14100</v>
      </c>
      <c r="AG551" s="3"/>
      <c r="AH551" s="4" t="n">
        <v>29900</v>
      </c>
      <c r="AI551" s="3" t="n">
        <v>648</v>
      </c>
      <c r="AJ551" s="7" t="n">
        <f aca="false">ROUND(AB551/I551,4)</f>
        <v>0.3057</v>
      </c>
      <c r="AK551" s="2" t="str">
        <f aca="false">IF(AND(AI551&gt;=750,AJ551&lt;=0.35),"Low",IF(AND(AI551&gt;=600,AJ551&lt;=0.5),"Medium","High"))</f>
        <v>Medium</v>
      </c>
      <c r="AL551" s="3" t="n">
        <v>6</v>
      </c>
      <c r="AM551" s="2" t="s">
        <v>233</v>
      </c>
      <c r="AN551" s="2" t="s">
        <v>258</v>
      </c>
      <c r="AO551" s="2" t="s">
        <v>60</v>
      </c>
      <c r="AP551" s="7" t="n">
        <v>0.424</v>
      </c>
    </row>
    <row r="552" customFormat="false" ht="15" hidden="false" customHeight="false" outlineLevel="0" collapsed="false">
      <c r="A552" s="2" t="s">
        <v>2212</v>
      </c>
      <c r="B552" s="2" t="s">
        <v>2213</v>
      </c>
      <c r="C552" s="2" t="s">
        <v>2101</v>
      </c>
      <c r="D552" s="2" t="s">
        <v>45</v>
      </c>
      <c r="E552" s="3" t="n">
        <v>55</v>
      </c>
      <c r="F552" s="2" t="s">
        <v>64</v>
      </c>
      <c r="G552" s="2" t="s">
        <v>65</v>
      </c>
      <c r="H552" s="2" t="s">
        <v>101</v>
      </c>
      <c r="I552" s="4" t="n">
        <v>55000</v>
      </c>
      <c r="J552" s="2" t="s">
        <v>49</v>
      </c>
      <c r="K552" s="3" t="n">
        <v>31</v>
      </c>
      <c r="L552" s="2" t="s">
        <v>274</v>
      </c>
      <c r="M552" s="2" t="s">
        <v>67</v>
      </c>
      <c r="N552" s="2" t="s">
        <v>140</v>
      </c>
      <c r="O552" s="3" t="n">
        <v>1</v>
      </c>
      <c r="P552" s="2" t="s">
        <v>131</v>
      </c>
      <c r="Q552" s="2" t="s">
        <v>132</v>
      </c>
      <c r="R552" s="2" t="s">
        <v>51</v>
      </c>
      <c r="S552" s="2" t="s">
        <v>51</v>
      </c>
      <c r="T552" s="2" t="s">
        <v>2214</v>
      </c>
      <c r="U552" s="2" t="s">
        <v>85</v>
      </c>
      <c r="V552" s="4" t="n">
        <v>313000</v>
      </c>
      <c r="W552" s="5" t="n">
        <v>10.13</v>
      </c>
      <c r="X552" s="3" t="n">
        <v>18</v>
      </c>
      <c r="Y552" s="6" t="n">
        <v>46203</v>
      </c>
      <c r="Z552" s="6"/>
      <c r="AA552" s="6"/>
      <c r="AB552" s="4" t="n">
        <f aca="false">ROUND(PMT(W552/1200,X552,-V552),2)</f>
        <v>18816.61</v>
      </c>
      <c r="AC552" s="4" t="n">
        <v>0</v>
      </c>
      <c r="AD552" s="3" t="n">
        <v>2</v>
      </c>
      <c r="AE552" s="4" t="n">
        <v>136200</v>
      </c>
      <c r="AF552" s="4" t="n">
        <v>45700</v>
      </c>
      <c r="AG552" s="3" t="n">
        <v>51</v>
      </c>
      <c r="AH552" s="4" t="n">
        <v>18600</v>
      </c>
      <c r="AI552" s="3" t="n">
        <v>770</v>
      </c>
      <c r="AJ552" s="7" t="n">
        <f aca="false">ROUND(AB552/I552,4)</f>
        <v>0.3421</v>
      </c>
      <c r="AK552" s="2" t="str">
        <f aca="false">IF(AND(AI552&gt;=750,AJ552&lt;=0.35),"Low",IF(AND(AI552&gt;=600,AJ552&lt;=0.5),"Medium","High"))</f>
        <v>Low</v>
      </c>
      <c r="AL552" s="3" t="n">
        <v>3</v>
      </c>
      <c r="AM552" s="2" t="s">
        <v>58</v>
      </c>
      <c r="AN552" s="2"/>
      <c r="AO552" s="2" t="s">
        <v>134</v>
      </c>
      <c r="AP552" s="7" t="n">
        <v>0.11</v>
      </c>
    </row>
    <row r="553" customFormat="false" ht="15" hidden="false" customHeight="false" outlineLevel="0" collapsed="false">
      <c r="A553" s="2" t="s">
        <v>2215</v>
      </c>
      <c r="B553" s="2" t="s">
        <v>2216</v>
      </c>
      <c r="C553" s="2" t="s">
        <v>701</v>
      </c>
      <c r="D553" s="2" t="s">
        <v>109</v>
      </c>
      <c r="E553" s="3" t="n">
        <v>36</v>
      </c>
      <c r="F553" s="2"/>
      <c r="G553" s="2" t="s">
        <v>65</v>
      </c>
      <c r="H553" s="2" t="s">
        <v>48</v>
      </c>
      <c r="I553" s="4" t="n">
        <v>55000</v>
      </c>
      <c r="J553" s="2" t="s">
        <v>49</v>
      </c>
      <c r="K553" s="3" t="n">
        <v>12</v>
      </c>
      <c r="L553" s="2" t="s">
        <v>114</v>
      </c>
      <c r="M553" s="2" t="s">
        <v>114</v>
      </c>
      <c r="N553" s="2" t="s">
        <v>52</v>
      </c>
      <c r="O553" s="3" t="n">
        <v>1</v>
      </c>
      <c r="P553" s="2" t="s">
        <v>115</v>
      </c>
      <c r="Q553" s="2" t="s">
        <v>116</v>
      </c>
      <c r="R553" s="2" t="s">
        <v>114</v>
      </c>
      <c r="S553" s="2" t="s">
        <v>114</v>
      </c>
      <c r="T553" s="2" t="s">
        <v>2217</v>
      </c>
      <c r="U553" s="2" t="s">
        <v>85</v>
      </c>
      <c r="V553" s="4" t="n">
        <v>127000</v>
      </c>
      <c r="W553" s="5" t="n">
        <v>9.95</v>
      </c>
      <c r="X553" s="3" t="n">
        <v>12</v>
      </c>
      <c r="Y553" s="6" t="n">
        <v>46196</v>
      </c>
      <c r="Z553" s="6"/>
      <c r="AA553" s="6"/>
      <c r="AB553" s="4" t="n">
        <f aca="false">ROUND(PMT(W553/1200,X553,-V553),2)</f>
        <v>11162.36</v>
      </c>
      <c r="AC553" s="4" t="n">
        <v>0</v>
      </c>
      <c r="AD553" s="3" t="n">
        <v>0</v>
      </c>
      <c r="AE553" s="4" t="n">
        <v>30200</v>
      </c>
      <c r="AF553" s="4" t="n">
        <v>14700</v>
      </c>
      <c r="AG553" s="3" t="n">
        <v>20</v>
      </c>
      <c r="AH553" s="4" t="n">
        <v>55000</v>
      </c>
      <c r="AI553" s="3" t="n">
        <v>812</v>
      </c>
      <c r="AJ553" s="7" t="n">
        <f aca="false">ROUND(AB553/I553,4)</f>
        <v>0.203</v>
      </c>
      <c r="AK553" s="2" t="str">
        <f aca="false">IF(AND(AI553&gt;=750,AJ553&lt;=0.35),"Low",IF(AND(AI553&gt;=600,AJ553&lt;=0.5),"Medium","High"))</f>
        <v>Low</v>
      </c>
      <c r="AL553" s="3" t="n">
        <v>0</v>
      </c>
      <c r="AM553" s="2" t="s">
        <v>58</v>
      </c>
      <c r="AN553" s="2"/>
      <c r="AO553" s="2" t="s">
        <v>127</v>
      </c>
      <c r="AP553" s="7" t="n">
        <v>0.099</v>
      </c>
    </row>
    <row r="554" customFormat="false" ht="15" hidden="false" customHeight="false" outlineLevel="0" collapsed="false">
      <c r="A554" s="2" t="s">
        <v>2218</v>
      </c>
      <c r="B554" s="2" t="s">
        <v>2219</v>
      </c>
      <c r="C554" s="2" t="s">
        <v>2220</v>
      </c>
      <c r="D554" s="2" t="s">
        <v>109</v>
      </c>
      <c r="E554" s="3" t="n">
        <v>24</v>
      </c>
      <c r="F554" s="2" t="s">
        <v>64</v>
      </c>
      <c r="G554" s="2" t="s">
        <v>110</v>
      </c>
      <c r="H554" s="2" t="s">
        <v>111</v>
      </c>
      <c r="I554" s="4" t="n">
        <v>11000</v>
      </c>
      <c r="J554" s="2" t="s">
        <v>112</v>
      </c>
      <c r="K554" s="3" t="n">
        <v>5</v>
      </c>
      <c r="L554" s="2" t="s">
        <v>2221</v>
      </c>
      <c r="M554" s="2" t="s">
        <v>114</v>
      </c>
      <c r="N554" s="2" t="s">
        <v>140</v>
      </c>
      <c r="O554" s="3" t="n">
        <v>1</v>
      </c>
      <c r="P554" s="2" t="s">
        <v>115</v>
      </c>
      <c r="Q554" s="2" t="s">
        <v>116</v>
      </c>
      <c r="R554" s="2" t="s">
        <v>114</v>
      </c>
      <c r="S554" s="2" t="s">
        <v>114</v>
      </c>
      <c r="T554" s="2" t="s">
        <v>2222</v>
      </c>
      <c r="U554" s="2" t="s">
        <v>180</v>
      </c>
      <c r="V554" s="4" t="n">
        <v>300000</v>
      </c>
      <c r="W554" s="5" t="n">
        <v>9.91</v>
      </c>
      <c r="X554" s="3" t="n">
        <v>60</v>
      </c>
      <c r="Y554" s="6" t="n">
        <v>46189</v>
      </c>
      <c r="Z554" s="6" t="n">
        <v>46193</v>
      </c>
      <c r="AA554" s="6" t="n">
        <v>46194</v>
      </c>
      <c r="AB554" s="4" t="n">
        <f aca="false">ROUND(PMT(W554/1200,X554,-V554),2)</f>
        <v>6360.84</v>
      </c>
      <c r="AC554" s="4"/>
      <c r="AD554" s="3" t="n">
        <v>1</v>
      </c>
      <c r="AE554" s="4" t="n">
        <v>42300</v>
      </c>
      <c r="AF554" s="4" t="n">
        <v>8300</v>
      </c>
      <c r="AG554" s="3" t="n">
        <v>30</v>
      </c>
      <c r="AH554" s="4" t="n">
        <v>11100</v>
      </c>
      <c r="AI554" s="3" t="n">
        <v>650</v>
      </c>
      <c r="AJ554" s="7" t="n">
        <f aca="false">ROUND(AB554/I554,4)</f>
        <v>0.5783</v>
      </c>
      <c r="AK554" s="2" t="str">
        <f aca="false">IF(AND(AI554&gt;=750,AJ554&lt;=0.35),"Low",IF(AND(AI554&gt;=600,AJ554&lt;=0.5),"Medium","High"))</f>
        <v>High</v>
      </c>
      <c r="AL554" s="3" t="n">
        <v>1</v>
      </c>
      <c r="AM554" s="2" t="s">
        <v>58</v>
      </c>
      <c r="AN554" s="2" t="s">
        <v>258</v>
      </c>
      <c r="AO554" s="2" t="s">
        <v>60</v>
      </c>
      <c r="AP554" s="7" t="n">
        <v>0.272</v>
      </c>
    </row>
    <row r="555" customFormat="false" ht="15" hidden="false" customHeight="false" outlineLevel="0" collapsed="false">
      <c r="A555" s="2" t="s">
        <v>2223</v>
      </c>
      <c r="B555" s="2" t="s">
        <v>1397</v>
      </c>
      <c r="C555" s="2" t="s">
        <v>2224</v>
      </c>
      <c r="D555" s="2" t="s">
        <v>45</v>
      </c>
      <c r="E555" s="3" t="n">
        <v>57</v>
      </c>
      <c r="F555" s="2" t="s">
        <v>64</v>
      </c>
      <c r="G555" s="2" t="s">
        <v>145</v>
      </c>
      <c r="H555" s="2" t="s">
        <v>123</v>
      </c>
      <c r="I555" s="4" t="n">
        <v>36000</v>
      </c>
      <c r="J555" s="2" t="s">
        <v>145</v>
      </c>
      <c r="K555" s="3" t="n">
        <v>30</v>
      </c>
      <c r="L555" s="2" t="s">
        <v>55</v>
      </c>
      <c r="M555" s="2" t="s">
        <v>51</v>
      </c>
      <c r="N555" s="2" t="s">
        <v>140</v>
      </c>
      <c r="O555" s="3" t="n">
        <v>1</v>
      </c>
      <c r="P555" s="2" t="s">
        <v>53</v>
      </c>
      <c r="Q555" s="2" t="s">
        <v>54</v>
      </c>
      <c r="R555" s="2" t="s">
        <v>55</v>
      </c>
      <c r="S555" s="2" t="s">
        <v>51</v>
      </c>
      <c r="T555" s="2" t="s">
        <v>2225</v>
      </c>
      <c r="U555" s="2" t="s">
        <v>97</v>
      </c>
      <c r="V555" s="4" t="n">
        <v>174000</v>
      </c>
      <c r="W555" s="5" t="n">
        <v>14.17</v>
      </c>
      <c r="X555" s="3" t="n">
        <v>24</v>
      </c>
      <c r="Y555" s="6" t="n">
        <v>46193</v>
      </c>
      <c r="Z555" s="6"/>
      <c r="AA555" s="6"/>
      <c r="AB555" s="4" t="n">
        <f aca="false">ROUND(PMT(W555/1200,X555,-V555),2)</f>
        <v>8368.22</v>
      </c>
      <c r="AC555" s="4" t="n">
        <v>0</v>
      </c>
      <c r="AD555" s="3" t="n">
        <v>0</v>
      </c>
      <c r="AE555" s="4" t="n">
        <v>19400</v>
      </c>
      <c r="AF555" s="4" t="n">
        <v>4300</v>
      </c>
      <c r="AG555" s="3" t="n">
        <v>19</v>
      </c>
      <c r="AH555" s="4" t="n">
        <v>30300</v>
      </c>
      <c r="AI555" s="3" t="n">
        <v>742</v>
      </c>
      <c r="AJ555" s="7" t="n">
        <f aca="false">ROUND(AB555/I555,4)</f>
        <v>0.2325</v>
      </c>
      <c r="AK555" s="2" t="str">
        <f aca="false">IF(AND(AI555&gt;=750,AJ555&lt;=0.35),"Low",IF(AND(AI555&gt;=600,AJ555&lt;=0.5),"Medium","High"))</f>
        <v>Medium</v>
      </c>
      <c r="AL555" s="3" t="n">
        <v>3</v>
      </c>
      <c r="AM555" s="2" t="s">
        <v>233</v>
      </c>
      <c r="AN555" s="2"/>
      <c r="AO555" s="2" t="s">
        <v>134</v>
      </c>
      <c r="AP555" s="7" t="n">
        <v>0.292</v>
      </c>
    </row>
    <row r="556" customFormat="false" ht="15" hidden="false" customHeight="false" outlineLevel="0" collapsed="false">
      <c r="A556" s="2" t="s">
        <v>2226</v>
      </c>
      <c r="B556" s="2" t="s">
        <v>2227</v>
      </c>
      <c r="C556" s="2" t="s">
        <v>2228</v>
      </c>
      <c r="D556" s="2" t="s">
        <v>45</v>
      </c>
      <c r="E556" s="3" t="n">
        <v>38</v>
      </c>
      <c r="F556" s="2" t="s">
        <v>64</v>
      </c>
      <c r="G556" s="2" t="s">
        <v>145</v>
      </c>
      <c r="H556" s="2" t="s">
        <v>111</v>
      </c>
      <c r="I556" s="4" t="n">
        <v>17000</v>
      </c>
      <c r="J556" s="2" t="s">
        <v>145</v>
      </c>
      <c r="K556" s="3" t="n">
        <v>19</v>
      </c>
      <c r="L556" s="2" t="s">
        <v>753</v>
      </c>
      <c r="M556" s="2" t="s">
        <v>147</v>
      </c>
      <c r="N556" s="2" t="s">
        <v>81</v>
      </c>
      <c r="O556" s="3" t="n">
        <v>3</v>
      </c>
      <c r="P556" s="2" t="s">
        <v>115</v>
      </c>
      <c r="Q556" s="2" t="s">
        <v>116</v>
      </c>
      <c r="R556" s="2" t="s">
        <v>114</v>
      </c>
      <c r="S556" s="2" t="s">
        <v>114</v>
      </c>
      <c r="T556" s="2" t="s">
        <v>2229</v>
      </c>
      <c r="U556" s="2" t="s">
        <v>97</v>
      </c>
      <c r="V556" s="4" t="n">
        <v>112000</v>
      </c>
      <c r="W556" s="5" t="n">
        <v>15.15</v>
      </c>
      <c r="X556" s="3" t="n">
        <v>42</v>
      </c>
      <c r="Y556" s="6" t="n">
        <v>46179</v>
      </c>
      <c r="Z556" s="6" t="n">
        <v>46185</v>
      </c>
      <c r="AA556" s="6" t="n">
        <v>46188</v>
      </c>
      <c r="AB556" s="4" t="n">
        <f aca="false">ROUND(PMT(W556/1200,X556,-V556),2)</f>
        <v>3452.27</v>
      </c>
      <c r="AC556" s="4" t="n">
        <v>0</v>
      </c>
      <c r="AD556" s="3" t="n">
        <v>0</v>
      </c>
      <c r="AE556" s="4" t="n">
        <v>54700</v>
      </c>
      <c r="AF556" s="4" t="n">
        <v>18800</v>
      </c>
      <c r="AG556" s="3" t="n">
        <v>20</v>
      </c>
      <c r="AH556" s="4" t="n">
        <v>8200</v>
      </c>
      <c r="AI556" s="3" t="n">
        <v>753</v>
      </c>
      <c r="AJ556" s="7" t="n">
        <f aca="false">ROUND(AB556/I556,4)</f>
        <v>0.2031</v>
      </c>
      <c r="AK556" s="2" t="str">
        <f aca="false">IF(AND(AI556&gt;=750,AJ556&lt;=0.35),"Low",IF(AND(AI556&gt;=600,AJ556&lt;=0.5),"Medium","High"))</f>
        <v>Low</v>
      </c>
      <c r="AL556" s="3" t="n">
        <v>1</v>
      </c>
      <c r="AM556" s="2" t="s">
        <v>58</v>
      </c>
      <c r="AN556" s="2" t="s">
        <v>59</v>
      </c>
      <c r="AO556" s="2" t="s">
        <v>60</v>
      </c>
      <c r="AP556" s="7" t="n">
        <v>0.141</v>
      </c>
    </row>
    <row r="557" customFormat="false" ht="15" hidden="false" customHeight="false" outlineLevel="0" collapsed="false">
      <c r="A557" s="2" t="s">
        <v>2230</v>
      </c>
      <c r="B557" s="2" t="s">
        <v>2231</v>
      </c>
      <c r="C557" s="2" t="s">
        <v>2232</v>
      </c>
      <c r="D557" s="2" t="s">
        <v>45</v>
      </c>
      <c r="E557" s="3" t="n">
        <v>32</v>
      </c>
      <c r="F557" s="2" t="s">
        <v>175</v>
      </c>
      <c r="G557" s="2" t="s">
        <v>207</v>
      </c>
      <c r="H557" s="2"/>
      <c r="I557" s="4" t="n">
        <v>55000</v>
      </c>
      <c r="J557" s="2" t="s">
        <v>49</v>
      </c>
      <c r="K557" s="3" t="n">
        <v>8</v>
      </c>
      <c r="L557" s="2" t="s">
        <v>231</v>
      </c>
      <c r="M557" s="2" t="s">
        <v>92</v>
      </c>
      <c r="N557" s="2" t="s">
        <v>140</v>
      </c>
      <c r="O557" s="3" t="n">
        <v>1</v>
      </c>
      <c r="P557" s="2" t="s">
        <v>93</v>
      </c>
      <c r="Q557" s="2" t="s">
        <v>94</v>
      </c>
      <c r="R557" s="2" t="s">
        <v>95</v>
      </c>
      <c r="S557" s="2" t="s">
        <v>92</v>
      </c>
      <c r="T557" s="2" t="s">
        <v>2233</v>
      </c>
      <c r="U557" s="2" t="s">
        <v>57</v>
      </c>
      <c r="V557" s="4" t="n">
        <v>1815000</v>
      </c>
      <c r="W557" s="5" t="n">
        <v>8.28</v>
      </c>
      <c r="X557" s="3" t="n">
        <v>162</v>
      </c>
      <c r="Y557" s="6" t="n">
        <v>46191</v>
      </c>
      <c r="Z557" s="6" t="n">
        <v>46195</v>
      </c>
      <c r="AA557" s="6" t="n">
        <v>46200</v>
      </c>
      <c r="AB557" s="4" t="n">
        <f aca="false">ROUND(PMT(W557/1200,X557,-V557),2)</f>
        <v>18643.27</v>
      </c>
      <c r="AC557" s="4" t="n">
        <v>2365000</v>
      </c>
      <c r="AD557" s="3" t="n">
        <v>1</v>
      </c>
      <c r="AE557" s="4" t="n">
        <v>57200</v>
      </c>
      <c r="AF557" s="4" t="n">
        <v>24200</v>
      </c>
      <c r="AG557" s="3" t="n">
        <v>38</v>
      </c>
      <c r="AH557" s="4" t="n">
        <v>24500</v>
      </c>
      <c r="AI557" s="3" t="n">
        <v>805</v>
      </c>
      <c r="AJ557" s="7" t="n">
        <f aca="false">ROUND(AB557/I557,4)</f>
        <v>0.339</v>
      </c>
      <c r="AK557" s="2" t="str">
        <f aca="false">IF(AND(AI557&gt;=750,AJ557&lt;=0.35),"Low",IF(AND(AI557&gt;=600,AJ557&lt;=0.5),"Medium","High"))</f>
        <v>Low</v>
      </c>
      <c r="AL557" s="3" t="n">
        <v>1</v>
      </c>
      <c r="AM557" s="2" t="s">
        <v>58</v>
      </c>
      <c r="AN557" s="2" t="s">
        <v>119</v>
      </c>
      <c r="AO557" s="2" t="s">
        <v>60</v>
      </c>
      <c r="AP557" s="7" t="n">
        <v>0.221</v>
      </c>
    </row>
    <row r="558" customFormat="false" ht="15" hidden="false" customHeight="false" outlineLevel="0" collapsed="false">
      <c r="A558" s="2" t="s">
        <v>2234</v>
      </c>
      <c r="B558" s="2" t="s">
        <v>1183</v>
      </c>
      <c r="C558" s="2" t="s">
        <v>1269</v>
      </c>
      <c r="D558" s="2" t="s">
        <v>45</v>
      </c>
      <c r="E558" s="3" t="n">
        <v>29</v>
      </c>
      <c r="F558" s="2" t="s">
        <v>64</v>
      </c>
      <c r="G558" s="2" t="s">
        <v>154</v>
      </c>
      <c r="H558" s="2" t="s">
        <v>101</v>
      </c>
      <c r="I558" s="4" t="n">
        <v>66000</v>
      </c>
      <c r="J558" s="2" t="s">
        <v>145</v>
      </c>
      <c r="K558" s="3" t="n">
        <v>6</v>
      </c>
      <c r="L558" s="2" t="s">
        <v>178</v>
      </c>
      <c r="M558" s="2" t="s">
        <v>92</v>
      </c>
      <c r="N558" s="2" t="s">
        <v>140</v>
      </c>
      <c r="O558" s="3" t="n">
        <v>1</v>
      </c>
      <c r="P558" s="2" t="s">
        <v>169</v>
      </c>
      <c r="Q558" s="2" t="s">
        <v>170</v>
      </c>
      <c r="R558" s="2" t="s">
        <v>92</v>
      </c>
      <c r="S558" s="2" t="s">
        <v>92</v>
      </c>
      <c r="T558" s="2" t="s">
        <v>2235</v>
      </c>
      <c r="U558" s="2" t="s">
        <v>180</v>
      </c>
      <c r="V558" s="4" t="n">
        <v>1072000</v>
      </c>
      <c r="W558" s="5" t="n">
        <v>11.57</v>
      </c>
      <c r="X558" s="3" t="n">
        <v>48</v>
      </c>
      <c r="Y558" s="6" t="n">
        <v>46200</v>
      </c>
      <c r="Z558" s="6"/>
      <c r="AA558" s="6"/>
      <c r="AB558" s="4" t="n">
        <f aca="false">ROUND(PMT(W558/1200,X558,-V558),2)</f>
        <v>28004.07</v>
      </c>
      <c r="AC558" s="4" t="n">
        <v>1325000</v>
      </c>
      <c r="AD558" s="3" t="n">
        <v>0</v>
      </c>
      <c r="AE558" s="4" t="n">
        <v>79700</v>
      </c>
      <c r="AF558" s="4" t="n">
        <v>16500</v>
      </c>
      <c r="AG558" s="3" t="n">
        <v>52</v>
      </c>
      <c r="AH558" s="4" t="n">
        <v>20100</v>
      </c>
      <c r="AI558" s="3" t="n">
        <v>643</v>
      </c>
      <c r="AJ558" s="7" t="n">
        <f aca="false">ROUND(AB558/I558,4)</f>
        <v>0.4243</v>
      </c>
      <c r="AK558" s="2" t="str">
        <f aca="false">IF(AND(AI558&gt;=750,AJ558&lt;=0.35),"Low",IF(AND(AI558&gt;=600,AJ558&lt;=0.5),"Medium","High"))</f>
        <v>Medium</v>
      </c>
      <c r="AL558" s="3" t="n">
        <v>3</v>
      </c>
      <c r="AM558" s="2" t="s">
        <v>58</v>
      </c>
      <c r="AN558" s="2"/>
      <c r="AO558" s="2" t="s">
        <v>127</v>
      </c>
      <c r="AP558" s="7" t="n">
        <v>0.295</v>
      </c>
    </row>
    <row r="559" customFormat="false" ht="15" hidden="false" customHeight="false" outlineLevel="0" collapsed="false">
      <c r="A559" s="2" t="s">
        <v>2236</v>
      </c>
      <c r="B559" s="2" t="s">
        <v>584</v>
      </c>
      <c r="C559" s="2" t="s">
        <v>2237</v>
      </c>
      <c r="D559" s="2" t="s">
        <v>45</v>
      </c>
      <c r="E559" s="3" t="n">
        <v>49</v>
      </c>
      <c r="F559" s="2" t="s">
        <v>64</v>
      </c>
      <c r="G559" s="2" t="s">
        <v>176</v>
      </c>
      <c r="H559" s="2" t="s">
        <v>77</v>
      </c>
      <c r="I559" s="4" t="n">
        <v>59000</v>
      </c>
      <c r="J559" s="2" t="s">
        <v>177</v>
      </c>
      <c r="K559" s="3" t="n">
        <v>27</v>
      </c>
      <c r="L559" s="2" t="s">
        <v>51</v>
      </c>
      <c r="M559" s="2" t="s">
        <v>51</v>
      </c>
      <c r="N559" s="2" t="s">
        <v>52</v>
      </c>
      <c r="O559" s="3"/>
      <c r="P559" s="2" t="s">
        <v>53</v>
      </c>
      <c r="Q559" s="2" t="s">
        <v>54</v>
      </c>
      <c r="R559" s="2" t="s">
        <v>55</v>
      </c>
      <c r="S559" s="2" t="s">
        <v>51</v>
      </c>
      <c r="T559" s="2" t="s">
        <v>2238</v>
      </c>
      <c r="U559" s="2" t="s">
        <v>72</v>
      </c>
      <c r="V559" s="4" t="n">
        <v>300000</v>
      </c>
      <c r="W559" s="5" t="n">
        <v>12.5</v>
      </c>
      <c r="X559" s="3" t="n">
        <v>12</v>
      </c>
      <c r="Y559" s="6" t="n">
        <v>46174</v>
      </c>
      <c r="Z559" s="6"/>
      <c r="AA559" s="6"/>
      <c r="AB559" s="4" t="n">
        <f aca="false">ROUND(PMT(W559/1200,X559,-V559),2)</f>
        <v>26724.86</v>
      </c>
      <c r="AC559" s="4" t="n">
        <v>407000</v>
      </c>
      <c r="AD559" s="3" t="n">
        <v>1</v>
      </c>
      <c r="AE559" s="4"/>
      <c r="AF559" s="4" t="n">
        <v>50700</v>
      </c>
      <c r="AG559" s="3" t="n">
        <v>19</v>
      </c>
      <c r="AH559" s="4" t="n">
        <v>23900</v>
      </c>
      <c r="AI559" s="3" t="n">
        <v>738</v>
      </c>
      <c r="AJ559" s="7" t="n">
        <f aca="false">ROUND(AB559/I559,4)</f>
        <v>0.453</v>
      </c>
      <c r="AK559" s="2" t="str">
        <f aca="false">IF(AND(AI559&gt;=750,AJ559&lt;=0.35),"Low",IF(AND(AI559&gt;=600,AJ559&lt;=0.5),"Medium","High"))</f>
        <v>Medium</v>
      </c>
      <c r="AL559" s="3" t="n">
        <v>1</v>
      </c>
      <c r="AM559" s="2" t="s">
        <v>58</v>
      </c>
      <c r="AN559" s="2"/>
      <c r="AO559" s="2" t="s">
        <v>134</v>
      </c>
      <c r="AP559" s="7" t="n">
        <v>0.249</v>
      </c>
    </row>
    <row r="560" customFormat="false" ht="15" hidden="false" customHeight="false" outlineLevel="0" collapsed="false">
      <c r="A560" s="2" t="s">
        <v>2239</v>
      </c>
      <c r="B560" s="2" t="s">
        <v>2240</v>
      </c>
      <c r="C560" s="2" t="s">
        <v>1320</v>
      </c>
      <c r="D560" s="2" t="s">
        <v>109</v>
      </c>
      <c r="E560" s="3" t="n">
        <v>32</v>
      </c>
      <c r="F560" s="2" t="s">
        <v>64</v>
      </c>
      <c r="G560" s="2" t="s">
        <v>90</v>
      </c>
      <c r="H560" s="2" t="s">
        <v>48</v>
      </c>
      <c r="I560" s="4" t="n">
        <v>21000</v>
      </c>
      <c r="J560" s="2" t="s">
        <v>90</v>
      </c>
      <c r="K560" s="3" t="n">
        <v>9</v>
      </c>
      <c r="L560" s="2" t="s">
        <v>147</v>
      </c>
      <c r="M560" s="2" t="s">
        <v>147</v>
      </c>
      <c r="N560" s="2" t="s">
        <v>81</v>
      </c>
      <c r="O560" s="3" t="n">
        <v>1</v>
      </c>
      <c r="P560" s="2" t="s">
        <v>148</v>
      </c>
      <c r="Q560" s="2" t="s">
        <v>149</v>
      </c>
      <c r="R560" s="2" t="s">
        <v>147</v>
      </c>
      <c r="S560" s="2" t="s">
        <v>147</v>
      </c>
      <c r="T560" s="2" t="s">
        <v>2241</v>
      </c>
      <c r="U560" s="2" t="s">
        <v>180</v>
      </c>
      <c r="V560" s="4" t="n">
        <v>300000</v>
      </c>
      <c r="W560" s="5" t="n">
        <v>13.03</v>
      </c>
      <c r="X560" s="3" t="n">
        <v>72</v>
      </c>
      <c r="Y560" s="6" t="n">
        <v>46187</v>
      </c>
      <c r="Z560" s="6"/>
      <c r="AA560" s="6"/>
      <c r="AB560" s="4" t="n">
        <f aca="false">ROUND(PMT(W560/1200,X560,-V560),2)</f>
        <v>6026.98</v>
      </c>
      <c r="AC560" s="4"/>
      <c r="AD560" s="3"/>
      <c r="AE560" s="4" t="n">
        <v>67600</v>
      </c>
      <c r="AF560" s="4" t="n">
        <v>26900</v>
      </c>
      <c r="AG560" s="3" t="n">
        <v>7</v>
      </c>
      <c r="AH560" s="4" t="n">
        <v>17100</v>
      </c>
      <c r="AI560" s="3" t="n">
        <v>797</v>
      </c>
      <c r="AJ560" s="7" t="n">
        <f aca="false">ROUND(AB560/I560,4)</f>
        <v>0.287</v>
      </c>
      <c r="AK560" s="2" t="str">
        <f aca="false">IF(AND(AI560&gt;=750,AJ560&lt;=0.35),"Low",IF(AND(AI560&gt;=600,AJ560&lt;=0.5),"Medium","High"))</f>
        <v>Low</v>
      </c>
      <c r="AL560" s="3" t="n">
        <v>0</v>
      </c>
      <c r="AM560" s="2" t="s">
        <v>58</v>
      </c>
      <c r="AN560" s="2"/>
      <c r="AO560" s="2" t="s">
        <v>134</v>
      </c>
      <c r="AP560" s="7" t="n">
        <v>0.099</v>
      </c>
    </row>
    <row r="561" customFormat="false" ht="15" hidden="false" customHeight="false" outlineLevel="0" collapsed="false">
      <c r="A561" s="2" t="s">
        <v>2242</v>
      </c>
      <c r="B561" s="2" t="s">
        <v>2243</v>
      </c>
      <c r="C561" s="2" t="s">
        <v>2244</v>
      </c>
      <c r="D561" s="2" t="s">
        <v>109</v>
      </c>
      <c r="E561" s="3" t="n">
        <v>32</v>
      </c>
      <c r="F561" s="2" t="s">
        <v>175</v>
      </c>
      <c r="G561" s="2" t="s">
        <v>246</v>
      </c>
      <c r="H561" s="2" t="s">
        <v>77</v>
      </c>
      <c r="I561" s="4" t="n">
        <v>19000</v>
      </c>
      <c r="J561" s="2" t="s">
        <v>145</v>
      </c>
      <c r="K561" s="3" t="n">
        <v>4</v>
      </c>
      <c r="L561" s="2" t="s">
        <v>380</v>
      </c>
      <c r="M561" s="2" t="s">
        <v>92</v>
      </c>
      <c r="N561" s="2" t="s">
        <v>52</v>
      </c>
      <c r="O561" s="3" t="n">
        <v>1</v>
      </c>
      <c r="P561" s="2" t="s">
        <v>229</v>
      </c>
      <c r="Q561" s="2" t="s">
        <v>230</v>
      </c>
      <c r="R561" s="2" t="s">
        <v>231</v>
      </c>
      <c r="S561" s="2" t="s">
        <v>92</v>
      </c>
      <c r="T561" s="2" t="s">
        <v>2245</v>
      </c>
      <c r="U561" s="2" t="s">
        <v>85</v>
      </c>
      <c r="V561" s="4" t="n">
        <v>50000</v>
      </c>
      <c r="W561" s="5" t="n">
        <v>10.47</v>
      </c>
      <c r="X561" s="3" t="n">
        <v>12</v>
      </c>
      <c r="Y561" s="6" t="n">
        <v>46203</v>
      </c>
      <c r="Z561" s="6" t="n">
        <v>46204</v>
      </c>
      <c r="AA561" s="6" t="n">
        <v>46207</v>
      </c>
      <c r="AB561" s="4" t="n">
        <f aca="false">ROUND(PMT(W561/1200,X561,-V561),2)</f>
        <v>4406.73</v>
      </c>
      <c r="AC561" s="4" t="n">
        <v>0</v>
      </c>
      <c r="AD561" s="3" t="n">
        <v>2</v>
      </c>
      <c r="AE561" s="4" t="n">
        <v>11200</v>
      </c>
      <c r="AF561" s="4" t="n">
        <v>6300</v>
      </c>
      <c r="AG561" s="3" t="n">
        <v>54</v>
      </c>
      <c r="AH561" s="4" t="n">
        <v>18600</v>
      </c>
      <c r="AI561" s="3" t="n">
        <v>659</v>
      </c>
      <c r="AJ561" s="7" t="n">
        <f aca="false">ROUND(AB561/I561,4)</f>
        <v>0.2319</v>
      </c>
      <c r="AK561" s="2" t="str">
        <f aca="false">IF(AND(AI561&gt;=750,AJ561&lt;=0.35),"Low",IF(AND(AI561&gt;=600,AJ561&lt;=0.5),"Medium","High"))</f>
        <v>Medium</v>
      </c>
      <c r="AL561" s="3" t="n">
        <v>1</v>
      </c>
      <c r="AM561" s="2" t="s">
        <v>58</v>
      </c>
      <c r="AN561" s="2" t="s">
        <v>119</v>
      </c>
      <c r="AO561" s="2" t="s">
        <v>60</v>
      </c>
      <c r="AP561" s="7" t="n">
        <v>0.278</v>
      </c>
    </row>
    <row r="562" customFormat="false" ht="15" hidden="false" customHeight="false" outlineLevel="0" collapsed="false">
      <c r="A562" s="2" t="s">
        <v>2246</v>
      </c>
      <c r="B562" s="2" t="s">
        <v>2247</v>
      </c>
      <c r="C562" s="2" t="s">
        <v>2248</v>
      </c>
      <c r="D562" s="2" t="s">
        <v>109</v>
      </c>
      <c r="E562" s="3" t="n">
        <v>21</v>
      </c>
      <c r="F562" s="2" t="s">
        <v>64</v>
      </c>
      <c r="G562" s="2" t="s">
        <v>65</v>
      </c>
      <c r="H562" s="2" t="s">
        <v>48</v>
      </c>
      <c r="I562" s="4" t="n">
        <v>36000</v>
      </c>
      <c r="J562" s="2" t="s">
        <v>49</v>
      </c>
      <c r="K562" s="3" t="n">
        <v>0</v>
      </c>
      <c r="L562" s="2" t="s">
        <v>80</v>
      </c>
      <c r="M562" s="2" t="s">
        <v>80</v>
      </c>
      <c r="N562" s="2" t="s">
        <v>140</v>
      </c>
      <c r="O562" s="3" t="n">
        <v>0</v>
      </c>
      <c r="P562" s="2" t="s">
        <v>82</v>
      </c>
      <c r="Q562" s="2" t="s">
        <v>83</v>
      </c>
      <c r="R562" s="2" t="s">
        <v>80</v>
      </c>
      <c r="S562" s="2" t="s">
        <v>80</v>
      </c>
      <c r="T562" s="2" t="s">
        <v>2249</v>
      </c>
      <c r="U562" s="2" t="s">
        <v>180</v>
      </c>
      <c r="V562" s="4" t="n">
        <v>300000</v>
      </c>
      <c r="W562" s="5" t="n">
        <v>12.9</v>
      </c>
      <c r="X562" s="3" t="n">
        <v>42</v>
      </c>
      <c r="Y562" s="6" t="n">
        <v>46179</v>
      </c>
      <c r="Z562" s="6" t="n">
        <v>46180</v>
      </c>
      <c r="AA562" s="6" t="n">
        <v>46184</v>
      </c>
      <c r="AB562" s="4" t="n">
        <f aca="false">ROUND(PMT(W562/1200,X562,-V562),2)</f>
        <v>8913.97</v>
      </c>
      <c r="AC562" s="4" t="n">
        <v>430000</v>
      </c>
      <c r="AD562" s="3" t="n">
        <v>0</v>
      </c>
      <c r="AE562" s="4" t="n">
        <v>125800</v>
      </c>
      <c r="AF562" s="4" t="n">
        <v>49500</v>
      </c>
      <c r="AG562" s="3" t="n">
        <v>22</v>
      </c>
      <c r="AH562" s="4" t="n">
        <v>36400</v>
      </c>
      <c r="AI562" s="3" t="n">
        <v>709</v>
      </c>
      <c r="AJ562" s="7" t="n">
        <f aca="false">ROUND(AB562/I562,4)</f>
        <v>0.2476</v>
      </c>
      <c r="AK562" s="2" t="str">
        <f aca="false">IF(AND(AI562&gt;=750,AJ562&lt;=0.35),"Low",IF(AND(AI562&gt;=600,AJ562&lt;=0.5),"Medium","High"))</f>
        <v>Medium</v>
      </c>
      <c r="AL562" s="3" t="n">
        <v>4</v>
      </c>
      <c r="AM562" s="2" t="s">
        <v>58</v>
      </c>
      <c r="AN562" s="2" t="s">
        <v>59</v>
      </c>
      <c r="AO562" s="2" t="s">
        <v>60</v>
      </c>
      <c r="AP562" s="7" t="n">
        <v>0.244</v>
      </c>
    </row>
    <row r="563" customFormat="false" ht="15" hidden="false" customHeight="false" outlineLevel="0" collapsed="false">
      <c r="A563" s="2" t="s">
        <v>2250</v>
      </c>
      <c r="B563" s="2" t="s">
        <v>2251</v>
      </c>
      <c r="C563" s="2" t="s">
        <v>2252</v>
      </c>
      <c r="D563" s="2" t="s">
        <v>45</v>
      </c>
      <c r="E563" s="3" t="n">
        <v>21</v>
      </c>
      <c r="F563" s="2" t="s">
        <v>64</v>
      </c>
      <c r="G563" s="2" t="s">
        <v>176</v>
      </c>
      <c r="H563" s="2" t="s">
        <v>123</v>
      </c>
      <c r="I563" s="4" t="n">
        <v>45000</v>
      </c>
      <c r="J563" s="2" t="s">
        <v>177</v>
      </c>
      <c r="K563" s="3" t="n">
        <v>0</v>
      </c>
      <c r="L563" s="2" t="s">
        <v>211</v>
      </c>
      <c r="M563" s="2" t="s">
        <v>147</v>
      </c>
      <c r="N563" s="2" t="s">
        <v>52</v>
      </c>
      <c r="O563" s="3" t="n">
        <v>2</v>
      </c>
      <c r="P563" s="2" t="s">
        <v>148</v>
      </c>
      <c r="Q563" s="2" t="s">
        <v>149</v>
      </c>
      <c r="R563" s="2" t="s">
        <v>147</v>
      </c>
      <c r="S563" s="2" t="s">
        <v>147</v>
      </c>
      <c r="T563" s="2" t="s">
        <v>2253</v>
      </c>
      <c r="U563" s="2" t="s">
        <v>72</v>
      </c>
      <c r="V563" s="4" t="n">
        <v>512000</v>
      </c>
      <c r="W563" s="5" t="n">
        <v>12.02</v>
      </c>
      <c r="X563" s="3" t="n">
        <v>48</v>
      </c>
      <c r="Y563" s="6" t="n">
        <v>46189</v>
      </c>
      <c r="Z563" s="6" t="n">
        <v>46192</v>
      </c>
      <c r="AA563" s="6" t="n">
        <v>46194</v>
      </c>
      <c r="AB563" s="4" t="n">
        <f aca="false">ROUND(PMT(W563/1200,X563,-V563),2)</f>
        <v>13487.95</v>
      </c>
      <c r="AC563" s="4" t="n">
        <v>534000</v>
      </c>
      <c r="AD563" s="3" t="n">
        <v>1</v>
      </c>
      <c r="AE563" s="4" t="n">
        <v>80600</v>
      </c>
      <c r="AF563" s="4" t="n">
        <v>10700</v>
      </c>
      <c r="AG563" s="3" t="n">
        <v>50</v>
      </c>
      <c r="AH563" s="4" t="n">
        <v>35900</v>
      </c>
      <c r="AI563" s="3" t="n">
        <v>709</v>
      </c>
      <c r="AJ563" s="7" t="n">
        <f aca="false">ROUND(AB563/I563,4)</f>
        <v>0.2997</v>
      </c>
      <c r="AK563" s="2" t="str">
        <f aca="false">IF(AND(AI563&gt;=750,AJ563&lt;=0.35),"Low",IF(AND(AI563&gt;=600,AJ563&lt;=0.5),"Medium","High"))</f>
        <v>Medium</v>
      </c>
      <c r="AL563" s="3" t="n">
        <v>2</v>
      </c>
      <c r="AM563" s="2" t="s">
        <v>58</v>
      </c>
      <c r="AN563" s="2" t="s">
        <v>119</v>
      </c>
      <c r="AO563" s="2" t="s">
        <v>60</v>
      </c>
      <c r="AP563" s="7" t="n">
        <v>0.25</v>
      </c>
    </row>
    <row r="564" customFormat="false" ht="15" hidden="false" customHeight="false" outlineLevel="0" collapsed="false">
      <c r="A564" s="2" t="s">
        <v>2254</v>
      </c>
      <c r="B564" s="2" t="s">
        <v>2255</v>
      </c>
      <c r="C564" s="2" t="s">
        <v>396</v>
      </c>
      <c r="D564" s="2" t="s">
        <v>45</v>
      </c>
      <c r="E564" s="3" t="n">
        <v>21</v>
      </c>
      <c r="F564" s="2" t="s">
        <v>64</v>
      </c>
      <c r="G564" s="2" t="s">
        <v>47</v>
      </c>
      <c r="H564" s="2" t="s">
        <v>48</v>
      </c>
      <c r="I564" s="4" t="n">
        <v>97000</v>
      </c>
      <c r="J564" s="2" t="s">
        <v>49</v>
      </c>
      <c r="K564" s="3" t="n">
        <v>0</v>
      </c>
      <c r="L564" s="2" t="s">
        <v>504</v>
      </c>
      <c r="M564" s="2" t="s">
        <v>51</v>
      </c>
      <c r="N564" s="2" t="s">
        <v>52</v>
      </c>
      <c r="O564" s="3" t="n">
        <v>2</v>
      </c>
      <c r="P564" s="2" t="s">
        <v>53</v>
      </c>
      <c r="Q564" s="2" t="s">
        <v>54</v>
      </c>
      <c r="R564" s="2" t="s">
        <v>55</v>
      </c>
      <c r="S564" s="2" t="s">
        <v>51</v>
      </c>
      <c r="T564" s="2" t="s">
        <v>2256</v>
      </c>
      <c r="U564" s="2" t="s">
        <v>85</v>
      </c>
      <c r="V564" s="4" t="n">
        <v>800000</v>
      </c>
      <c r="W564" s="5" t="n">
        <v>8.7</v>
      </c>
      <c r="X564" s="3" t="n">
        <v>24</v>
      </c>
      <c r="Y564" s="6" t="n">
        <v>46191</v>
      </c>
      <c r="Z564" s="6"/>
      <c r="AA564" s="6"/>
      <c r="AB564" s="4" t="n">
        <f aca="false">ROUND(PMT(W564/1200,X564,-V564),2)</f>
        <v>36437.78</v>
      </c>
      <c r="AC564" s="4" t="n">
        <v>0</v>
      </c>
      <c r="AD564" s="3" t="n">
        <v>1</v>
      </c>
      <c r="AE564" s="4" t="n">
        <v>67300</v>
      </c>
      <c r="AF564" s="4" t="n">
        <v>16300</v>
      </c>
      <c r="AG564" s="3" t="n">
        <v>29</v>
      </c>
      <c r="AH564" s="4" t="n">
        <v>92700</v>
      </c>
      <c r="AI564" s="3" t="n">
        <v>684</v>
      </c>
      <c r="AJ564" s="7" t="n">
        <f aca="false">ROUND(AB564/I564,4)</f>
        <v>0.3756</v>
      </c>
      <c r="AK564" s="2" t="str">
        <f aca="false">IF(AND(AI564&gt;=750,AJ564&lt;=0.35),"Low",IF(AND(AI564&gt;=600,AJ564&lt;=0.5),"Medium","High"))</f>
        <v>Medium</v>
      </c>
      <c r="AL564" s="3" t="n">
        <v>0</v>
      </c>
      <c r="AM564" s="2" t="s">
        <v>58</v>
      </c>
      <c r="AN564" s="2"/>
      <c r="AO564" s="2" t="s">
        <v>127</v>
      </c>
      <c r="AP564" s="7" t="n">
        <v>0.315</v>
      </c>
    </row>
    <row r="565" customFormat="false" ht="15" hidden="false" customHeight="false" outlineLevel="0" collapsed="false">
      <c r="A565" s="2" t="s">
        <v>2257</v>
      </c>
      <c r="B565" s="2" t="s">
        <v>2258</v>
      </c>
      <c r="C565" s="2" t="s">
        <v>2259</v>
      </c>
      <c r="D565" s="2" t="s">
        <v>45</v>
      </c>
      <c r="E565" s="3" t="n">
        <v>52</v>
      </c>
      <c r="F565" s="2" t="s">
        <v>64</v>
      </c>
      <c r="G565" s="2" t="s">
        <v>47</v>
      </c>
      <c r="H565" s="2" t="s">
        <v>101</v>
      </c>
      <c r="I565" s="4" t="n">
        <v>88500</v>
      </c>
      <c r="J565" s="2" t="s">
        <v>49</v>
      </c>
      <c r="K565" s="3" t="n">
        <v>30</v>
      </c>
      <c r="L565" s="2" t="s">
        <v>51</v>
      </c>
      <c r="M565" s="2" t="s">
        <v>51</v>
      </c>
      <c r="N565" s="2" t="s">
        <v>81</v>
      </c>
      <c r="O565" s="3" t="n">
        <v>0</v>
      </c>
      <c r="P565" s="2" t="s">
        <v>131</v>
      </c>
      <c r="Q565" s="2" t="s">
        <v>132</v>
      </c>
      <c r="R565" s="2" t="s">
        <v>51</v>
      </c>
      <c r="S565" s="2" t="s">
        <v>51</v>
      </c>
      <c r="T565" s="2" t="s">
        <v>2260</v>
      </c>
      <c r="U565" s="2" t="s">
        <v>97</v>
      </c>
      <c r="V565" s="4" t="n">
        <v>965000</v>
      </c>
      <c r="W565" s="5" t="n">
        <v>14.47</v>
      </c>
      <c r="X565" s="3" t="n">
        <v>48</v>
      </c>
      <c r="Y565" s="6" t="n">
        <v>46199</v>
      </c>
      <c r="Z565" s="6" t="n">
        <v>46206</v>
      </c>
      <c r="AA565" s="6" t="n">
        <v>46212</v>
      </c>
      <c r="AB565" s="4" t="n">
        <f aca="false">ROUND(PMT(W565/1200,X565,-V565),2)</f>
        <v>26598.13</v>
      </c>
      <c r="AC565" s="4" t="n">
        <v>0</v>
      </c>
      <c r="AD565" s="3" t="n">
        <v>0</v>
      </c>
      <c r="AE565" s="4" t="n">
        <v>171800</v>
      </c>
      <c r="AF565" s="4" t="n">
        <v>57900</v>
      </c>
      <c r="AG565" s="3" t="n">
        <v>50</v>
      </c>
      <c r="AH565" s="4" t="n">
        <v>55900</v>
      </c>
      <c r="AI565" s="3" t="n">
        <v>691</v>
      </c>
      <c r="AJ565" s="7" t="n">
        <f aca="false">ROUND(AB565/I565,4)</f>
        <v>0.3005</v>
      </c>
      <c r="AK565" s="2" t="str">
        <f aca="false">IF(AND(AI565&gt;=750,AJ565&lt;=0.35),"Low",IF(AND(AI565&gt;=600,AJ565&lt;=0.5),"Medium","High"))</f>
        <v>Medium</v>
      </c>
      <c r="AL565" s="3" t="n">
        <v>1</v>
      </c>
      <c r="AM565" s="2" t="s">
        <v>58</v>
      </c>
      <c r="AN565" s="2" t="s">
        <v>59</v>
      </c>
      <c r="AO565" s="2" t="s">
        <v>60</v>
      </c>
      <c r="AP565" s="7" t="n">
        <v>0.291</v>
      </c>
    </row>
    <row r="566" customFormat="false" ht="15" hidden="false" customHeight="false" outlineLevel="0" collapsed="false">
      <c r="A566" s="2" t="s">
        <v>2261</v>
      </c>
      <c r="B566" s="2" t="s">
        <v>2262</v>
      </c>
      <c r="C566" s="2" t="s">
        <v>1495</v>
      </c>
      <c r="D566" s="2" t="s">
        <v>45</v>
      </c>
      <c r="E566" s="3" t="n">
        <v>32</v>
      </c>
      <c r="F566" s="2" t="s">
        <v>64</v>
      </c>
      <c r="G566" s="2" t="s">
        <v>207</v>
      </c>
      <c r="H566" s="2" t="s">
        <v>48</v>
      </c>
      <c r="I566" s="4" t="n">
        <v>58000</v>
      </c>
      <c r="J566" s="2" t="s">
        <v>49</v>
      </c>
      <c r="K566" s="3" t="n">
        <v>4</v>
      </c>
      <c r="L566" s="2" t="s">
        <v>92</v>
      </c>
      <c r="M566" s="2" t="s">
        <v>92</v>
      </c>
      <c r="N566" s="2" t="s">
        <v>102</v>
      </c>
      <c r="O566" s="3" t="n">
        <v>0</v>
      </c>
      <c r="P566" s="2" t="s">
        <v>169</v>
      </c>
      <c r="Q566" s="2" t="s">
        <v>170</v>
      </c>
      <c r="R566" s="2" t="s">
        <v>92</v>
      </c>
      <c r="S566" s="2" t="s">
        <v>92</v>
      </c>
      <c r="T566" s="2" t="s">
        <v>2263</v>
      </c>
      <c r="U566" s="2" t="s">
        <v>180</v>
      </c>
      <c r="V566" s="4" t="n">
        <v>636000</v>
      </c>
      <c r="W566" s="5" t="n">
        <v>11.87</v>
      </c>
      <c r="X566" s="3" t="n">
        <v>48</v>
      </c>
      <c r="Y566" s="6" t="n">
        <v>46195</v>
      </c>
      <c r="Z566" s="6" t="n">
        <v>46202</v>
      </c>
      <c r="AA566" s="6" t="n">
        <v>46208</v>
      </c>
      <c r="AB566" s="4" t="n">
        <f aca="false">ROUND(PMT(W566/1200,X566,-V566),2)</f>
        <v>16707.75</v>
      </c>
      <c r="AC566" s="4" t="n">
        <v>739000</v>
      </c>
      <c r="AD566" s="3" t="n">
        <v>1</v>
      </c>
      <c r="AE566" s="4" t="n">
        <v>114300</v>
      </c>
      <c r="AF566" s="4" t="n">
        <v>44400</v>
      </c>
      <c r="AG566" s="3" t="n">
        <v>21</v>
      </c>
      <c r="AH566" s="4" t="n">
        <v>57900</v>
      </c>
      <c r="AI566" s="3" t="n">
        <v>900</v>
      </c>
      <c r="AJ566" s="7" t="n">
        <f aca="false">ROUND(AB566/I566,4)</f>
        <v>0.2881</v>
      </c>
      <c r="AK566" s="2" t="str">
        <f aca="false">IF(AND(AI566&gt;=750,AJ566&lt;=0.35),"Low",IF(AND(AI566&gt;=600,AJ566&lt;=0.5),"Medium","High"))</f>
        <v>Low</v>
      </c>
      <c r="AL566" s="3" t="n">
        <v>0</v>
      </c>
      <c r="AM566" s="2" t="s">
        <v>58</v>
      </c>
      <c r="AN566" s="2" t="s">
        <v>59</v>
      </c>
      <c r="AO566" s="2" t="s">
        <v>86</v>
      </c>
      <c r="AP566" s="7" t="n">
        <v>0.062</v>
      </c>
    </row>
    <row r="567" customFormat="false" ht="15" hidden="false" customHeight="false" outlineLevel="0" collapsed="false">
      <c r="A567" s="2" t="s">
        <v>2264</v>
      </c>
      <c r="B567" s="2" t="s">
        <v>2265</v>
      </c>
      <c r="C567" s="2" t="s">
        <v>1280</v>
      </c>
      <c r="D567" s="2" t="s">
        <v>109</v>
      </c>
      <c r="E567" s="3" t="n">
        <v>34</v>
      </c>
      <c r="F567" s="2" t="s">
        <v>46</v>
      </c>
      <c r="G567" s="2" t="s">
        <v>76</v>
      </c>
      <c r="H567" s="2" t="s">
        <v>48</v>
      </c>
      <c r="I567" s="4" t="n">
        <v>57500</v>
      </c>
      <c r="J567" s="2" t="s">
        <v>78</v>
      </c>
      <c r="K567" s="3" t="n">
        <v>5</v>
      </c>
      <c r="L567" s="2" t="s">
        <v>297</v>
      </c>
      <c r="M567" s="2" t="s">
        <v>92</v>
      </c>
      <c r="N567" s="2" t="s">
        <v>52</v>
      </c>
      <c r="O567" s="3" t="n">
        <v>0</v>
      </c>
      <c r="P567" s="2" t="s">
        <v>93</v>
      </c>
      <c r="Q567" s="2" t="s">
        <v>94</v>
      </c>
      <c r="R567" s="2" t="s">
        <v>95</v>
      </c>
      <c r="S567" s="2" t="s">
        <v>92</v>
      </c>
      <c r="T567" s="2" t="s">
        <v>2266</v>
      </c>
      <c r="U567" s="2" t="s">
        <v>57</v>
      </c>
      <c r="V567" s="4" t="n">
        <v>1530000</v>
      </c>
      <c r="W567" s="5" t="n">
        <v>9.42</v>
      </c>
      <c r="X567" s="3" t="n">
        <v>144</v>
      </c>
      <c r="Y567" s="6" t="n">
        <v>46203</v>
      </c>
      <c r="Z567" s="6" t="n">
        <v>46207</v>
      </c>
      <c r="AA567" s="6" t="n">
        <v>46210</v>
      </c>
      <c r="AB567" s="4" t="n">
        <f aca="false">ROUND(PMT(W567/1200,X567,-V567),2)</f>
        <v>17775.75</v>
      </c>
      <c r="AC567" s="4" t="n">
        <v>2050000</v>
      </c>
      <c r="AD567" s="3" t="n">
        <v>1</v>
      </c>
      <c r="AE567" s="4"/>
      <c r="AF567" s="4" t="n">
        <v>10300</v>
      </c>
      <c r="AG567" s="3" t="n">
        <v>19</v>
      </c>
      <c r="AH567" s="4" t="n">
        <v>57500</v>
      </c>
      <c r="AI567" s="3" t="n">
        <v>718</v>
      </c>
      <c r="AJ567" s="7" t="n">
        <f aca="false">ROUND(AB567/I567,4)</f>
        <v>0.3091</v>
      </c>
      <c r="AK567" s="2" t="str">
        <f aca="false">IF(AND(AI567&gt;=750,AJ567&lt;=0.35),"Low",IF(AND(AI567&gt;=600,AJ567&lt;=0.5),"Medium","High"))</f>
        <v>Medium</v>
      </c>
      <c r="AL567" s="3" t="n">
        <v>1</v>
      </c>
      <c r="AM567" s="2" t="s">
        <v>58</v>
      </c>
      <c r="AN567" s="2" t="s">
        <v>59</v>
      </c>
      <c r="AO567" s="2" t="s">
        <v>60</v>
      </c>
      <c r="AP567" s="7" t="n">
        <v>0.241</v>
      </c>
    </row>
    <row r="568" customFormat="false" ht="15" hidden="false" customHeight="false" outlineLevel="0" collapsed="false">
      <c r="A568" s="2" t="s">
        <v>2267</v>
      </c>
      <c r="B568" s="2" t="s">
        <v>2268</v>
      </c>
      <c r="C568" s="2" t="s">
        <v>2269</v>
      </c>
      <c r="D568" s="2" t="s">
        <v>45</v>
      </c>
      <c r="E568" s="3" t="n">
        <v>34</v>
      </c>
      <c r="F568" s="2" t="s">
        <v>64</v>
      </c>
      <c r="G568" s="2" t="s">
        <v>207</v>
      </c>
      <c r="H568" s="2" t="s">
        <v>48</v>
      </c>
      <c r="I568" s="4" t="n">
        <v>70500</v>
      </c>
      <c r="J568" s="2" t="s">
        <v>49</v>
      </c>
      <c r="K568" s="3" t="n">
        <v>8</v>
      </c>
      <c r="L568" s="2" t="s">
        <v>653</v>
      </c>
      <c r="M568" s="2" t="s">
        <v>159</v>
      </c>
      <c r="N568" s="2" t="s">
        <v>140</v>
      </c>
      <c r="O568" s="3" t="n">
        <v>3</v>
      </c>
      <c r="P568" s="2" t="s">
        <v>160</v>
      </c>
      <c r="Q568" s="2" t="s">
        <v>161</v>
      </c>
      <c r="R568" s="2" t="s">
        <v>159</v>
      </c>
      <c r="S568" s="2" t="s">
        <v>159</v>
      </c>
      <c r="T568" s="2" t="s">
        <v>2270</v>
      </c>
      <c r="U568" s="2" t="s">
        <v>180</v>
      </c>
      <c r="V568" s="4" t="n">
        <v>794000</v>
      </c>
      <c r="W568" s="5" t="n">
        <v>9.86</v>
      </c>
      <c r="X568" s="3" t="n">
        <v>48</v>
      </c>
      <c r="Y568" s="6" t="n">
        <v>46200</v>
      </c>
      <c r="Z568" s="6"/>
      <c r="AA568" s="6"/>
      <c r="AB568" s="4" t="n">
        <f aca="false">ROUND(PMT(W568/1200,X568,-V568),2)</f>
        <v>20084.55</v>
      </c>
      <c r="AC568" s="4" t="n">
        <v>1055000</v>
      </c>
      <c r="AD568" s="3" t="n">
        <v>1</v>
      </c>
      <c r="AE568" s="4" t="n">
        <v>268800</v>
      </c>
      <c r="AF568" s="4" t="n">
        <v>60000</v>
      </c>
      <c r="AG568" s="3" t="n">
        <v>10</v>
      </c>
      <c r="AH568" s="4" t="n">
        <v>58800</v>
      </c>
      <c r="AI568" s="3" t="n">
        <v>796</v>
      </c>
      <c r="AJ568" s="7" t="n">
        <f aca="false">ROUND(AB568/I568,4)</f>
        <v>0.2849</v>
      </c>
      <c r="AK568" s="2" t="str">
        <f aca="false">IF(AND(AI568&gt;=750,AJ568&lt;=0.35),"Low",IF(AND(AI568&gt;=600,AJ568&lt;=0.5),"Medium","High"))</f>
        <v>Low</v>
      </c>
      <c r="AL568" s="3" t="n">
        <v>0</v>
      </c>
      <c r="AM568" s="2" t="s">
        <v>58</v>
      </c>
      <c r="AN568" s="2"/>
      <c r="AO568" s="2" t="s">
        <v>134</v>
      </c>
      <c r="AP568" s="7" t="n">
        <v>0.118</v>
      </c>
    </row>
    <row r="569" customFormat="false" ht="15" hidden="false" customHeight="false" outlineLevel="0" collapsed="false">
      <c r="A569" s="2" t="s">
        <v>2271</v>
      </c>
      <c r="B569" s="2" t="s">
        <v>2272</v>
      </c>
      <c r="C569" s="2" t="s">
        <v>1703</v>
      </c>
      <c r="D569" s="2" t="s">
        <v>45</v>
      </c>
      <c r="E569" s="3" t="n">
        <v>34</v>
      </c>
      <c r="F569" s="2" t="s">
        <v>64</v>
      </c>
      <c r="G569" s="2" t="s">
        <v>176</v>
      </c>
      <c r="H569" s="2" t="s">
        <v>123</v>
      </c>
      <c r="I569" s="4" t="n">
        <v>81500</v>
      </c>
      <c r="J569" s="2" t="s">
        <v>177</v>
      </c>
      <c r="K569" s="3" t="n">
        <v>7</v>
      </c>
      <c r="L569" s="2" t="s">
        <v>55</v>
      </c>
      <c r="M569" s="2" t="s">
        <v>51</v>
      </c>
      <c r="N569" s="2" t="s">
        <v>140</v>
      </c>
      <c r="O569" s="3" t="n">
        <v>3</v>
      </c>
      <c r="P569" s="2" t="s">
        <v>53</v>
      </c>
      <c r="Q569" s="2" t="s">
        <v>54</v>
      </c>
      <c r="R569" s="2" t="s">
        <v>55</v>
      </c>
      <c r="S569" s="2" t="s">
        <v>51</v>
      </c>
      <c r="T569" s="2" t="s">
        <v>2273</v>
      </c>
      <c r="U569" s="2" t="s">
        <v>180</v>
      </c>
      <c r="V569" s="4" t="n">
        <v>401000</v>
      </c>
      <c r="W569" s="5" t="n">
        <v>9.71</v>
      </c>
      <c r="X569" s="3" t="n">
        <v>12</v>
      </c>
      <c r="Y569" s="6" t="n">
        <v>46202</v>
      </c>
      <c r="Z569" s="6"/>
      <c r="AA569" s="6"/>
      <c r="AB569" s="4" t="n">
        <f aca="false">ROUND(PMT(W569/1200,X569,-V569),2)</f>
        <v>35200.21</v>
      </c>
      <c r="AC569" s="4"/>
      <c r="AD569" s="3" t="n">
        <v>1</v>
      </c>
      <c r="AE569" s="4" t="n">
        <v>216100</v>
      </c>
      <c r="AF569" s="4" t="n">
        <v>113400</v>
      </c>
      <c r="AG569" s="3" t="n">
        <v>45</v>
      </c>
      <c r="AH569" s="4" t="n">
        <v>55800</v>
      </c>
      <c r="AI569" s="3" t="n">
        <v>678</v>
      </c>
      <c r="AJ569" s="7" t="n">
        <f aca="false">ROUND(AB569/I569,4)</f>
        <v>0.4319</v>
      </c>
      <c r="AK569" s="2" t="str">
        <f aca="false">IF(AND(AI569&gt;=750,AJ569&lt;=0.35),"Low",IF(AND(AI569&gt;=600,AJ569&lt;=0.5),"Medium","High"))</f>
        <v>Medium</v>
      </c>
      <c r="AL569" s="3" t="n">
        <v>1</v>
      </c>
      <c r="AM569" s="2" t="s">
        <v>58</v>
      </c>
      <c r="AN569" s="2"/>
      <c r="AO569" s="2" t="s">
        <v>127</v>
      </c>
      <c r="AP569" s="7" t="n">
        <v>0.304</v>
      </c>
    </row>
    <row r="570" customFormat="false" ht="15" hidden="false" customHeight="false" outlineLevel="0" collapsed="false">
      <c r="A570" s="2" t="s">
        <v>2274</v>
      </c>
      <c r="B570" s="2" t="s">
        <v>2275</v>
      </c>
      <c r="C570" s="2" t="s">
        <v>2011</v>
      </c>
      <c r="D570" s="2" t="s">
        <v>109</v>
      </c>
      <c r="E570" s="3" t="n">
        <v>34</v>
      </c>
      <c r="F570" s="2" t="s">
        <v>64</v>
      </c>
      <c r="G570" s="2" t="s">
        <v>110</v>
      </c>
      <c r="H570" s="2" t="s">
        <v>111</v>
      </c>
      <c r="I570" s="4" t="n">
        <v>13500</v>
      </c>
      <c r="J570" s="2" t="s">
        <v>112</v>
      </c>
      <c r="K570" s="3" t="n">
        <v>10</v>
      </c>
      <c r="L570" s="2" t="s">
        <v>297</v>
      </c>
      <c r="M570" s="2" t="s">
        <v>92</v>
      </c>
      <c r="N570" s="2" t="s">
        <v>140</v>
      </c>
      <c r="O570" s="3" t="n">
        <v>2</v>
      </c>
      <c r="P570" s="2" t="s">
        <v>169</v>
      </c>
      <c r="Q570" s="2" t="s">
        <v>170</v>
      </c>
      <c r="R570" s="2" t="s">
        <v>92</v>
      </c>
      <c r="S570" s="2" t="s">
        <v>92</v>
      </c>
      <c r="T570" s="2" t="s">
        <v>2276</v>
      </c>
      <c r="U570" s="2" t="s">
        <v>85</v>
      </c>
      <c r="V570" s="4" t="n">
        <v>62000</v>
      </c>
      <c r="W570" s="5" t="n">
        <v>10.28</v>
      </c>
      <c r="X570" s="3" t="n">
        <v>24</v>
      </c>
      <c r="Y570" s="6" t="n">
        <v>46201</v>
      </c>
      <c r="Z570" s="6" t="n">
        <v>46208</v>
      </c>
      <c r="AA570" s="6" t="n">
        <v>46212</v>
      </c>
      <c r="AB570" s="4" t="n">
        <f aca="false">ROUND(PMT(W570/1200,X570,-V570),2)</f>
        <v>2869</v>
      </c>
      <c r="AC570" s="4" t="n">
        <v>0</v>
      </c>
      <c r="AD570" s="3" t="n">
        <v>1</v>
      </c>
      <c r="AE570" s="4" t="n">
        <v>23600</v>
      </c>
      <c r="AF570" s="4" t="n">
        <v>8400</v>
      </c>
      <c r="AG570" s="3" t="n">
        <v>38</v>
      </c>
      <c r="AH570" s="4" t="n">
        <v>11300</v>
      </c>
      <c r="AI570" s="3" t="n">
        <v>726</v>
      </c>
      <c r="AJ570" s="7" t="n">
        <f aca="false">ROUND(AB570/I570,4)</f>
        <v>0.2125</v>
      </c>
      <c r="AK570" s="2" t="str">
        <f aca="false">IF(AND(AI570&gt;=750,AJ570&lt;=0.35),"Low",IF(AND(AI570&gt;=600,AJ570&lt;=0.5),"Medium","High"))</f>
        <v>Medium</v>
      </c>
      <c r="AL570" s="3" t="n">
        <v>1</v>
      </c>
      <c r="AM570" s="2" t="s">
        <v>58</v>
      </c>
      <c r="AN570" s="2" t="s">
        <v>59</v>
      </c>
      <c r="AO570" s="2" t="s">
        <v>60</v>
      </c>
      <c r="AP570" s="7" t="n">
        <v>0.228</v>
      </c>
    </row>
    <row r="571" customFormat="false" ht="15" hidden="false" customHeight="false" outlineLevel="0" collapsed="false">
      <c r="A571" s="2" t="s">
        <v>2277</v>
      </c>
      <c r="B571" s="2" t="s">
        <v>2278</v>
      </c>
      <c r="C571" s="2" t="s">
        <v>2279</v>
      </c>
      <c r="D571" s="2" t="s">
        <v>45</v>
      </c>
      <c r="E571" s="3" t="n">
        <v>43</v>
      </c>
      <c r="F571" s="2" t="s">
        <v>64</v>
      </c>
      <c r="G571" s="2" t="s">
        <v>90</v>
      </c>
      <c r="H571" s="2" t="s">
        <v>123</v>
      </c>
      <c r="I571" s="4" t="n">
        <v>23500</v>
      </c>
      <c r="J571" s="2" t="s">
        <v>90</v>
      </c>
      <c r="K571" s="3" t="n">
        <v>22</v>
      </c>
      <c r="L571" s="2" t="s">
        <v>463</v>
      </c>
      <c r="M571" s="2" t="s">
        <v>51</v>
      </c>
      <c r="N571" s="2" t="s">
        <v>102</v>
      </c>
      <c r="O571" s="3" t="n">
        <v>3</v>
      </c>
      <c r="P571" s="2" t="s">
        <v>131</v>
      </c>
      <c r="Q571" s="2" t="s">
        <v>132</v>
      </c>
      <c r="R571" s="2" t="s">
        <v>51</v>
      </c>
      <c r="S571" s="2" t="s">
        <v>51</v>
      </c>
      <c r="T571" s="2" t="s">
        <v>2280</v>
      </c>
      <c r="U571" s="2" t="s">
        <v>85</v>
      </c>
      <c r="V571" s="4" t="n">
        <v>93000</v>
      </c>
      <c r="W571" s="5" t="n">
        <v>8.41</v>
      </c>
      <c r="X571" s="3" t="n">
        <v>30</v>
      </c>
      <c r="Y571" s="6" t="n">
        <v>46197</v>
      </c>
      <c r="Z571" s="6"/>
      <c r="AA571" s="6"/>
      <c r="AB571" s="4" t="n">
        <f aca="false">ROUND(PMT(W571/1200,X571,-V571),2)</f>
        <v>3448.11</v>
      </c>
      <c r="AC571" s="4" t="n">
        <v>0</v>
      </c>
      <c r="AD571" s="3" t="n">
        <v>1</v>
      </c>
      <c r="AE571" s="4" t="n">
        <v>89500</v>
      </c>
      <c r="AF571" s="4" t="n">
        <v>36200</v>
      </c>
      <c r="AG571" s="3" t="n">
        <v>37</v>
      </c>
      <c r="AH571" s="4" t="n">
        <v>11800</v>
      </c>
      <c r="AI571" s="3" t="n">
        <v>900</v>
      </c>
      <c r="AJ571" s="7" t="n">
        <f aca="false">ROUND(AB571/I571,4)</f>
        <v>0.1467</v>
      </c>
      <c r="AK571" s="2" t="str">
        <f aca="false">IF(AND(AI571&gt;=750,AJ571&lt;=0.35),"Low",IF(AND(AI571&gt;=600,AJ571&lt;=0.5),"Medium","High"))</f>
        <v>Low</v>
      </c>
      <c r="AL571" s="3" t="n">
        <v>0</v>
      </c>
      <c r="AM571" s="2" t="s">
        <v>58</v>
      </c>
      <c r="AN571" s="2"/>
      <c r="AO571" s="2" t="s">
        <v>127</v>
      </c>
      <c r="AP571" s="7" t="n">
        <v>0.074</v>
      </c>
    </row>
    <row r="572" customFormat="false" ht="15" hidden="false" customHeight="false" outlineLevel="0" collapsed="false">
      <c r="A572" s="2" t="s">
        <v>2281</v>
      </c>
      <c r="B572" s="2" t="s">
        <v>1024</v>
      </c>
      <c r="C572" s="2" t="s">
        <v>2282</v>
      </c>
      <c r="D572" s="2" t="s">
        <v>45</v>
      </c>
      <c r="E572" s="3" t="n">
        <v>57</v>
      </c>
      <c r="F572" s="2" t="s">
        <v>64</v>
      </c>
      <c r="G572" s="2" t="s">
        <v>47</v>
      </c>
      <c r="H572" s="2" t="s">
        <v>101</v>
      </c>
      <c r="I572" s="4" t="n">
        <v>173500</v>
      </c>
      <c r="J572" s="2" t="s">
        <v>49</v>
      </c>
      <c r="K572" s="3" t="n">
        <v>31</v>
      </c>
      <c r="L572" s="2" t="s">
        <v>211</v>
      </c>
      <c r="M572" s="2" t="s">
        <v>147</v>
      </c>
      <c r="N572" s="2" t="s">
        <v>140</v>
      </c>
      <c r="O572" s="3" t="n">
        <v>3</v>
      </c>
      <c r="P572" s="2" t="s">
        <v>209</v>
      </c>
      <c r="Q572" s="2" t="s">
        <v>210</v>
      </c>
      <c r="R572" s="2" t="s">
        <v>211</v>
      </c>
      <c r="S572" s="2" t="s">
        <v>147</v>
      </c>
      <c r="T572" s="2" t="s">
        <v>2283</v>
      </c>
      <c r="U572" s="2" t="s">
        <v>180</v>
      </c>
      <c r="V572" s="4" t="n">
        <v>1075000</v>
      </c>
      <c r="W572" s="5" t="n">
        <v>10.22</v>
      </c>
      <c r="X572" s="3" t="n">
        <v>48</v>
      </c>
      <c r="Y572" s="6" t="n">
        <v>46198</v>
      </c>
      <c r="Z572" s="6" t="n">
        <v>46203</v>
      </c>
      <c r="AA572" s="6" t="n">
        <v>46207</v>
      </c>
      <c r="AB572" s="4" t="n">
        <f aca="false">ROUND(PMT(W572/1200,X572,-V572),2)</f>
        <v>27378.5</v>
      </c>
      <c r="AC572" s="4" t="n">
        <v>1506000</v>
      </c>
      <c r="AD572" s="3" t="n">
        <v>0</v>
      </c>
      <c r="AE572" s="4" t="n">
        <v>188200</v>
      </c>
      <c r="AF572" s="4" t="n">
        <v>86400</v>
      </c>
      <c r="AG572" s="3" t="n">
        <v>30</v>
      </c>
      <c r="AH572" s="4" t="n">
        <v>156800</v>
      </c>
      <c r="AI572" s="3" t="n">
        <v>627</v>
      </c>
      <c r="AJ572" s="7" t="n">
        <f aca="false">ROUND(AB572/I572,4)</f>
        <v>0.1578</v>
      </c>
      <c r="AK572" s="2" t="str">
        <f aca="false">IF(AND(AI572&gt;=750,AJ572&lt;=0.35),"Low",IF(AND(AI572&gt;=600,AJ572&lt;=0.5),"Medium","High"))</f>
        <v>Medium</v>
      </c>
      <c r="AL572" s="3" t="n">
        <v>1</v>
      </c>
      <c r="AM572" s="2" t="s">
        <v>58</v>
      </c>
      <c r="AN572" s="2" t="s">
        <v>59</v>
      </c>
      <c r="AO572" s="2" t="s">
        <v>60</v>
      </c>
      <c r="AP572" s="7" t="n">
        <v>0.33</v>
      </c>
    </row>
    <row r="573" customFormat="false" ht="15" hidden="false" customHeight="false" outlineLevel="0" collapsed="false">
      <c r="A573" s="2" t="s">
        <v>2284</v>
      </c>
      <c r="B573" s="2" t="s">
        <v>1987</v>
      </c>
      <c r="C573" s="2" t="s">
        <v>2285</v>
      </c>
      <c r="D573" s="2" t="s">
        <v>45</v>
      </c>
      <c r="E573" s="3" t="n">
        <v>39</v>
      </c>
      <c r="F573" s="2" t="s">
        <v>64</v>
      </c>
      <c r="G573" s="2" t="s">
        <v>176</v>
      </c>
      <c r="H573" s="2" t="s">
        <v>123</v>
      </c>
      <c r="I573" s="4" t="n">
        <v>31000</v>
      </c>
      <c r="J573" s="2" t="s">
        <v>177</v>
      </c>
      <c r="K573" s="3" t="n">
        <v>20</v>
      </c>
      <c r="L573" s="2" t="s">
        <v>380</v>
      </c>
      <c r="M573" s="2" t="s">
        <v>92</v>
      </c>
      <c r="N573" s="2" t="s">
        <v>140</v>
      </c>
      <c r="O573" s="3" t="n">
        <v>1</v>
      </c>
      <c r="P573" s="2" t="s">
        <v>93</v>
      </c>
      <c r="Q573" s="2" t="s">
        <v>94</v>
      </c>
      <c r="R573" s="2" t="s">
        <v>95</v>
      </c>
      <c r="S573" s="2" t="s">
        <v>92</v>
      </c>
      <c r="T573" s="2" t="s">
        <v>2286</v>
      </c>
      <c r="U573" s="2" t="s">
        <v>192</v>
      </c>
      <c r="V573" s="4" t="n">
        <v>209000</v>
      </c>
      <c r="W573" s="5" t="n">
        <v>11.6</v>
      </c>
      <c r="X573" s="3" t="n">
        <v>24</v>
      </c>
      <c r="Y573" s="6" t="n">
        <v>46184</v>
      </c>
      <c r="Z573" s="6" t="n">
        <v>46189</v>
      </c>
      <c r="AA573" s="6" t="n">
        <v>46191</v>
      </c>
      <c r="AB573" s="4" t="n">
        <f aca="false">ROUND(PMT(W573/1200,X573,-V573),2)</f>
        <v>9799.36</v>
      </c>
      <c r="AC573" s="4" t="n">
        <v>295000</v>
      </c>
      <c r="AD573" s="3" t="n">
        <v>1</v>
      </c>
      <c r="AE573" s="4" t="n">
        <v>93500</v>
      </c>
      <c r="AF573" s="4" t="n">
        <v>27700</v>
      </c>
      <c r="AG573" s="3" t="n">
        <v>7</v>
      </c>
      <c r="AH573" s="4" t="n">
        <v>31700</v>
      </c>
      <c r="AI573" s="3" t="n">
        <v>697</v>
      </c>
      <c r="AJ573" s="7" t="n">
        <f aca="false">ROUND(AB573/I573,4)</f>
        <v>0.3161</v>
      </c>
      <c r="AK573" s="2" t="str">
        <f aca="false">IF(AND(AI573&gt;=750,AJ573&lt;=0.35),"Low",IF(AND(AI573&gt;=600,AJ573&lt;=0.5),"Medium","High"))</f>
        <v>Medium</v>
      </c>
      <c r="AL573" s="3" t="n">
        <v>1</v>
      </c>
      <c r="AM573" s="2" t="s">
        <v>58</v>
      </c>
      <c r="AN573" s="2" t="s">
        <v>59</v>
      </c>
      <c r="AO573" s="2" t="s">
        <v>60</v>
      </c>
      <c r="AP573" s="7" t="n">
        <v>0.299</v>
      </c>
    </row>
    <row r="574" customFormat="false" ht="15" hidden="false" customHeight="false" outlineLevel="0" collapsed="false">
      <c r="A574" s="2" t="s">
        <v>2287</v>
      </c>
      <c r="B574" s="2" t="s">
        <v>2288</v>
      </c>
      <c r="C574" s="2" t="s">
        <v>2289</v>
      </c>
      <c r="D574" s="2" t="s">
        <v>109</v>
      </c>
      <c r="E574" s="3" t="n">
        <v>21</v>
      </c>
      <c r="F574" s="2" t="s">
        <v>46</v>
      </c>
      <c r="G574" s="2" t="s">
        <v>47</v>
      </c>
      <c r="H574" s="2" t="s">
        <v>48</v>
      </c>
      <c r="I574" s="4" t="n">
        <v>153500</v>
      </c>
      <c r="J574" s="2" t="s">
        <v>49</v>
      </c>
      <c r="K574" s="3" t="n">
        <v>1</v>
      </c>
      <c r="L574" s="2" t="s">
        <v>220</v>
      </c>
      <c r="M574" s="2" t="s">
        <v>51</v>
      </c>
      <c r="N574" s="2" t="s">
        <v>140</v>
      </c>
      <c r="O574" s="3" t="n">
        <v>0</v>
      </c>
      <c r="P574" s="2" t="s">
        <v>189</v>
      </c>
      <c r="Q574" s="2" t="s">
        <v>190</v>
      </c>
      <c r="R574" s="2" t="s">
        <v>188</v>
      </c>
      <c r="S574" s="2" t="s">
        <v>51</v>
      </c>
      <c r="T574" s="2" t="s">
        <v>2290</v>
      </c>
      <c r="U574" s="2" t="s">
        <v>118</v>
      </c>
      <c r="V574" s="4" t="n">
        <v>868000</v>
      </c>
      <c r="W574" s="5" t="n">
        <v>10.03</v>
      </c>
      <c r="X574" s="3" t="n">
        <v>66</v>
      </c>
      <c r="Y574" s="6" t="n">
        <v>46193</v>
      </c>
      <c r="Z574" s="6"/>
      <c r="AA574" s="6"/>
      <c r="AB574" s="4" t="n">
        <f aca="false">ROUND(PMT(W574/1200,X574,-V574),2)</f>
        <v>17164.39</v>
      </c>
      <c r="AC574" s="4" t="n">
        <v>0</v>
      </c>
      <c r="AD574" s="3" t="n">
        <v>2</v>
      </c>
      <c r="AE574" s="4" t="n">
        <v>271300</v>
      </c>
      <c r="AF574" s="4" t="n">
        <v>126700</v>
      </c>
      <c r="AG574" s="3" t="n">
        <v>34</v>
      </c>
      <c r="AH574" s="4"/>
      <c r="AI574" s="3" t="n">
        <v>680</v>
      </c>
      <c r="AJ574" s="7" t="n">
        <f aca="false">ROUND(AB574/I574,4)</f>
        <v>0.1118</v>
      </c>
      <c r="AK574" s="2" t="str">
        <f aca="false">IF(AND(AI574&gt;=750,AJ574&lt;=0.35),"Low",IF(AND(AI574&gt;=600,AJ574&lt;=0.5),"Medium","High"))</f>
        <v>Medium</v>
      </c>
      <c r="AL574" s="3" t="n">
        <v>1</v>
      </c>
      <c r="AM574" s="2" t="s">
        <v>58</v>
      </c>
      <c r="AN574" s="2"/>
      <c r="AO574" s="2" t="s">
        <v>134</v>
      </c>
      <c r="AP574" s="7" t="n">
        <v>0.269</v>
      </c>
    </row>
    <row r="575" customFormat="false" ht="15" hidden="false" customHeight="false" outlineLevel="0" collapsed="false">
      <c r="A575" s="2" t="s">
        <v>2291</v>
      </c>
      <c r="B575" s="2" t="s">
        <v>2292</v>
      </c>
      <c r="C575" s="2" t="s">
        <v>1834</v>
      </c>
      <c r="D575" s="2" t="s">
        <v>45</v>
      </c>
      <c r="E575" s="3" t="n">
        <v>39</v>
      </c>
      <c r="F575" s="2" t="s">
        <v>175</v>
      </c>
      <c r="G575" s="2" t="s">
        <v>47</v>
      </c>
      <c r="H575" s="2" t="s">
        <v>101</v>
      </c>
      <c r="I575" s="4" t="n">
        <v>179500</v>
      </c>
      <c r="J575" s="2" t="s">
        <v>49</v>
      </c>
      <c r="K575" s="3" t="n">
        <v>12</v>
      </c>
      <c r="L575" s="2" t="s">
        <v>168</v>
      </c>
      <c r="M575" s="2" t="s">
        <v>92</v>
      </c>
      <c r="N575" s="2" t="s">
        <v>81</v>
      </c>
      <c r="O575" s="3" t="n">
        <v>0</v>
      </c>
      <c r="P575" s="2" t="s">
        <v>169</v>
      </c>
      <c r="Q575" s="2" t="s">
        <v>170</v>
      </c>
      <c r="R575" s="2" t="s">
        <v>92</v>
      </c>
      <c r="S575" s="2" t="s">
        <v>92</v>
      </c>
      <c r="T575" s="2" t="s">
        <v>2293</v>
      </c>
      <c r="U575" s="2" t="s">
        <v>57</v>
      </c>
      <c r="V575" s="4" t="n">
        <v>2007000</v>
      </c>
      <c r="W575" s="5" t="n">
        <v>9.59</v>
      </c>
      <c r="X575" s="3" t="n">
        <v>240</v>
      </c>
      <c r="Y575" s="6" t="n">
        <v>46196</v>
      </c>
      <c r="Z575" s="6"/>
      <c r="AA575" s="6"/>
      <c r="AB575" s="4" t="n">
        <f aca="false">ROUND(PMT(W575/1200,X575,-V575),2)</f>
        <v>18825.98</v>
      </c>
      <c r="AC575" s="4" t="n">
        <v>2448000</v>
      </c>
      <c r="AD575" s="3" t="n">
        <v>1</v>
      </c>
      <c r="AE575" s="4" t="n">
        <v>322900</v>
      </c>
      <c r="AF575" s="4" t="n">
        <v>134700</v>
      </c>
      <c r="AG575" s="3" t="n">
        <v>37</v>
      </c>
      <c r="AH575" s="4" t="n">
        <v>56500</v>
      </c>
      <c r="AI575" s="3" t="n">
        <v>900</v>
      </c>
      <c r="AJ575" s="7" t="n">
        <f aca="false">ROUND(AB575/I575,4)</f>
        <v>0.1049</v>
      </c>
      <c r="AK575" s="2" t="str">
        <f aca="false">IF(AND(AI575&gt;=750,AJ575&lt;=0.35),"Low",IF(AND(AI575&gt;=600,AJ575&lt;=0.5),"Medium","High"))</f>
        <v>Low</v>
      </c>
      <c r="AL575" s="3" t="n">
        <v>1</v>
      </c>
      <c r="AM575" s="2" t="s">
        <v>58</v>
      </c>
      <c r="AN575" s="2"/>
      <c r="AO575" s="2" t="s">
        <v>134</v>
      </c>
      <c r="AP575" s="7" t="n">
        <v>0.023</v>
      </c>
    </row>
    <row r="576" customFormat="false" ht="15" hidden="false" customHeight="false" outlineLevel="0" collapsed="false">
      <c r="A576" s="2" t="s">
        <v>2294</v>
      </c>
      <c r="B576" s="2" t="s">
        <v>2295</v>
      </c>
      <c r="C576" s="2" t="s">
        <v>339</v>
      </c>
      <c r="D576" s="2" t="s">
        <v>109</v>
      </c>
      <c r="E576" s="3" t="n">
        <v>46</v>
      </c>
      <c r="F576" s="2" t="s">
        <v>64</v>
      </c>
      <c r="G576" s="2" t="s">
        <v>207</v>
      </c>
      <c r="H576" s="2" t="s">
        <v>77</v>
      </c>
      <c r="I576" s="4" t="n">
        <v>58000</v>
      </c>
      <c r="J576" s="2" t="s">
        <v>49</v>
      </c>
      <c r="K576" s="3" t="n">
        <v>25</v>
      </c>
      <c r="L576" s="2" t="s">
        <v>653</v>
      </c>
      <c r="M576" s="2" t="s">
        <v>159</v>
      </c>
      <c r="N576" s="2" t="s">
        <v>52</v>
      </c>
      <c r="O576" s="3" t="n">
        <v>1</v>
      </c>
      <c r="P576" s="2" t="s">
        <v>160</v>
      </c>
      <c r="Q576" s="2" t="s">
        <v>161</v>
      </c>
      <c r="R576" s="2" t="s">
        <v>159</v>
      </c>
      <c r="S576" s="2" t="s">
        <v>159</v>
      </c>
      <c r="T576" s="2" t="s">
        <v>2296</v>
      </c>
      <c r="U576" s="2" t="s">
        <v>180</v>
      </c>
      <c r="V576" s="4" t="n">
        <v>533000</v>
      </c>
      <c r="W576" s="5" t="n">
        <v>10.41</v>
      </c>
      <c r="X576" s="3" t="n">
        <v>66</v>
      </c>
      <c r="Y576" s="6" t="n">
        <v>46197</v>
      </c>
      <c r="Z576" s="6" t="n">
        <v>46199</v>
      </c>
      <c r="AA576" s="6" t="n">
        <v>46205</v>
      </c>
      <c r="AB576" s="4" t="n">
        <f aca="false">ROUND(PMT(W576/1200,X576,-V576),2)</f>
        <v>10641.1</v>
      </c>
      <c r="AC576" s="4" t="n">
        <v>716000</v>
      </c>
      <c r="AD576" s="3" t="n">
        <v>2</v>
      </c>
      <c r="AE576" s="4" t="n">
        <v>99400</v>
      </c>
      <c r="AF576" s="4" t="n">
        <v>52800</v>
      </c>
      <c r="AG576" s="3" t="n">
        <v>56</v>
      </c>
      <c r="AH576" s="4" t="n">
        <v>57000</v>
      </c>
      <c r="AI576" s="3" t="n">
        <v>831</v>
      </c>
      <c r="AJ576" s="7" t="n">
        <f aca="false">ROUND(AB576/I576,4)</f>
        <v>0.1835</v>
      </c>
      <c r="AK576" s="2" t="str">
        <f aca="false">IF(AND(AI576&gt;=750,AJ576&lt;=0.35),"Low",IF(AND(AI576&gt;=600,AJ576&lt;=0.5),"Medium","High"))</f>
        <v>Low</v>
      </c>
      <c r="AL576" s="3" t="n">
        <v>1</v>
      </c>
      <c r="AM576" s="2" t="s">
        <v>58</v>
      </c>
      <c r="AN576" s="2" t="s">
        <v>59</v>
      </c>
      <c r="AO576" s="2" t="s">
        <v>60</v>
      </c>
      <c r="AP576" s="7" t="n">
        <v>0.103</v>
      </c>
    </row>
    <row r="577" customFormat="false" ht="15" hidden="false" customHeight="false" outlineLevel="0" collapsed="false">
      <c r="A577" s="2" t="s">
        <v>2297</v>
      </c>
      <c r="B577" s="2" t="s">
        <v>2298</v>
      </c>
      <c r="C577" s="2" t="s">
        <v>2228</v>
      </c>
      <c r="D577" s="2" t="s">
        <v>109</v>
      </c>
      <c r="E577" s="3" t="n">
        <v>38</v>
      </c>
      <c r="F577" s="2" t="s">
        <v>46</v>
      </c>
      <c r="G577" s="2" t="s">
        <v>76</v>
      </c>
      <c r="H577" s="2" t="s">
        <v>101</v>
      </c>
      <c r="I577" s="4" t="n">
        <v>58000</v>
      </c>
      <c r="J577" s="2" t="s">
        <v>78</v>
      </c>
      <c r="K577" s="3" t="n">
        <v>19</v>
      </c>
      <c r="L577" s="2" t="s">
        <v>50</v>
      </c>
      <c r="M577" s="2" t="s">
        <v>51</v>
      </c>
      <c r="N577" s="2" t="s">
        <v>52</v>
      </c>
      <c r="O577" s="3" t="n">
        <v>0</v>
      </c>
      <c r="P577" s="2" t="s">
        <v>189</v>
      </c>
      <c r="Q577" s="2" t="s">
        <v>190</v>
      </c>
      <c r="R577" s="2" t="s">
        <v>188</v>
      </c>
      <c r="S577" s="2" t="s">
        <v>51</v>
      </c>
      <c r="T577" s="2" t="s">
        <v>2299</v>
      </c>
      <c r="U577" s="2" t="s">
        <v>57</v>
      </c>
      <c r="V577" s="4" t="n">
        <v>2458000</v>
      </c>
      <c r="W577" s="5" t="n">
        <v>10.51</v>
      </c>
      <c r="X577" s="3" t="n">
        <v>222</v>
      </c>
      <c r="Y577" s="6" t="n">
        <v>46195</v>
      </c>
      <c r="Z577" s="6" t="n">
        <v>46203</v>
      </c>
      <c r="AA577" s="6" t="n">
        <v>46205</v>
      </c>
      <c r="AB577" s="4" t="n">
        <f aca="false">ROUND(PMT(W577/1200,X577,-V577),2)</f>
        <v>25158.23</v>
      </c>
      <c r="AC577" s="4" t="n">
        <v>2768000</v>
      </c>
      <c r="AD577" s="3" t="n">
        <v>0</v>
      </c>
      <c r="AE577" s="4" t="n">
        <v>183600</v>
      </c>
      <c r="AF577" s="4" t="n">
        <v>48600</v>
      </c>
      <c r="AG577" s="3" t="n">
        <v>21</v>
      </c>
      <c r="AH577" s="4" t="n">
        <v>42200</v>
      </c>
      <c r="AI577" s="3" t="n">
        <v>690</v>
      </c>
      <c r="AJ577" s="7" t="n">
        <f aca="false">ROUND(AB577/I577,4)</f>
        <v>0.4338</v>
      </c>
      <c r="AK577" s="2" t="str">
        <f aca="false">IF(AND(AI577&gt;=750,AJ577&lt;=0.35),"Low",IF(AND(AI577&gt;=600,AJ577&lt;=0.5),"Medium","High"))</f>
        <v>Medium</v>
      </c>
      <c r="AL577" s="3"/>
      <c r="AM577" s="2" t="s">
        <v>58</v>
      </c>
      <c r="AN577" s="2" t="s">
        <v>59</v>
      </c>
      <c r="AO577" s="2" t="s">
        <v>60</v>
      </c>
      <c r="AP577" s="7" t="n">
        <v>0.284</v>
      </c>
    </row>
    <row r="578" customFormat="false" ht="15" hidden="false" customHeight="false" outlineLevel="0" collapsed="false">
      <c r="A578" s="2" t="s">
        <v>2300</v>
      </c>
      <c r="B578" s="2" t="s">
        <v>2301</v>
      </c>
      <c r="C578" s="2" t="s">
        <v>2302</v>
      </c>
      <c r="D578" s="2" t="s">
        <v>45</v>
      </c>
      <c r="E578" s="3" t="n">
        <v>28</v>
      </c>
      <c r="F578" s="2" t="s">
        <v>46</v>
      </c>
      <c r="G578" s="2" t="s">
        <v>207</v>
      </c>
      <c r="H578" s="2" t="s">
        <v>48</v>
      </c>
      <c r="I578" s="4" t="n">
        <v>49500</v>
      </c>
      <c r="J578" s="2" t="s">
        <v>49</v>
      </c>
      <c r="K578" s="3" t="n">
        <v>6</v>
      </c>
      <c r="L578" s="2" t="s">
        <v>147</v>
      </c>
      <c r="M578" s="2" t="s">
        <v>147</v>
      </c>
      <c r="N578" s="2" t="s">
        <v>140</v>
      </c>
      <c r="O578" s="3" t="n">
        <v>1</v>
      </c>
      <c r="P578" s="2" t="s">
        <v>148</v>
      </c>
      <c r="Q578" s="2" t="s">
        <v>149</v>
      </c>
      <c r="R578" s="2" t="s">
        <v>147</v>
      </c>
      <c r="S578" s="2" t="s">
        <v>147</v>
      </c>
      <c r="T578" s="2" t="s">
        <v>2303</v>
      </c>
      <c r="U578" s="2" t="s">
        <v>57</v>
      </c>
      <c r="V578" s="4" t="n">
        <v>1721000</v>
      </c>
      <c r="W578" s="5" t="n">
        <v>10.63</v>
      </c>
      <c r="X578" s="3" t="n">
        <v>276</v>
      </c>
      <c r="Y578" s="6" t="n">
        <v>46187</v>
      </c>
      <c r="Z578" s="6" t="n">
        <v>46197</v>
      </c>
      <c r="AA578" s="6" t="n">
        <v>46201</v>
      </c>
      <c r="AB578" s="4" t="n">
        <f aca="false">ROUND(PMT(W578/1200,X578,-V578),2)</f>
        <v>16710.24</v>
      </c>
      <c r="AC578" s="4" t="n">
        <v>2406000</v>
      </c>
      <c r="AD578" s="3" t="n">
        <v>3</v>
      </c>
      <c r="AE578" s="4" t="n">
        <v>196300</v>
      </c>
      <c r="AF578" s="4"/>
      <c r="AG578" s="3" t="n">
        <v>40</v>
      </c>
      <c r="AH578" s="4" t="n">
        <v>41300</v>
      </c>
      <c r="AI578" s="3" t="n">
        <v>718</v>
      </c>
      <c r="AJ578" s="7" t="n">
        <f aca="false">ROUND(AB578/I578,4)</f>
        <v>0.3376</v>
      </c>
      <c r="AK578" s="2" t="str">
        <f aca="false">IF(AND(AI578&gt;=750,AJ578&lt;=0.35),"Low",IF(AND(AI578&gt;=600,AJ578&lt;=0.5),"Medium","High"))</f>
        <v>Medium</v>
      </c>
      <c r="AL578" s="3" t="n">
        <v>1</v>
      </c>
      <c r="AM578" s="2" t="s">
        <v>58</v>
      </c>
      <c r="AN578" s="2" t="s">
        <v>59</v>
      </c>
      <c r="AO578" s="2" t="s">
        <v>86</v>
      </c>
      <c r="AP578" s="7" t="n">
        <v>0.292</v>
      </c>
    </row>
    <row r="579" customFormat="false" ht="15" hidden="false" customHeight="false" outlineLevel="0" collapsed="false">
      <c r="A579" s="2" t="s">
        <v>2304</v>
      </c>
      <c r="B579" s="2" t="s">
        <v>2305</v>
      </c>
      <c r="C579" s="2" t="s">
        <v>1494</v>
      </c>
      <c r="D579" s="2" t="s">
        <v>109</v>
      </c>
      <c r="E579" s="3" t="n">
        <v>47</v>
      </c>
      <c r="F579" s="2" t="s">
        <v>46</v>
      </c>
      <c r="G579" s="2" t="s">
        <v>246</v>
      </c>
      <c r="H579" s="2" t="s">
        <v>77</v>
      </c>
      <c r="I579" s="4" t="n">
        <v>14000</v>
      </c>
      <c r="J579" s="2" t="s">
        <v>145</v>
      </c>
      <c r="K579" s="3" t="n">
        <v>21</v>
      </c>
      <c r="L579" s="2" t="s">
        <v>247</v>
      </c>
      <c r="M579" s="2" t="s">
        <v>80</v>
      </c>
      <c r="N579" s="2" t="s">
        <v>52</v>
      </c>
      <c r="O579" s="3" t="n">
        <v>0</v>
      </c>
      <c r="P579" s="2" t="s">
        <v>53</v>
      </c>
      <c r="Q579" s="2" t="s">
        <v>54</v>
      </c>
      <c r="R579" s="2" t="s">
        <v>55</v>
      </c>
      <c r="S579" s="2" t="s">
        <v>51</v>
      </c>
      <c r="T579" s="2" t="s">
        <v>2306</v>
      </c>
      <c r="U579" s="2" t="s">
        <v>85</v>
      </c>
      <c r="V579" s="4" t="n">
        <v>70000</v>
      </c>
      <c r="W579" s="5" t="n">
        <v>8.13</v>
      </c>
      <c r="X579" s="3" t="n">
        <v>30</v>
      </c>
      <c r="Y579" s="6" t="n">
        <v>46202</v>
      </c>
      <c r="Z579" s="6" t="n">
        <v>46207</v>
      </c>
      <c r="AA579" s="6" t="n">
        <v>46211</v>
      </c>
      <c r="AB579" s="4" t="n">
        <f aca="false">ROUND(PMT(W579/1200,X579,-V579),2)</f>
        <v>2586.35</v>
      </c>
      <c r="AC579" s="4" t="n">
        <v>0</v>
      </c>
      <c r="AD579" s="3" t="n">
        <v>0</v>
      </c>
      <c r="AE579" s="4" t="n">
        <v>53100</v>
      </c>
      <c r="AF579" s="4" t="n">
        <v>11300</v>
      </c>
      <c r="AG579" s="3" t="n">
        <v>2</v>
      </c>
      <c r="AH579" s="4" t="n">
        <v>8600</v>
      </c>
      <c r="AI579" s="3" t="n">
        <v>767</v>
      </c>
      <c r="AJ579" s="7" t="n">
        <f aca="false">ROUND(AB579/I579,4)</f>
        <v>0.1847</v>
      </c>
      <c r="AK579" s="2" t="str">
        <f aca="false">IF(AND(AI579&gt;=750,AJ579&lt;=0.35),"Low",IF(AND(AI579&gt;=600,AJ579&lt;=0.5),"Medium","High"))</f>
        <v>Low</v>
      </c>
      <c r="AL579" s="3" t="n">
        <v>0</v>
      </c>
      <c r="AM579" s="2" t="s">
        <v>58</v>
      </c>
      <c r="AN579" s="2" t="s">
        <v>119</v>
      </c>
      <c r="AO579" s="2" t="s">
        <v>86</v>
      </c>
      <c r="AP579" s="7" t="n">
        <v>0.156</v>
      </c>
    </row>
    <row r="580" customFormat="false" ht="15" hidden="false" customHeight="false" outlineLevel="0" collapsed="false">
      <c r="A580" s="2" t="s">
        <v>2307</v>
      </c>
      <c r="B580" s="2" t="s">
        <v>2308</v>
      </c>
      <c r="C580" s="2" t="s">
        <v>2309</v>
      </c>
      <c r="D580" s="2" t="s">
        <v>45</v>
      </c>
      <c r="E580" s="3" t="n">
        <v>53</v>
      </c>
      <c r="F580" s="2" t="s">
        <v>64</v>
      </c>
      <c r="G580" s="2" t="s">
        <v>207</v>
      </c>
      <c r="H580" s="2" t="s">
        <v>48</v>
      </c>
      <c r="I580" s="4" t="n">
        <v>75500</v>
      </c>
      <c r="J580" s="2" t="s">
        <v>49</v>
      </c>
      <c r="K580" s="3" t="n">
        <v>25</v>
      </c>
      <c r="L580" s="2" t="s">
        <v>55</v>
      </c>
      <c r="M580" s="2" t="s">
        <v>51</v>
      </c>
      <c r="N580" s="2" t="s">
        <v>140</v>
      </c>
      <c r="O580" s="3" t="n">
        <v>3</v>
      </c>
      <c r="P580" s="2" t="s">
        <v>131</v>
      </c>
      <c r="Q580" s="2" t="s">
        <v>132</v>
      </c>
      <c r="R580" s="2" t="s">
        <v>51</v>
      </c>
      <c r="S580" s="2" t="s">
        <v>51</v>
      </c>
      <c r="T580" s="2" t="s">
        <v>2310</v>
      </c>
      <c r="U580" s="2" t="s">
        <v>97</v>
      </c>
      <c r="V580" s="4" t="n">
        <v>472000</v>
      </c>
      <c r="W580" s="5" t="n">
        <v>15.81</v>
      </c>
      <c r="X580" s="3" t="n">
        <v>24</v>
      </c>
      <c r="Y580" s="6" t="n">
        <v>46180</v>
      </c>
      <c r="Z580" s="6"/>
      <c r="AA580" s="6"/>
      <c r="AB580" s="4" t="n">
        <f aca="false">ROUND(PMT(W580/1200,X580,-V580),2)</f>
        <v>23067.76</v>
      </c>
      <c r="AC580" s="4" t="n">
        <v>0</v>
      </c>
      <c r="AD580" s="3" t="n">
        <v>0</v>
      </c>
      <c r="AE580" s="4" t="n">
        <v>151200</v>
      </c>
      <c r="AF580" s="4" t="n">
        <v>48500</v>
      </c>
      <c r="AG580" s="3" t="n">
        <v>17</v>
      </c>
      <c r="AH580" s="4" t="n">
        <v>26600</v>
      </c>
      <c r="AI580" s="3" t="n">
        <v>650</v>
      </c>
      <c r="AJ580" s="7" t="n">
        <f aca="false">ROUND(AB580/I580,4)</f>
        <v>0.3055</v>
      </c>
      <c r="AK580" s="2" t="str">
        <f aca="false">IF(AND(AI580&gt;=750,AJ580&lt;=0.35),"Low",IF(AND(AI580&gt;=600,AJ580&lt;=0.5),"Medium","High"))</f>
        <v>Medium</v>
      </c>
      <c r="AL580" s="3" t="n">
        <v>2</v>
      </c>
      <c r="AM580" s="2" t="s">
        <v>58</v>
      </c>
      <c r="AN580" s="2"/>
      <c r="AO580" s="2" t="s">
        <v>134</v>
      </c>
      <c r="AP580" s="7" t="n">
        <v>0.373</v>
      </c>
    </row>
    <row r="581" customFormat="false" ht="15" hidden="false" customHeight="false" outlineLevel="0" collapsed="false">
      <c r="A581" s="2" t="s">
        <v>2311</v>
      </c>
      <c r="B581" s="2" t="s">
        <v>2312</v>
      </c>
      <c r="C581" s="2" t="s">
        <v>2313</v>
      </c>
      <c r="D581" s="2" t="s">
        <v>45</v>
      </c>
      <c r="E581" s="3" t="n">
        <v>53</v>
      </c>
      <c r="F581" s="2" t="s">
        <v>64</v>
      </c>
      <c r="G581" s="2" t="s">
        <v>145</v>
      </c>
      <c r="H581" s="2" t="s">
        <v>111</v>
      </c>
      <c r="I581" s="4" t="n">
        <v>25500</v>
      </c>
      <c r="J581" s="2" t="s">
        <v>145</v>
      </c>
      <c r="K581" s="3" t="n">
        <v>28</v>
      </c>
      <c r="L581" s="2" t="s">
        <v>569</v>
      </c>
      <c r="M581" s="2" t="s">
        <v>67</v>
      </c>
      <c r="N581" s="2" t="s">
        <v>140</v>
      </c>
      <c r="O581" s="3" t="n">
        <v>2</v>
      </c>
      <c r="P581" s="2" t="s">
        <v>68</v>
      </c>
      <c r="Q581" s="2" t="s">
        <v>69</v>
      </c>
      <c r="R581" s="2" t="s">
        <v>70</v>
      </c>
      <c r="S581" s="2" t="s">
        <v>67</v>
      </c>
      <c r="T581" s="2" t="s">
        <v>2314</v>
      </c>
      <c r="U581" s="2" t="s">
        <v>192</v>
      </c>
      <c r="V581" s="4" t="n">
        <v>200000</v>
      </c>
      <c r="W581" s="5" t="n">
        <v>12.68</v>
      </c>
      <c r="X581" s="3" t="n">
        <v>24</v>
      </c>
      <c r="Y581" s="6" t="n">
        <v>46183</v>
      </c>
      <c r="Z581" s="6" t="n">
        <v>46187</v>
      </c>
      <c r="AA581" s="6" t="n">
        <v>46192</v>
      </c>
      <c r="AB581" s="4" t="n">
        <f aca="false">ROUND(PMT(W581/1200,X581,-V581),2)</f>
        <v>9478.33</v>
      </c>
      <c r="AC581" s="4" t="n">
        <v>251000</v>
      </c>
      <c r="AD581" s="3" t="n">
        <v>2</v>
      </c>
      <c r="AE581" s="4" t="n">
        <v>54000</v>
      </c>
      <c r="AF581" s="4" t="n">
        <v>12900</v>
      </c>
      <c r="AG581" s="3" t="n">
        <v>29</v>
      </c>
      <c r="AH581" s="4" t="n">
        <v>12400</v>
      </c>
      <c r="AI581" s="3" t="n">
        <v>833</v>
      </c>
      <c r="AJ581" s="7" t="n">
        <f aca="false">ROUND(AB581/I581,4)</f>
        <v>0.3717</v>
      </c>
      <c r="AK581" s="2" t="str">
        <f aca="false">IF(AND(AI581&gt;=750,AJ581&lt;=0.35),"Low",IF(AND(AI581&gt;=600,AJ581&lt;=0.5),"Medium","High"))</f>
        <v>Medium</v>
      </c>
      <c r="AL581" s="3" t="n">
        <v>1</v>
      </c>
      <c r="AM581" s="2" t="s">
        <v>58</v>
      </c>
      <c r="AN581" s="2" t="s">
        <v>119</v>
      </c>
      <c r="AO581" s="2" t="s">
        <v>60</v>
      </c>
      <c r="AP581" s="7" t="n">
        <v>0.158</v>
      </c>
    </row>
    <row r="582" customFormat="false" ht="15" hidden="false" customHeight="false" outlineLevel="0" collapsed="false">
      <c r="A582" s="2" t="s">
        <v>2315</v>
      </c>
      <c r="B582" s="2" t="s">
        <v>2316</v>
      </c>
      <c r="C582" s="2" t="s">
        <v>2317</v>
      </c>
      <c r="D582" s="2" t="s">
        <v>45</v>
      </c>
      <c r="E582" s="3" t="n">
        <v>37</v>
      </c>
      <c r="F582" s="2" t="s">
        <v>175</v>
      </c>
      <c r="G582" s="2" t="s">
        <v>76</v>
      </c>
      <c r="H582" s="2" t="s">
        <v>48</v>
      </c>
      <c r="I582" s="4" t="n">
        <v>51000</v>
      </c>
      <c r="J582" s="2" t="s">
        <v>78</v>
      </c>
      <c r="K582" s="3" t="n">
        <v>16</v>
      </c>
      <c r="L582" s="2" t="s">
        <v>95</v>
      </c>
      <c r="M582" s="2" t="s">
        <v>92</v>
      </c>
      <c r="N582" s="2" t="s">
        <v>81</v>
      </c>
      <c r="O582" s="3" t="n">
        <v>0</v>
      </c>
      <c r="P582" s="2" t="s">
        <v>93</v>
      </c>
      <c r="Q582" s="2" t="s">
        <v>94</v>
      </c>
      <c r="R582" s="2" t="s">
        <v>95</v>
      </c>
      <c r="S582" s="2" t="s">
        <v>92</v>
      </c>
      <c r="T582" s="2" t="s">
        <v>2318</v>
      </c>
      <c r="U582" s="2" t="s">
        <v>192</v>
      </c>
      <c r="V582" s="4" t="n">
        <v>936000</v>
      </c>
      <c r="W582" s="5" t="n">
        <v>13.87</v>
      </c>
      <c r="X582" s="3" t="n">
        <v>48</v>
      </c>
      <c r="Y582" s="6" t="n">
        <v>46194</v>
      </c>
      <c r="Z582" s="6" t="n">
        <v>46198</v>
      </c>
      <c r="AA582" s="6" t="n">
        <v>46201</v>
      </c>
      <c r="AB582" s="4" t="n">
        <f aca="false">ROUND(PMT(W582/1200,X582,-V582),2)</f>
        <v>25516.59</v>
      </c>
      <c r="AC582" s="4" t="n">
        <v>1272000</v>
      </c>
      <c r="AD582" s="3"/>
      <c r="AE582" s="4" t="n">
        <v>29900</v>
      </c>
      <c r="AF582" s="4" t="n">
        <v>8600</v>
      </c>
      <c r="AG582" s="3" t="n">
        <v>26</v>
      </c>
      <c r="AH582" s="4" t="n">
        <v>51800</v>
      </c>
      <c r="AI582" s="3" t="n">
        <v>716</v>
      </c>
      <c r="AJ582" s="7" t="n">
        <f aca="false">ROUND(AB582/I582,4)</f>
        <v>0.5003</v>
      </c>
      <c r="AK582" s="2" t="str">
        <f aca="false">IF(AND(AI582&gt;=750,AJ582&lt;=0.35),"Low",IF(AND(AI582&gt;=600,AJ582&lt;=0.5),"Medium","High"))</f>
        <v>High</v>
      </c>
      <c r="AL582" s="3" t="n">
        <v>1</v>
      </c>
      <c r="AM582" s="2" t="s">
        <v>58</v>
      </c>
      <c r="AN582" s="2" t="s">
        <v>119</v>
      </c>
      <c r="AO582" s="2" t="s">
        <v>60</v>
      </c>
      <c r="AP582" s="7" t="n">
        <v>0.237</v>
      </c>
    </row>
    <row r="583" customFormat="false" ht="15" hidden="false" customHeight="false" outlineLevel="0" collapsed="false">
      <c r="A583" s="2" t="s">
        <v>2319</v>
      </c>
      <c r="B583" s="2" t="s">
        <v>2320</v>
      </c>
      <c r="C583" s="2" t="s">
        <v>2321</v>
      </c>
      <c r="D583" s="2" t="s">
        <v>45</v>
      </c>
      <c r="E583" s="3" t="n">
        <v>27</v>
      </c>
      <c r="F583" s="2" t="s">
        <v>64</v>
      </c>
      <c r="G583" s="2" t="s">
        <v>176</v>
      </c>
      <c r="H583" s="2"/>
      <c r="I583" s="4" t="n">
        <v>38500</v>
      </c>
      <c r="J583" s="2" t="s">
        <v>177</v>
      </c>
      <c r="K583" s="3" t="n">
        <v>9</v>
      </c>
      <c r="L583" s="2" t="s">
        <v>79</v>
      </c>
      <c r="M583" s="2" t="s">
        <v>80</v>
      </c>
      <c r="N583" s="2" t="s">
        <v>81</v>
      </c>
      <c r="O583" s="3" t="n">
        <v>1</v>
      </c>
      <c r="P583" s="2" t="s">
        <v>82</v>
      </c>
      <c r="Q583" s="2" t="s">
        <v>83</v>
      </c>
      <c r="R583" s="2" t="s">
        <v>80</v>
      </c>
      <c r="S583" s="2" t="s">
        <v>80</v>
      </c>
      <c r="T583" s="2" t="s">
        <v>2322</v>
      </c>
      <c r="U583" s="2" t="s">
        <v>192</v>
      </c>
      <c r="V583" s="4" t="n">
        <v>347000</v>
      </c>
      <c r="W583" s="5" t="n">
        <v>14.1</v>
      </c>
      <c r="X583" s="3" t="n">
        <v>30</v>
      </c>
      <c r="Y583" s="6" t="n">
        <v>46199</v>
      </c>
      <c r="Z583" s="6" t="n">
        <v>46202</v>
      </c>
      <c r="AA583" s="6" t="n">
        <v>46205</v>
      </c>
      <c r="AB583" s="4" t="n">
        <f aca="false">ROUND(PMT(W583/1200,X583,-V583),2)</f>
        <v>13791.94</v>
      </c>
      <c r="AC583" s="4" t="n">
        <v>373000</v>
      </c>
      <c r="AD583" s="3" t="n">
        <v>0</v>
      </c>
      <c r="AE583" s="4" t="n">
        <v>34600</v>
      </c>
      <c r="AF583" s="4" t="n">
        <v>5900</v>
      </c>
      <c r="AG583" s="3" t="n">
        <v>16</v>
      </c>
      <c r="AH583" s="4" t="n">
        <v>20800</v>
      </c>
      <c r="AI583" s="3" t="n">
        <v>752</v>
      </c>
      <c r="AJ583" s="7" t="n">
        <f aca="false">ROUND(AB583/I583,4)</f>
        <v>0.3582</v>
      </c>
      <c r="AK583" s="2" t="str">
        <f aca="false">IF(AND(AI583&gt;=750,AJ583&lt;=0.35),"Low",IF(AND(AI583&gt;=600,AJ583&lt;=0.5),"Medium","High"))</f>
        <v>Medium</v>
      </c>
      <c r="AL583" s="3" t="n">
        <v>1</v>
      </c>
      <c r="AM583" s="2" t="s">
        <v>58</v>
      </c>
      <c r="AN583" s="2" t="s">
        <v>59</v>
      </c>
      <c r="AO583" s="2" t="s">
        <v>60</v>
      </c>
      <c r="AP583" s="7" t="n">
        <v>0.195</v>
      </c>
    </row>
    <row r="584" customFormat="false" ht="15" hidden="false" customHeight="false" outlineLevel="0" collapsed="false">
      <c r="A584" s="2" t="s">
        <v>2323</v>
      </c>
      <c r="B584" s="2" t="s">
        <v>1782</v>
      </c>
      <c r="C584" s="2" t="s">
        <v>2324</v>
      </c>
      <c r="D584" s="2" t="s">
        <v>45</v>
      </c>
      <c r="E584" s="3" t="n">
        <v>46</v>
      </c>
      <c r="F584" s="2" t="s">
        <v>46</v>
      </c>
      <c r="G584" s="2" t="s">
        <v>176</v>
      </c>
      <c r="H584" s="2" t="s">
        <v>123</v>
      </c>
      <c r="I584" s="4" t="n">
        <v>40000</v>
      </c>
      <c r="J584" s="2" t="s">
        <v>177</v>
      </c>
      <c r="K584" s="3" t="n">
        <v>27</v>
      </c>
      <c r="L584" s="2" t="s">
        <v>726</v>
      </c>
      <c r="M584" s="2" t="s">
        <v>147</v>
      </c>
      <c r="N584" s="2" t="s">
        <v>140</v>
      </c>
      <c r="O584" s="3" t="n">
        <v>1</v>
      </c>
      <c r="P584" s="2" t="s">
        <v>209</v>
      </c>
      <c r="Q584" s="2" t="s">
        <v>210</v>
      </c>
      <c r="R584" s="2" t="s">
        <v>211</v>
      </c>
      <c r="S584" s="2" t="s">
        <v>147</v>
      </c>
      <c r="T584" s="2" t="s">
        <v>2325</v>
      </c>
      <c r="U584" s="2" t="s">
        <v>72</v>
      </c>
      <c r="V584" s="4" t="n">
        <v>300000</v>
      </c>
      <c r="W584" s="5" t="n">
        <v>14.41</v>
      </c>
      <c r="X584" s="3" t="n">
        <v>66</v>
      </c>
      <c r="Y584" s="6" t="n">
        <v>46174</v>
      </c>
      <c r="Z584" s="6" t="n">
        <v>46183</v>
      </c>
      <c r="AA584" s="6" t="n">
        <v>46188</v>
      </c>
      <c r="AB584" s="4" t="n">
        <f aca="false">ROUND(PMT(W584/1200,X584,-V584),2)</f>
        <v>6608.04</v>
      </c>
      <c r="AC584" s="4" t="n">
        <v>306000</v>
      </c>
      <c r="AD584" s="3" t="n">
        <v>0</v>
      </c>
      <c r="AE584" s="4" t="n">
        <v>38500</v>
      </c>
      <c r="AF584" s="4" t="n">
        <v>16600</v>
      </c>
      <c r="AG584" s="3" t="n">
        <v>24</v>
      </c>
      <c r="AH584" s="4" t="n">
        <v>18800</v>
      </c>
      <c r="AI584" s="3" t="n">
        <v>645</v>
      </c>
      <c r="AJ584" s="7" t="n">
        <f aca="false">ROUND(AB584/I584,4)</f>
        <v>0.1652</v>
      </c>
      <c r="AK584" s="2" t="str">
        <f aca="false">IF(AND(AI584&gt;=750,AJ584&lt;=0.35),"Low",IF(AND(AI584&gt;=600,AJ584&lt;=0.5),"Medium","High"))</f>
        <v>Medium</v>
      </c>
      <c r="AL584" s="3" t="n">
        <v>2</v>
      </c>
      <c r="AM584" s="2" t="s">
        <v>58</v>
      </c>
      <c r="AN584" s="2" t="s">
        <v>119</v>
      </c>
      <c r="AO584" s="2" t="s">
        <v>60</v>
      </c>
      <c r="AP584" s="7" t="n">
        <v>0.301</v>
      </c>
    </row>
    <row r="585" customFormat="false" ht="15" hidden="false" customHeight="false" outlineLevel="0" collapsed="false">
      <c r="A585" s="2" t="s">
        <v>2326</v>
      </c>
      <c r="B585" s="2" t="s">
        <v>2327</v>
      </c>
      <c r="C585" s="2" t="s">
        <v>2328</v>
      </c>
      <c r="D585" s="2" t="s">
        <v>45</v>
      </c>
      <c r="E585" s="3" t="n">
        <v>23</v>
      </c>
      <c r="F585" s="2" t="s">
        <v>64</v>
      </c>
      <c r="G585" s="2" t="s">
        <v>76</v>
      </c>
      <c r="H585" s="2" t="s">
        <v>101</v>
      </c>
      <c r="I585" s="4" t="n">
        <v>45000</v>
      </c>
      <c r="J585" s="2" t="s">
        <v>78</v>
      </c>
      <c r="K585" s="3" t="n">
        <v>0</v>
      </c>
      <c r="L585" s="2" t="s">
        <v>67</v>
      </c>
      <c r="M585" s="2" t="s">
        <v>67</v>
      </c>
      <c r="N585" s="2" t="s">
        <v>52</v>
      </c>
      <c r="O585" s="3" t="n">
        <v>1</v>
      </c>
      <c r="P585" s="2" t="s">
        <v>68</v>
      </c>
      <c r="Q585" s="2" t="s">
        <v>69</v>
      </c>
      <c r="R585" s="2" t="s">
        <v>70</v>
      </c>
      <c r="S585" s="2" t="s">
        <v>67</v>
      </c>
      <c r="T585" s="2" t="s">
        <v>2329</v>
      </c>
      <c r="U585" s="2" t="s">
        <v>97</v>
      </c>
      <c r="V585" s="4" t="n">
        <v>329000</v>
      </c>
      <c r="W585" s="5" t="n">
        <v>11.92</v>
      </c>
      <c r="X585" s="3" t="n">
        <v>36</v>
      </c>
      <c r="Y585" s="6" t="n">
        <v>46191</v>
      </c>
      <c r="Z585" s="6" t="n">
        <v>46196</v>
      </c>
      <c r="AA585" s="6" t="n">
        <v>46202</v>
      </c>
      <c r="AB585" s="4" t="n">
        <f aca="false">ROUND(PMT(W585/1200,X585,-V585),2)</f>
        <v>10914.94</v>
      </c>
      <c r="AC585" s="4" t="n">
        <v>0</v>
      </c>
      <c r="AD585" s="3" t="n">
        <v>0</v>
      </c>
      <c r="AE585" s="4" t="n">
        <v>171300</v>
      </c>
      <c r="AF585" s="4"/>
      <c r="AG585" s="3" t="n">
        <v>27</v>
      </c>
      <c r="AH585" s="4" t="n">
        <v>35200</v>
      </c>
      <c r="AI585" s="3" t="n">
        <v>748</v>
      </c>
      <c r="AJ585" s="7" t="n">
        <f aca="false">ROUND(AB585/I585,4)</f>
        <v>0.2426</v>
      </c>
      <c r="AK585" s="2" t="str">
        <f aca="false">IF(AND(AI585&gt;=750,AJ585&lt;=0.35),"Low",IF(AND(AI585&gt;=600,AJ585&lt;=0.5),"Medium","High"))</f>
        <v>Medium</v>
      </c>
      <c r="AL585" s="3" t="n">
        <v>0</v>
      </c>
      <c r="AM585" s="2" t="s">
        <v>58</v>
      </c>
      <c r="AN585" s="2" t="s">
        <v>59</v>
      </c>
      <c r="AO585" s="2" t="s">
        <v>60</v>
      </c>
      <c r="AP585" s="7" t="n">
        <v>0.204</v>
      </c>
    </row>
    <row r="586" customFormat="false" ht="15" hidden="false" customHeight="false" outlineLevel="0" collapsed="false">
      <c r="A586" s="2" t="s">
        <v>2330</v>
      </c>
      <c r="B586" s="2" t="s">
        <v>2331</v>
      </c>
      <c r="C586" s="2" t="s">
        <v>1676</v>
      </c>
      <c r="D586" s="2" t="s">
        <v>45</v>
      </c>
      <c r="E586" s="3" t="n">
        <v>21</v>
      </c>
      <c r="F586" s="2" t="s">
        <v>64</v>
      </c>
      <c r="G586" s="2" t="s">
        <v>176</v>
      </c>
      <c r="H586" s="2" t="s">
        <v>123</v>
      </c>
      <c r="I586" s="4" t="n">
        <v>37000</v>
      </c>
      <c r="J586" s="2" t="s">
        <v>177</v>
      </c>
      <c r="K586" s="3" t="n">
        <v>0</v>
      </c>
      <c r="L586" s="2" t="s">
        <v>211</v>
      </c>
      <c r="M586" s="2" t="s">
        <v>147</v>
      </c>
      <c r="N586" s="2" t="s">
        <v>140</v>
      </c>
      <c r="O586" s="3" t="n">
        <v>3</v>
      </c>
      <c r="P586" s="2" t="s">
        <v>209</v>
      </c>
      <c r="Q586" s="2" t="s">
        <v>210</v>
      </c>
      <c r="R586" s="2" t="s">
        <v>211</v>
      </c>
      <c r="S586" s="2" t="s">
        <v>147</v>
      </c>
      <c r="T586" s="2" t="s">
        <v>2332</v>
      </c>
      <c r="U586" s="2" t="s">
        <v>192</v>
      </c>
      <c r="V586" s="4" t="n">
        <v>200000</v>
      </c>
      <c r="W586" s="5" t="n">
        <v>13.91</v>
      </c>
      <c r="X586" s="3" t="n">
        <v>12</v>
      </c>
      <c r="Y586" s="6" t="n">
        <v>46183</v>
      </c>
      <c r="Z586" s="6" t="n">
        <v>46185</v>
      </c>
      <c r="AA586" s="6" t="n">
        <v>46186</v>
      </c>
      <c r="AB586" s="4" t="n">
        <f aca="false">ROUND(PMT(W586/1200,X586,-V586),2)</f>
        <v>17948.96</v>
      </c>
      <c r="AC586" s="4" t="n">
        <v>283000</v>
      </c>
      <c r="AD586" s="3" t="n">
        <v>0</v>
      </c>
      <c r="AE586" s="4" t="n">
        <v>91800</v>
      </c>
      <c r="AF586" s="4" t="n">
        <v>23500</v>
      </c>
      <c r="AG586" s="3" t="n">
        <v>35</v>
      </c>
      <c r="AH586" s="4" t="n">
        <v>16400</v>
      </c>
      <c r="AI586" s="3" t="n">
        <v>676</v>
      </c>
      <c r="AJ586" s="7" t="n">
        <f aca="false">ROUND(AB586/I586,4)</f>
        <v>0.4851</v>
      </c>
      <c r="AK586" s="2" t="str">
        <f aca="false">IF(AND(AI586&gt;=750,AJ586&lt;=0.35),"Low",IF(AND(AI586&gt;=600,AJ586&lt;=0.5),"Medium","High"))</f>
        <v>Medium</v>
      </c>
      <c r="AL586" s="3" t="n">
        <v>1</v>
      </c>
      <c r="AM586" s="2" t="s">
        <v>233</v>
      </c>
      <c r="AN586" s="2" t="s">
        <v>59</v>
      </c>
      <c r="AO586" s="2" t="s">
        <v>60</v>
      </c>
      <c r="AP586" s="7" t="n">
        <v>0.33</v>
      </c>
    </row>
    <row r="587" customFormat="false" ht="15" hidden="false" customHeight="false" outlineLevel="0" collapsed="false">
      <c r="A587" s="2" t="s">
        <v>2333</v>
      </c>
      <c r="B587" s="2" t="s">
        <v>2334</v>
      </c>
      <c r="C587" s="2" t="s">
        <v>1235</v>
      </c>
      <c r="D587" s="2" t="s">
        <v>45</v>
      </c>
      <c r="E587" s="3" t="n">
        <v>34</v>
      </c>
      <c r="F587" s="2" t="s">
        <v>46</v>
      </c>
      <c r="G587" s="2" t="s">
        <v>47</v>
      </c>
      <c r="H587" s="2" t="s">
        <v>48</v>
      </c>
      <c r="I587" s="4" t="n">
        <v>122000</v>
      </c>
      <c r="J587" s="2" t="s">
        <v>49</v>
      </c>
      <c r="K587" s="3" t="n">
        <v>7</v>
      </c>
      <c r="L587" s="2" t="s">
        <v>504</v>
      </c>
      <c r="M587" s="2" t="s">
        <v>51</v>
      </c>
      <c r="N587" s="2" t="s">
        <v>52</v>
      </c>
      <c r="O587" s="3" t="n">
        <v>0</v>
      </c>
      <c r="P587" s="2" t="s">
        <v>131</v>
      </c>
      <c r="Q587" s="2" t="s">
        <v>132</v>
      </c>
      <c r="R587" s="2" t="s">
        <v>51</v>
      </c>
      <c r="S587" s="2" t="s">
        <v>51</v>
      </c>
      <c r="T587" s="2" t="s">
        <v>2335</v>
      </c>
      <c r="U587" s="2" t="s">
        <v>85</v>
      </c>
      <c r="V587" s="4" t="n">
        <v>800000</v>
      </c>
      <c r="W587" s="5" t="n">
        <v>10.06</v>
      </c>
      <c r="X587" s="3" t="n">
        <v>36</v>
      </c>
      <c r="Y587" s="6" t="n">
        <v>46175</v>
      </c>
      <c r="Z587" s="6" t="n">
        <v>46185</v>
      </c>
      <c r="AA587" s="6" t="n">
        <v>46190</v>
      </c>
      <c r="AB587" s="4" t="n">
        <f aca="false">ROUND(PMT(W587/1200,X587,-V587),2)</f>
        <v>25836.29</v>
      </c>
      <c r="AC587" s="4" t="n">
        <v>0</v>
      </c>
      <c r="AD587" s="3" t="n">
        <v>0</v>
      </c>
      <c r="AE587" s="4" t="n">
        <v>429400</v>
      </c>
      <c r="AF587" s="4" t="n">
        <v>127300</v>
      </c>
      <c r="AG587" s="3" t="n">
        <v>23</v>
      </c>
      <c r="AH587" s="4" t="n">
        <v>37000</v>
      </c>
      <c r="AI587" s="3" t="n">
        <v>817</v>
      </c>
      <c r="AJ587" s="7" t="n">
        <f aca="false">ROUND(AB587/I587,4)</f>
        <v>0.2118</v>
      </c>
      <c r="AK587" s="2" t="str">
        <f aca="false">IF(AND(AI587&gt;=750,AJ587&lt;=0.35),"Low",IF(AND(AI587&gt;=600,AJ587&lt;=0.5),"Medium","High"))</f>
        <v>Low</v>
      </c>
      <c r="AL587" s="3" t="n">
        <v>0</v>
      </c>
      <c r="AM587" s="2" t="s">
        <v>58</v>
      </c>
      <c r="AN587" s="2" t="s">
        <v>59</v>
      </c>
      <c r="AO587" s="2" t="s">
        <v>60</v>
      </c>
      <c r="AP587" s="7" t="n">
        <v>0.105</v>
      </c>
    </row>
    <row r="588" customFormat="false" ht="15" hidden="false" customHeight="false" outlineLevel="0" collapsed="false">
      <c r="A588" s="2" t="s">
        <v>2336</v>
      </c>
      <c r="B588" s="2" t="s">
        <v>2337</v>
      </c>
      <c r="C588" s="2" t="s">
        <v>1310</v>
      </c>
      <c r="D588" s="2" t="s">
        <v>45</v>
      </c>
      <c r="E588" s="3" t="n">
        <v>45</v>
      </c>
      <c r="F588" s="2" t="s">
        <v>46</v>
      </c>
      <c r="G588" s="2" t="s">
        <v>145</v>
      </c>
      <c r="H588" s="2" t="s">
        <v>48</v>
      </c>
      <c r="I588" s="4" t="n">
        <v>32500</v>
      </c>
      <c r="J588" s="2" t="s">
        <v>145</v>
      </c>
      <c r="K588" s="3" t="n">
        <v>19</v>
      </c>
      <c r="L588" s="2" t="s">
        <v>302</v>
      </c>
      <c r="M588" s="2" t="s">
        <v>67</v>
      </c>
      <c r="N588" s="2" t="s">
        <v>81</v>
      </c>
      <c r="O588" s="3" t="n">
        <v>1</v>
      </c>
      <c r="P588" s="2" t="s">
        <v>68</v>
      </c>
      <c r="Q588" s="2" t="s">
        <v>69</v>
      </c>
      <c r="R588" s="2" t="s">
        <v>70</v>
      </c>
      <c r="S588" s="2" t="s">
        <v>67</v>
      </c>
      <c r="T588" s="2" t="s">
        <v>2338</v>
      </c>
      <c r="U588" s="2" t="s">
        <v>192</v>
      </c>
      <c r="V588" s="4" t="n">
        <v>561000</v>
      </c>
      <c r="W588" s="5" t="n">
        <v>11.39</v>
      </c>
      <c r="X588" s="3" t="n">
        <v>66</v>
      </c>
      <c r="Y588" s="6" t="n">
        <v>46178</v>
      </c>
      <c r="Z588" s="6"/>
      <c r="AA588" s="6"/>
      <c r="AB588" s="4" t="n">
        <f aca="false">ROUND(PMT(W588/1200,X588,-V588),2)</f>
        <v>11477.58</v>
      </c>
      <c r="AC588" s="4" t="n">
        <v>679000</v>
      </c>
      <c r="AD588" s="3" t="n">
        <v>0</v>
      </c>
      <c r="AE588" s="4" t="n">
        <v>65500</v>
      </c>
      <c r="AF588" s="4" t="n">
        <v>36600</v>
      </c>
      <c r="AG588" s="3" t="n">
        <v>19</v>
      </c>
      <c r="AH588" s="4" t="n">
        <v>21500</v>
      </c>
      <c r="AI588" s="3" t="n">
        <v>733</v>
      </c>
      <c r="AJ588" s="7" t="n">
        <f aca="false">ROUND(AB588/I588,4)</f>
        <v>0.3532</v>
      </c>
      <c r="AK588" s="2" t="str">
        <f aca="false">IF(AND(AI588&gt;=750,AJ588&lt;=0.35),"Low",IF(AND(AI588&gt;=600,AJ588&lt;=0.5),"Medium","High"))</f>
        <v>Medium</v>
      </c>
      <c r="AL588" s="3" t="n">
        <v>4</v>
      </c>
      <c r="AM588" s="2" t="s">
        <v>233</v>
      </c>
      <c r="AN588" s="2"/>
      <c r="AO588" s="2" t="s">
        <v>127</v>
      </c>
      <c r="AP588" s="7" t="n">
        <v>0.38</v>
      </c>
    </row>
    <row r="589" customFormat="false" ht="15" hidden="false" customHeight="false" outlineLevel="0" collapsed="false">
      <c r="A589" s="2" t="s">
        <v>2339</v>
      </c>
      <c r="B589" s="2" t="s">
        <v>2340</v>
      </c>
      <c r="C589" s="2" t="s">
        <v>676</v>
      </c>
      <c r="D589" s="2" t="s">
        <v>45</v>
      </c>
      <c r="E589" s="3" t="n">
        <v>35</v>
      </c>
      <c r="F589" s="2" t="s">
        <v>64</v>
      </c>
      <c r="G589" s="2" t="s">
        <v>207</v>
      </c>
      <c r="H589" s="2" t="s">
        <v>101</v>
      </c>
      <c r="I589" s="4" t="n">
        <v>105000</v>
      </c>
      <c r="J589" s="2" t="s">
        <v>49</v>
      </c>
      <c r="K589" s="3" t="n">
        <v>9</v>
      </c>
      <c r="L589" s="2" t="s">
        <v>70</v>
      </c>
      <c r="M589" s="2" t="s">
        <v>67</v>
      </c>
      <c r="N589" s="2" t="s">
        <v>140</v>
      </c>
      <c r="O589" s="3" t="n">
        <v>1</v>
      </c>
      <c r="P589" s="2" t="s">
        <v>103</v>
      </c>
      <c r="Q589" s="2" t="s">
        <v>104</v>
      </c>
      <c r="R589" s="2" t="s">
        <v>67</v>
      </c>
      <c r="S589" s="2" t="s">
        <v>67</v>
      </c>
      <c r="T589" s="2" t="s">
        <v>2341</v>
      </c>
      <c r="U589" s="2" t="s">
        <v>180</v>
      </c>
      <c r="V589" s="4" t="n">
        <v>561000</v>
      </c>
      <c r="W589" s="5" t="n">
        <v>11.16</v>
      </c>
      <c r="X589" s="3" t="n">
        <v>12</v>
      </c>
      <c r="Y589" s="6" t="n">
        <v>46183</v>
      </c>
      <c r="Z589" s="6" t="n">
        <v>46188</v>
      </c>
      <c r="AA589" s="6" t="n">
        <v>46194</v>
      </c>
      <c r="AB589" s="4" t="n">
        <f aca="false">ROUND(PMT(W589/1200,X589,-V589),2)</f>
        <v>49623.99</v>
      </c>
      <c r="AC589" s="4" t="n">
        <v>790000</v>
      </c>
      <c r="AD589" s="3" t="n">
        <v>0</v>
      </c>
      <c r="AE589" s="4" t="n">
        <v>56500</v>
      </c>
      <c r="AF589" s="4" t="n">
        <v>10400</v>
      </c>
      <c r="AG589" s="3" t="n">
        <v>29</v>
      </c>
      <c r="AH589" s="4" t="n">
        <v>86300</v>
      </c>
      <c r="AI589" s="3" t="n">
        <v>807</v>
      </c>
      <c r="AJ589" s="7" t="n">
        <f aca="false">ROUND(AB589/I589,4)</f>
        <v>0.4726</v>
      </c>
      <c r="AK589" s="2" t="str">
        <f aca="false">IF(AND(AI589&gt;=750,AJ589&lt;=0.35),"Low",IF(AND(AI589&gt;=600,AJ589&lt;=0.5),"Medium","High"))</f>
        <v>Medium</v>
      </c>
      <c r="AL589" s="3" t="n">
        <v>1</v>
      </c>
      <c r="AM589" s="2" t="s">
        <v>58</v>
      </c>
      <c r="AN589" s="2" t="s">
        <v>258</v>
      </c>
      <c r="AO589" s="2" t="s">
        <v>60</v>
      </c>
      <c r="AP589" s="7" t="n">
        <v>0.139</v>
      </c>
    </row>
    <row r="590" customFormat="false" ht="15" hidden="false" customHeight="false" outlineLevel="0" collapsed="false">
      <c r="A590" s="2" t="s">
        <v>2342</v>
      </c>
      <c r="B590" s="2" t="s">
        <v>2343</v>
      </c>
      <c r="C590" s="2" t="s">
        <v>2337</v>
      </c>
      <c r="D590" s="2" t="s">
        <v>45</v>
      </c>
      <c r="E590" s="3" t="n">
        <v>52</v>
      </c>
      <c r="F590" s="2" t="s">
        <v>46</v>
      </c>
      <c r="G590" s="2" t="s">
        <v>65</v>
      </c>
      <c r="H590" s="2" t="s">
        <v>101</v>
      </c>
      <c r="I590" s="4" t="n">
        <v>66500</v>
      </c>
      <c r="J590" s="2" t="s">
        <v>49</v>
      </c>
      <c r="K590" s="3" t="n">
        <v>24</v>
      </c>
      <c r="L590" s="2" t="s">
        <v>476</v>
      </c>
      <c r="M590" s="2" t="s">
        <v>67</v>
      </c>
      <c r="N590" s="2" t="s">
        <v>140</v>
      </c>
      <c r="O590" s="3" t="n">
        <v>0</v>
      </c>
      <c r="P590" s="2" t="s">
        <v>93</v>
      </c>
      <c r="Q590" s="2" t="s">
        <v>94</v>
      </c>
      <c r="R590" s="2" t="s">
        <v>95</v>
      </c>
      <c r="S590" s="2" t="s">
        <v>92</v>
      </c>
      <c r="T590" s="2" t="s">
        <v>2344</v>
      </c>
      <c r="U590" s="2" t="s">
        <v>57</v>
      </c>
      <c r="V590" s="4" t="n">
        <v>1680000</v>
      </c>
      <c r="W590" s="5" t="n">
        <v>10.45</v>
      </c>
      <c r="X590" s="3" t="n">
        <v>108</v>
      </c>
      <c r="Y590" s="6" t="n">
        <v>46197</v>
      </c>
      <c r="Z590" s="6"/>
      <c r="AA590" s="6"/>
      <c r="AB590" s="4" t="n">
        <f aca="false">ROUND(PMT(W590/1200,X590,-V590),2)</f>
        <v>24063.51</v>
      </c>
      <c r="AC590" s="4" t="n">
        <v>2168000</v>
      </c>
      <c r="AD590" s="3" t="n">
        <v>2</v>
      </c>
      <c r="AE590" s="4" t="n">
        <v>61100</v>
      </c>
      <c r="AF590" s="4" t="n">
        <v>18800</v>
      </c>
      <c r="AG590" s="3" t="n">
        <v>30</v>
      </c>
      <c r="AH590" s="4" t="n">
        <v>23800</v>
      </c>
      <c r="AI590" s="3" t="n">
        <v>628</v>
      </c>
      <c r="AJ590" s="7" t="n">
        <f aca="false">ROUND(AB590/I590,4)</f>
        <v>0.3619</v>
      </c>
      <c r="AK590" s="2" t="str">
        <f aca="false">IF(AND(AI590&gt;=750,AJ590&lt;=0.35),"Low",IF(AND(AI590&gt;=600,AJ590&lt;=0.5),"Medium","High"))</f>
        <v>Medium</v>
      </c>
      <c r="AL590" s="3"/>
      <c r="AM590" s="2" t="s">
        <v>58</v>
      </c>
      <c r="AN590" s="2"/>
      <c r="AO590" s="2" t="s">
        <v>127</v>
      </c>
      <c r="AP590" s="7" t="n">
        <v>0.231</v>
      </c>
    </row>
    <row r="591" customFormat="false" ht="15" hidden="false" customHeight="false" outlineLevel="0" collapsed="false">
      <c r="A591" s="2" t="s">
        <v>2345</v>
      </c>
      <c r="B591" s="2" t="s">
        <v>2207</v>
      </c>
      <c r="C591" s="2" t="s">
        <v>2346</v>
      </c>
      <c r="D591" s="2" t="s">
        <v>45</v>
      </c>
      <c r="E591" s="3" t="n">
        <v>35</v>
      </c>
      <c r="F591" s="2" t="s">
        <v>64</v>
      </c>
      <c r="G591" s="2" t="s">
        <v>76</v>
      </c>
      <c r="H591" s="2" t="s">
        <v>77</v>
      </c>
      <c r="I591" s="4" t="n">
        <v>28500</v>
      </c>
      <c r="J591" s="2" t="s">
        <v>78</v>
      </c>
      <c r="K591" s="3"/>
      <c r="L591" s="2" t="s">
        <v>211</v>
      </c>
      <c r="M591" s="2" t="s">
        <v>147</v>
      </c>
      <c r="N591" s="2" t="s">
        <v>52</v>
      </c>
      <c r="O591" s="3" t="n">
        <v>2</v>
      </c>
      <c r="P591" s="2" t="s">
        <v>209</v>
      </c>
      <c r="Q591" s="2" t="s">
        <v>210</v>
      </c>
      <c r="R591" s="2" t="s">
        <v>211</v>
      </c>
      <c r="S591" s="2" t="s">
        <v>147</v>
      </c>
      <c r="T591" s="2" t="s">
        <v>2347</v>
      </c>
      <c r="U591" s="2" t="s">
        <v>97</v>
      </c>
      <c r="V591" s="4" t="n">
        <v>141000</v>
      </c>
      <c r="W591" s="5" t="n">
        <v>15.11</v>
      </c>
      <c r="X591" s="3" t="n">
        <v>12</v>
      </c>
      <c r="Y591" s="6" t="n">
        <v>46177</v>
      </c>
      <c r="Z591" s="6" t="n">
        <v>46185</v>
      </c>
      <c r="AA591" s="6" t="n">
        <v>46190</v>
      </c>
      <c r="AB591" s="4" t="n">
        <f aca="false">ROUND(PMT(W591/1200,X591,-V591),2)</f>
        <v>12733.74</v>
      </c>
      <c r="AC591" s="4" t="n">
        <v>0</v>
      </c>
      <c r="AD591" s="3" t="n">
        <v>1</v>
      </c>
      <c r="AE591" s="4" t="n">
        <v>76800</v>
      </c>
      <c r="AF591" s="4" t="n">
        <v>45300</v>
      </c>
      <c r="AG591" s="3"/>
      <c r="AH591" s="4" t="n">
        <v>19100</v>
      </c>
      <c r="AI591" s="3" t="n">
        <v>603</v>
      </c>
      <c r="AJ591" s="7" t="n">
        <f aca="false">ROUND(AB591/I591,4)</f>
        <v>0.4468</v>
      </c>
      <c r="AK591" s="2" t="str">
        <f aca="false">IF(AND(AI591&gt;=750,AJ591&lt;=0.35),"Low",IF(AND(AI591&gt;=600,AJ591&lt;=0.5),"Medium","High"))</f>
        <v>Medium</v>
      </c>
      <c r="AL591" s="3" t="n">
        <v>4</v>
      </c>
      <c r="AM591" s="2" t="s">
        <v>58</v>
      </c>
      <c r="AN591" s="2" t="s">
        <v>59</v>
      </c>
      <c r="AO591" s="2" t="s">
        <v>60</v>
      </c>
      <c r="AP591" s="7" t="n">
        <v>0.314</v>
      </c>
    </row>
    <row r="592" customFormat="false" ht="15" hidden="false" customHeight="false" outlineLevel="0" collapsed="false">
      <c r="A592" s="2" t="s">
        <v>2348</v>
      </c>
      <c r="B592" s="2" t="s">
        <v>2349</v>
      </c>
      <c r="C592" s="2" t="s">
        <v>2350</v>
      </c>
      <c r="D592" s="2" t="s">
        <v>45</v>
      </c>
      <c r="E592" s="3" t="n">
        <v>38</v>
      </c>
      <c r="F592" s="2" t="s">
        <v>175</v>
      </c>
      <c r="G592" s="2" t="s">
        <v>145</v>
      </c>
      <c r="H592" s="2" t="s">
        <v>77</v>
      </c>
      <c r="I592" s="4" t="n">
        <v>55500</v>
      </c>
      <c r="J592" s="2" t="s">
        <v>145</v>
      </c>
      <c r="K592" s="3" t="n">
        <v>12</v>
      </c>
      <c r="L592" s="2" t="s">
        <v>196</v>
      </c>
      <c r="M592" s="2" t="s">
        <v>139</v>
      </c>
      <c r="N592" s="2" t="s">
        <v>102</v>
      </c>
      <c r="O592" s="3" t="n">
        <v>0</v>
      </c>
      <c r="P592" s="2" t="s">
        <v>197</v>
      </c>
      <c r="Q592" s="2" t="s">
        <v>198</v>
      </c>
      <c r="R592" s="2" t="s">
        <v>139</v>
      </c>
      <c r="S592" s="2" t="s">
        <v>139</v>
      </c>
      <c r="T592" s="2" t="s">
        <v>2351</v>
      </c>
      <c r="U592" s="2" t="s">
        <v>192</v>
      </c>
      <c r="V592" s="4" t="n">
        <v>1120000</v>
      </c>
      <c r="W592" s="5" t="n">
        <v>10.92</v>
      </c>
      <c r="X592" s="3" t="n">
        <v>72</v>
      </c>
      <c r="Y592" s="6" t="n">
        <v>46180</v>
      </c>
      <c r="Z592" s="6" t="n">
        <v>46183</v>
      </c>
      <c r="AA592" s="6" t="n">
        <v>46184</v>
      </c>
      <c r="AB592" s="4" t="n">
        <f aca="false">ROUND(PMT(W592/1200,X592,-V592),2)</f>
        <v>21272.3</v>
      </c>
      <c r="AC592" s="4" t="n">
        <v>1218000</v>
      </c>
      <c r="AD592" s="3" t="n">
        <v>3</v>
      </c>
      <c r="AE592" s="4" t="n">
        <v>105400</v>
      </c>
      <c r="AF592" s="4" t="n">
        <v>62500</v>
      </c>
      <c r="AG592" s="3" t="n">
        <v>28</v>
      </c>
      <c r="AH592" s="4" t="n">
        <v>21100</v>
      </c>
      <c r="AI592" s="3" t="n">
        <v>562</v>
      </c>
      <c r="AJ592" s="7" t="n">
        <f aca="false">ROUND(AB592/I592,4)</f>
        <v>0.3833</v>
      </c>
      <c r="AK592" s="2" t="str">
        <f aca="false">IF(AND(AI592&gt;=750,AJ592&lt;=0.35),"Low",IF(AND(AI592&gt;=600,AJ592&lt;=0.5),"Medium","High"))</f>
        <v>High</v>
      </c>
      <c r="AL592" s="3" t="n">
        <v>4</v>
      </c>
      <c r="AM592" s="2" t="s">
        <v>58</v>
      </c>
      <c r="AN592" s="2" t="s">
        <v>119</v>
      </c>
      <c r="AO592" s="2" t="s">
        <v>60</v>
      </c>
      <c r="AP592" s="7" t="n">
        <v>0.396</v>
      </c>
    </row>
    <row r="593" customFormat="false" ht="15" hidden="false" customHeight="false" outlineLevel="0" collapsed="false">
      <c r="A593" s="2" t="s">
        <v>2352</v>
      </c>
      <c r="B593" s="2" t="s">
        <v>2353</v>
      </c>
      <c r="C593" s="2" t="s">
        <v>2354</v>
      </c>
      <c r="D593" s="2" t="s">
        <v>45</v>
      </c>
      <c r="E593" s="3" t="n">
        <v>21</v>
      </c>
      <c r="F593" s="2" t="s">
        <v>46</v>
      </c>
      <c r="G593" s="2" t="s">
        <v>47</v>
      </c>
      <c r="H593" s="2" t="s">
        <v>101</v>
      </c>
      <c r="I593" s="4" t="n">
        <v>79500</v>
      </c>
      <c r="J593" s="2" t="s">
        <v>49</v>
      </c>
      <c r="K593" s="3" t="n">
        <v>0</v>
      </c>
      <c r="L593" s="2" t="s">
        <v>1251</v>
      </c>
      <c r="M593" s="2" t="s">
        <v>51</v>
      </c>
      <c r="N593" s="2" t="s">
        <v>52</v>
      </c>
      <c r="O593" s="3" t="n">
        <v>2</v>
      </c>
      <c r="P593" s="2" t="s">
        <v>131</v>
      </c>
      <c r="Q593" s="2" t="s">
        <v>132</v>
      </c>
      <c r="R593" s="2" t="s">
        <v>51</v>
      </c>
      <c r="S593" s="2" t="s">
        <v>51</v>
      </c>
      <c r="T593" s="2" t="s">
        <v>2355</v>
      </c>
      <c r="U593" s="2" t="s">
        <v>192</v>
      </c>
      <c r="V593" s="4" t="n">
        <v>1751000</v>
      </c>
      <c r="W593" s="5" t="n">
        <v>11.38</v>
      </c>
      <c r="X593" s="3" t="n">
        <v>60</v>
      </c>
      <c r="Y593" s="6" t="n">
        <v>46176</v>
      </c>
      <c r="Z593" s="6"/>
      <c r="AA593" s="6"/>
      <c r="AB593" s="4" t="n">
        <f aca="false">ROUND(PMT(W593/1200,X593,-V593),2)</f>
        <v>38403.65</v>
      </c>
      <c r="AC593" s="4" t="n">
        <v>1937000</v>
      </c>
      <c r="AD593" s="3" t="n">
        <v>0</v>
      </c>
      <c r="AE593" s="4" t="n">
        <v>90600</v>
      </c>
      <c r="AF593" s="4" t="n">
        <v>36700</v>
      </c>
      <c r="AG593" s="3" t="n">
        <v>19</v>
      </c>
      <c r="AH593" s="4" t="n">
        <v>70000</v>
      </c>
      <c r="AI593" s="3" t="n">
        <v>562</v>
      </c>
      <c r="AJ593" s="7" t="n">
        <f aca="false">ROUND(AB593/I593,4)</f>
        <v>0.4831</v>
      </c>
      <c r="AK593" s="2" t="str">
        <f aca="false">IF(AND(AI593&gt;=750,AJ593&lt;=0.35),"Low",IF(AND(AI593&gt;=600,AJ593&lt;=0.5),"Medium","High"))</f>
        <v>High</v>
      </c>
      <c r="AL593" s="3" t="n">
        <v>1</v>
      </c>
      <c r="AM593" s="2" t="s">
        <v>58</v>
      </c>
      <c r="AN593" s="2"/>
      <c r="AO593" s="2" t="s">
        <v>134</v>
      </c>
      <c r="AP593" s="7" t="n">
        <v>0.434</v>
      </c>
    </row>
    <row r="594" customFormat="false" ht="15" hidden="false" customHeight="false" outlineLevel="0" collapsed="false">
      <c r="A594" s="2" t="s">
        <v>2356</v>
      </c>
      <c r="B594" s="2" t="s">
        <v>2357</v>
      </c>
      <c r="C594" s="2" t="s">
        <v>2358</v>
      </c>
      <c r="D594" s="2" t="s">
        <v>109</v>
      </c>
      <c r="E594" s="3" t="n">
        <v>48</v>
      </c>
      <c r="F594" s="2" t="s">
        <v>64</v>
      </c>
      <c r="G594" s="2" t="s">
        <v>246</v>
      </c>
      <c r="H594" s="2" t="s">
        <v>77</v>
      </c>
      <c r="I594" s="4" t="n">
        <v>18000</v>
      </c>
      <c r="J594" s="2" t="s">
        <v>145</v>
      </c>
      <c r="K594" s="3" t="n">
        <v>21</v>
      </c>
      <c r="L594" s="2" t="s">
        <v>139</v>
      </c>
      <c r="M594" s="2" t="s">
        <v>139</v>
      </c>
      <c r="N594" s="2"/>
      <c r="O594" s="3" t="n">
        <v>2</v>
      </c>
      <c r="P594" s="2" t="s">
        <v>160</v>
      </c>
      <c r="Q594" s="2" t="s">
        <v>161</v>
      </c>
      <c r="R594" s="2" t="s">
        <v>159</v>
      </c>
      <c r="S594" s="2" t="s">
        <v>159</v>
      </c>
      <c r="T594" s="2" t="s">
        <v>2359</v>
      </c>
      <c r="U594" s="2" t="s">
        <v>85</v>
      </c>
      <c r="V594" s="4" t="n">
        <v>116000</v>
      </c>
      <c r="W594" s="5" t="n">
        <v>9.11</v>
      </c>
      <c r="X594" s="3" t="n">
        <v>30</v>
      </c>
      <c r="Y594" s="6" t="n">
        <v>46186</v>
      </c>
      <c r="Z594" s="6" t="n">
        <v>46193</v>
      </c>
      <c r="AA594" s="6" t="n">
        <v>46199</v>
      </c>
      <c r="AB594" s="4" t="n">
        <f aca="false">ROUND(PMT(W594/1200,X594,-V594),2)</f>
        <v>4338.28</v>
      </c>
      <c r="AC594" s="4" t="n">
        <v>0</v>
      </c>
      <c r="AD594" s="3" t="n">
        <v>1</v>
      </c>
      <c r="AE594" s="4" t="n">
        <v>12400</v>
      </c>
      <c r="AF594" s="4" t="n">
        <v>3700</v>
      </c>
      <c r="AG594" s="3" t="n">
        <v>55</v>
      </c>
      <c r="AH594" s="4" t="n">
        <v>9300</v>
      </c>
      <c r="AI594" s="3" t="n">
        <v>554</v>
      </c>
      <c r="AJ594" s="7" t="n">
        <f aca="false">ROUND(AB594/I594,4)</f>
        <v>0.241</v>
      </c>
      <c r="AK594" s="2" t="str">
        <f aca="false">IF(AND(AI594&gt;=750,AJ594&lt;=0.35),"Low",IF(AND(AI594&gt;=600,AJ594&lt;=0.5),"Medium","High"))</f>
        <v>High</v>
      </c>
      <c r="AL594" s="3" t="n">
        <v>4</v>
      </c>
      <c r="AM594" s="2" t="s">
        <v>58</v>
      </c>
      <c r="AN594" s="2" t="s">
        <v>119</v>
      </c>
      <c r="AO594" s="2" t="s">
        <v>60</v>
      </c>
      <c r="AP594" s="7" t="n">
        <v>0.496</v>
      </c>
    </row>
    <row r="595" customFormat="false" ht="15" hidden="false" customHeight="false" outlineLevel="0" collapsed="false">
      <c r="A595" s="2" t="s">
        <v>2360</v>
      </c>
      <c r="B595" s="2" t="s">
        <v>2361</v>
      </c>
      <c r="C595" s="2" t="s">
        <v>2362</v>
      </c>
      <c r="D595" s="2" t="s">
        <v>109</v>
      </c>
      <c r="E595" s="3" t="n">
        <v>41</v>
      </c>
      <c r="F595" s="2" t="s">
        <v>46</v>
      </c>
      <c r="G595" s="2" t="s">
        <v>65</v>
      </c>
      <c r="H595" s="2" t="s">
        <v>101</v>
      </c>
      <c r="I595" s="4" t="n">
        <v>63500</v>
      </c>
      <c r="J595" s="2" t="s">
        <v>49</v>
      </c>
      <c r="K595" s="3" t="n">
        <v>14</v>
      </c>
      <c r="L595" s="2" t="s">
        <v>556</v>
      </c>
      <c r="M595" s="2" t="s">
        <v>147</v>
      </c>
      <c r="N595" s="2" t="s">
        <v>140</v>
      </c>
      <c r="O595" s="3" t="n">
        <v>0</v>
      </c>
      <c r="P595" s="2" t="s">
        <v>131</v>
      </c>
      <c r="Q595" s="2" t="s">
        <v>132</v>
      </c>
      <c r="R595" s="2" t="s">
        <v>51</v>
      </c>
      <c r="S595" s="2" t="s">
        <v>51</v>
      </c>
      <c r="T595" s="2" t="s">
        <v>2363</v>
      </c>
      <c r="U595" s="2" t="s">
        <v>192</v>
      </c>
      <c r="V595" s="4" t="n">
        <v>669000</v>
      </c>
      <c r="W595" s="5" t="n">
        <v>13.1</v>
      </c>
      <c r="X595" s="3" t="n">
        <v>72</v>
      </c>
      <c r="Y595" s="6" t="n">
        <v>46185</v>
      </c>
      <c r="Z595" s="6" t="n">
        <v>46191</v>
      </c>
      <c r="AA595" s="6" t="n">
        <v>46195</v>
      </c>
      <c r="AB595" s="4" t="n">
        <f aca="false">ROUND(PMT(W595/1200,X595,-V595),2)</f>
        <v>13464.91</v>
      </c>
      <c r="AC595" s="4" t="n">
        <v>797000</v>
      </c>
      <c r="AD595" s="3" t="n">
        <v>1</v>
      </c>
      <c r="AE595" s="4" t="n">
        <v>115200</v>
      </c>
      <c r="AF595" s="4" t="n">
        <v>19600</v>
      </c>
      <c r="AG595" s="3" t="n">
        <v>47</v>
      </c>
      <c r="AH595" s="4" t="n">
        <v>55100</v>
      </c>
      <c r="AI595" s="3" t="n">
        <v>616</v>
      </c>
      <c r="AJ595" s="7" t="n">
        <f aca="false">ROUND(AB595/I595,4)</f>
        <v>0.212</v>
      </c>
      <c r="AK595" s="2" t="str">
        <f aca="false">IF(AND(AI595&gt;=750,AJ595&lt;=0.35),"Low",IF(AND(AI595&gt;=600,AJ595&lt;=0.5),"Medium","High"))</f>
        <v>Medium</v>
      </c>
      <c r="AL595" s="3" t="n">
        <v>0</v>
      </c>
      <c r="AM595" s="2" t="s">
        <v>58</v>
      </c>
      <c r="AN595" s="2" t="s">
        <v>119</v>
      </c>
      <c r="AO595" s="2" t="s">
        <v>60</v>
      </c>
      <c r="AP595" s="7" t="n">
        <v>0.33</v>
      </c>
    </row>
    <row r="596" customFormat="false" ht="15" hidden="false" customHeight="false" outlineLevel="0" collapsed="false">
      <c r="A596" s="2" t="s">
        <v>2364</v>
      </c>
      <c r="B596" s="2" t="s">
        <v>2365</v>
      </c>
      <c r="C596" s="2" t="s">
        <v>2366</v>
      </c>
      <c r="D596" s="2" t="s">
        <v>45</v>
      </c>
      <c r="E596" s="3" t="n">
        <v>42</v>
      </c>
      <c r="F596" s="2" t="s">
        <v>175</v>
      </c>
      <c r="G596" s="2"/>
      <c r="H596" s="2" t="s">
        <v>77</v>
      </c>
      <c r="I596" s="4" t="n">
        <v>31000</v>
      </c>
      <c r="J596" s="2" t="s">
        <v>90</v>
      </c>
      <c r="K596" s="3"/>
      <c r="L596" s="2" t="s">
        <v>726</v>
      </c>
      <c r="M596" s="2" t="s">
        <v>147</v>
      </c>
      <c r="N596" s="2" t="s">
        <v>140</v>
      </c>
      <c r="O596" s="3" t="n">
        <v>0</v>
      </c>
      <c r="P596" s="2" t="s">
        <v>189</v>
      </c>
      <c r="Q596" s="2" t="s">
        <v>190</v>
      </c>
      <c r="R596" s="2" t="s">
        <v>188</v>
      </c>
      <c r="S596" s="2" t="s">
        <v>51</v>
      </c>
      <c r="T596" s="2" t="s">
        <v>2367</v>
      </c>
      <c r="U596" s="2" t="s">
        <v>97</v>
      </c>
      <c r="V596" s="4" t="n">
        <v>219000</v>
      </c>
      <c r="W596" s="5" t="n">
        <v>15.59</v>
      </c>
      <c r="X596" s="3" t="n">
        <v>36</v>
      </c>
      <c r="Y596" s="6" t="n">
        <v>46177</v>
      </c>
      <c r="Z596" s="6"/>
      <c r="AA596" s="6"/>
      <c r="AB596" s="4" t="n">
        <f aca="false">ROUND(PMT(W596/1200,X596,-V596),2)</f>
        <v>7655.13</v>
      </c>
      <c r="AC596" s="4" t="n">
        <v>0</v>
      </c>
      <c r="AD596" s="3" t="n">
        <v>0</v>
      </c>
      <c r="AE596" s="4" t="n">
        <v>107900</v>
      </c>
      <c r="AF596" s="4" t="n">
        <v>59700</v>
      </c>
      <c r="AG596" s="3" t="n">
        <v>14</v>
      </c>
      <c r="AH596" s="4" t="n">
        <v>21900</v>
      </c>
      <c r="AI596" s="3" t="n">
        <v>739</v>
      </c>
      <c r="AJ596" s="7" t="n">
        <f aca="false">ROUND(AB596/I596,4)</f>
        <v>0.2469</v>
      </c>
      <c r="AK596" s="2" t="str">
        <f aca="false">IF(AND(AI596&gt;=750,AJ596&lt;=0.35),"Low",IF(AND(AI596&gt;=600,AJ596&lt;=0.5),"Medium","High"))</f>
        <v>Medium</v>
      </c>
      <c r="AL596" s="3" t="n">
        <v>1</v>
      </c>
      <c r="AM596" s="2" t="s">
        <v>58</v>
      </c>
      <c r="AN596" s="2"/>
      <c r="AO596" s="2" t="s">
        <v>134</v>
      </c>
      <c r="AP596" s="7" t="n">
        <v>0.191</v>
      </c>
    </row>
    <row r="597" customFormat="false" ht="15" hidden="false" customHeight="false" outlineLevel="0" collapsed="false">
      <c r="A597" s="2" t="s">
        <v>2368</v>
      </c>
      <c r="B597" s="2" t="s">
        <v>2369</v>
      </c>
      <c r="C597" s="2" t="s">
        <v>1320</v>
      </c>
      <c r="D597" s="2" t="s">
        <v>45</v>
      </c>
      <c r="E597" s="3" t="n">
        <v>55</v>
      </c>
      <c r="F597" s="2" t="s">
        <v>434</v>
      </c>
      <c r="G597" s="2" t="s">
        <v>65</v>
      </c>
      <c r="H597" s="2" t="s">
        <v>101</v>
      </c>
      <c r="I597" s="4" t="n">
        <v>76000</v>
      </c>
      <c r="J597" s="2" t="s">
        <v>49</v>
      </c>
      <c r="K597" s="3" t="n">
        <v>37</v>
      </c>
      <c r="L597" s="2" t="s">
        <v>241</v>
      </c>
      <c r="M597" s="2" t="s">
        <v>92</v>
      </c>
      <c r="N597" s="2" t="s">
        <v>81</v>
      </c>
      <c r="O597" s="3" t="n">
        <v>1</v>
      </c>
      <c r="P597" s="2" t="s">
        <v>93</v>
      </c>
      <c r="Q597" s="2" t="s">
        <v>94</v>
      </c>
      <c r="R597" s="2" t="s">
        <v>95</v>
      </c>
      <c r="S597" s="2" t="s">
        <v>92</v>
      </c>
      <c r="T597" s="2" t="s">
        <v>2370</v>
      </c>
      <c r="U597" s="2" t="s">
        <v>85</v>
      </c>
      <c r="V597" s="4" t="n">
        <v>407000</v>
      </c>
      <c r="W597" s="5" t="n">
        <v>10.06</v>
      </c>
      <c r="X597" s="3" t="n">
        <v>30</v>
      </c>
      <c r="Y597" s="6" t="n">
        <v>46194</v>
      </c>
      <c r="Z597" s="6" t="n">
        <v>46197</v>
      </c>
      <c r="AA597" s="6" t="n">
        <v>46201</v>
      </c>
      <c r="AB597" s="4" t="n">
        <f aca="false">ROUND(PMT(W597/1200,X597,-V597),2)</f>
        <v>15400.6</v>
      </c>
      <c r="AC597" s="4" t="n">
        <v>0</v>
      </c>
      <c r="AD597" s="3" t="n">
        <v>1</v>
      </c>
      <c r="AE597" s="4" t="n">
        <v>188200</v>
      </c>
      <c r="AF597" s="4" t="n">
        <v>99800</v>
      </c>
      <c r="AG597" s="3" t="n">
        <v>50</v>
      </c>
      <c r="AH597" s="4" t="n">
        <v>72800</v>
      </c>
      <c r="AI597" s="3" t="n">
        <v>546</v>
      </c>
      <c r="AJ597" s="7" t="n">
        <f aca="false">ROUND(AB597/I597,4)</f>
        <v>0.2026</v>
      </c>
      <c r="AK597" s="2" t="str">
        <f aca="false">IF(AND(AI597&gt;=750,AJ597&lt;=0.35),"Low",IF(AND(AI597&gt;=600,AJ597&lt;=0.5),"Medium","High"))</f>
        <v>High</v>
      </c>
      <c r="AL597" s="3" t="n">
        <v>4</v>
      </c>
      <c r="AM597" s="2" t="s">
        <v>58</v>
      </c>
      <c r="AN597" s="2" t="s">
        <v>119</v>
      </c>
      <c r="AO597" s="2" t="s">
        <v>60</v>
      </c>
      <c r="AP597" s="7" t="n">
        <v>0.46</v>
      </c>
    </row>
    <row r="598" customFormat="false" ht="15" hidden="false" customHeight="false" outlineLevel="0" collapsed="false">
      <c r="A598" s="2" t="s">
        <v>2371</v>
      </c>
      <c r="B598" s="2" t="s">
        <v>2372</v>
      </c>
      <c r="C598" s="2" t="s">
        <v>2373</v>
      </c>
      <c r="D598" s="2" t="s">
        <v>109</v>
      </c>
      <c r="E598" s="3" t="n">
        <v>21</v>
      </c>
      <c r="F598" s="2" t="s">
        <v>64</v>
      </c>
      <c r="G598" s="2" t="s">
        <v>76</v>
      </c>
      <c r="H598" s="2" t="s">
        <v>77</v>
      </c>
      <c r="I598" s="4" t="n">
        <v>27000</v>
      </c>
      <c r="J598" s="2" t="s">
        <v>78</v>
      </c>
      <c r="K598" s="3" t="n">
        <v>0</v>
      </c>
      <c r="L598" s="2" t="s">
        <v>95</v>
      </c>
      <c r="M598" s="2" t="s">
        <v>92</v>
      </c>
      <c r="N598" s="2" t="s">
        <v>140</v>
      </c>
      <c r="O598" s="3" t="n">
        <v>3</v>
      </c>
      <c r="P598" s="2" t="s">
        <v>169</v>
      </c>
      <c r="Q598" s="2" t="s">
        <v>170</v>
      </c>
      <c r="R598" s="2" t="s">
        <v>92</v>
      </c>
      <c r="S598" s="2" t="s">
        <v>92</v>
      </c>
      <c r="T598" s="2" t="s">
        <v>2374</v>
      </c>
      <c r="U598" s="2" t="s">
        <v>97</v>
      </c>
      <c r="V598" s="4" t="n">
        <v>349000</v>
      </c>
      <c r="W598" s="5" t="n">
        <v>13.17</v>
      </c>
      <c r="X598" s="3" t="n">
        <v>48</v>
      </c>
      <c r="Y598" s="6" t="n">
        <v>46191</v>
      </c>
      <c r="Z598" s="6" t="n">
        <v>46195</v>
      </c>
      <c r="AA598" s="6" t="n">
        <v>46201</v>
      </c>
      <c r="AB598" s="4" t="n">
        <f aca="false">ROUND(PMT(W598/1200,X598,-V598),2)</f>
        <v>9392.27</v>
      </c>
      <c r="AC598" s="4" t="n">
        <v>0</v>
      </c>
      <c r="AD598" s="3" t="n">
        <v>0</v>
      </c>
      <c r="AE598" s="4" t="n">
        <v>100200</v>
      </c>
      <c r="AF598" s="4" t="n">
        <v>44100</v>
      </c>
      <c r="AG598" s="3" t="n">
        <v>14</v>
      </c>
      <c r="AH598" s="4" t="n">
        <v>25600</v>
      </c>
      <c r="AI598" s="3" t="n">
        <v>604</v>
      </c>
      <c r="AJ598" s="7" t="n">
        <f aca="false">ROUND(AB598/I598,4)</f>
        <v>0.3479</v>
      </c>
      <c r="AK598" s="2" t="str">
        <f aca="false">IF(AND(AI598&gt;=750,AJ598&lt;=0.35),"Low",IF(AND(AI598&gt;=600,AJ598&lt;=0.5),"Medium","High"))</f>
        <v>Medium</v>
      </c>
      <c r="AL598" s="3" t="n">
        <v>3</v>
      </c>
      <c r="AM598" s="2" t="s">
        <v>233</v>
      </c>
      <c r="AN598" s="2" t="s">
        <v>59</v>
      </c>
      <c r="AO598" s="2" t="s">
        <v>60</v>
      </c>
      <c r="AP598" s="7" t="n">
        <v>0.471</v>
      </c>
    </row>
    <row r="599" customFormat="false" ht="15" hidden="false" customHeight="false" outlineLevel="0" collapsed="false">
      <c r="A599" s="2" t="s">
        <v>2375</v>
      </c>
      <c r="B599" s="2" t="s">
        <v>2376</v>
      </c>
      <c r="C599" s="2" t="s">
        <v>2377</v>
      </c>
      <c r="D599" s="2" t="s">
        <v>45</v>
      </c>
      <c r="E599" s="3" t="n">
        <v>34</v>
      </c>
      <c r="F599" s="2" t="s">
        <v>175</v>
      </c>
      <c r="G599" s="2" t="s">
        <v>145</v>
      </c>
      <c r="H599" s="2" t="s">
        <v>111</v>
      </c>
      <c r="I599" s="4" t="n">
        <v>22000</v>
      </c>
      <c r="J599" s="2" t="s">
        <v>145</v>
      </c>
      <c r="K599" s="3" t="n">
        <v>14</v>
      </c>
      <c r="L599" s="2" t="s">
        <v>463</v>
      </c>
      <c r="M599" s="2" t="s">
        <v>51</v>
      </c>
      <c r="N599" s="2" t="s">
        <v>81</v>
      </c>
      <c r="O599" s="3" t="n">
        <v>1</v>
      </c>
      <c r="P599" s="2" t="s">
        <v>189</v>
      </c>
      <c r="Q599" s="2" t="s">
        <v>190</v>
      </c>
      <c r="R599" s="2" t="s">
        <v>188</v>
      </c>
      <c r="S599" s="2" t="s">
        <v>51</v>
      </c>
      <c r="T599" s="2" t="s">
        <v>2378</v>
      </c>
      <c r="U599" s="2" t="s">
        <v>192</v>
      </c>
      <c r="V599" s="4" t="n">
        <v>374000</v>
      </c>
      <c r="W599" s="5" t="n">
        <v>11.81</v>
      </c>
      <c r="X599" s="3" t="n">
        <v>72</v>
      </c>
      <c r="Y599" s="6" t="n">
        <v>46176</v>
      </c>
      <c r="Z599" s="6" t="n">
        <v>46177</v>
      </c>
      <c r="AA599" s="6" t="n">
        <v>46180</v>
      </c>
      <c r="AB599" s="4" t="n">
        <f aca="false">ROUND(PMT(W599/1200,X599,-V599),2)</f>
        <v>7274.87</v>
      </c>
      <c r="AC599" s="4" t="n">
        <v>523000</v>
      </c>
      <c r="AD599" s="3" t="n">
        <v>1</v>
      </c>
      <c r="AE599" s="4" t="n">
        <v>27600</v>
      </c>
      <c r="AF599" s="4" t="n">
        <v>11800</v>
      </c>
      <c r="AG599" s="3" t="n">
        <v>28</v>
      </c>
      <c r="AH599" s="4" t="n">
        <v>13400</v>
      </c>
      <c r="AI599" s="3" t="n">
        <v>648</v>
      </c>
      <c r="AJ599" s="7" t="n">
        <f aca="false">ROUND(AB599/I599,4)</f>
        <v>0.3307</v>
      </c>
      <c r="AK599" s="2" t="str">
        <f aca="false">IF(AND(AI599&gt;=750,AJ599&lt;=0.35),"Low",IF(AND(AI599&gt;=600,AJ599&lt;=0.5),"Medium","High"))</f>
        <v>Medium</v>
      </c>
      <c r="AL599" s="3" t="n">
        <v>4</v>
      </c>
      <c r="AM599" s="2" t="s">
        <v>58</v>
      </c>
      <c r="AN599" s="2" t="s">
        <v>59</v>
      </c>
      <c r="AO599" s="2" t="s">
        <v>60</v>
      </c>
      <c r="AP599" s="7" t="n">
        <v>0.284</v>
      </c>
    </row>
    <row r="600" customFormat="false" ht="15" hidden="false" customHeight="false" outlineLevel="0" collapsed="false">
      <c r="A600" s="2" t="s">
        <v>2379</v>
      </c>
      <c r="B600" s="2" t="s">
        <v>2380</v>
      </c>
      <c r="C600" s="2" t="s">
        <v>2381</v>
      </c>
      <c r="D600" s="2" t="s">
        <v>45</v>
      </c>
      <c r="E600" s="3" t="n">
        <v>32</v>
      </c>
      <c r="F600" s="2" t="s">
        <v>64</v>
      </c>
      <c r="G600" s="2" t="s">
        <v>207</v>
      </c>
      <c r="H600" s="2" t="s">
        <v>48</v>
      </c>
      <c r="I600" s="4" t="n">
        <v>76000</v>
      </c>
      <c r="J600" s="2" t="s">
        <v>49</v>
      </c>
      <c r="K600" s="3" t="n">
        <v>10</v>
      </c>
      <c r="L600" s="2" t="s">
        <v>51</v>
      </c>
      <c r="M600" s="2" t="s">
        <v>51</v>
      </c>
      <c r="N600" s="2" t="s">
        <v>52</v>
      </c>
      <c r="O600" s="3" t="n">
        <v>2</v>
      </c>
      <c r="P600" s="2" t="s">
        <v>53</v>
      </c>
      <c r="Q600" s="2" t="s">
        <v>54</v>
      </c>
      <c r="R600" s="2" t="s">
        <v>55</v>
      </c>
      <c r="S600" s="2" t="s">
        <v>51</v>
      </c>
      <c r="T600" s="2" t="s">
        <v>2382</v>
      </c>
      <c r="U600" s="2" t="s">
        <v>85</v>
      </c>
      <c r="V600" s="4" t="n">
        <v>704000</v>
      </c>
      <c r="W600" s="5" t="n">
        <v>7.84</v>
      </c>
      <c r="X600" s="3" t="n">
        <v>36</v>
      </c>
      <c r="Y600" s="6" t="n">
        <v>46176</v>
      </c>
      <c r="Z600" s="6" t="n">
        <v>46186</v>
      </c>
      <c r="AA600" s="6" t="n">
        <v>46192</v>
      </c>
      <c r="AB600" s="4" t="n">
        <f aca="false">ROUND(PMT(W600/1200,X600,-V600),2)</f>
        <v>22008.88</v>
      </c>
      <c r="AC600" s="4" t="n">
        <v>0</v>
      </c>
      <c r="AD600" s="3" t="n">
        <v>0</v>
      </c>
      <c r="AE600" s="4" t="n">
        <v>282100</v>
      </c>
      <c r="AF600" s="4" t="n">
        <v>47900</v>
      </c>
      <c r="AG600" s="3" t="n">
        <v>27</v>
      </c>
      <c r="AH600" s="4" t="n">
        <v>56300</v>
      </c>
      <c r="AI600" s="3" t="n">
        <v>811</v>
      </c>
      <c r="AJ600" s="7" t="n">
        <f aca="false">ROUND(AB600/I600,4)</f>
        <v>0.2896</v>
      </c>
      <c r="AK600" s="2" t="str">
        <f aca="false">IF(AND(AI600&gt;=750,AJ600&lt;=0.35),"Low",IF(AND(AI600&gt;=600,AJ600&lt;=0.5),"Medium","High"))</f>
        <v>Low</v>
      </c>
      <c r="AL600" s="3" t="n">
        <v>0</v>
      </c>
      <c r="AM600" s="2" t="s">
        <v>58</v>
      </c>
      <c r="AN600" s="2" t="s">
        <v>119</v>
      </c>
      <c r="AO600" s="2" t="s">
        <v>60</v>
      </c>
      <c r="AP600" s="7" t="n">
        <v>0.115</v>
      </c>
    </row>
    <row r="601" customFormat="false" ht="15" hidden="false" customHeight="false" outlineLevel="0" collapsed="false">
      <c r="A601" s="2" t="s">
        <v>2383</v>
      </c>
      <c r="B601" s="2" t="s">
        <v>2384</v>
      </c>
      <c r="C601" s="2" t="s">
        <v>2385</v>
      </c>
      <c r="D601" s="2" t="s">
        <v>45</v>
      </c>
      <c r="E601" s="3" t="n">
        <v>35</v>
      </c>
      <c r="F601" s="2" t="s">
        <v>46</v>
      </c>
      <c r="G601" s="2" t="s">
        <v>90</v>
      </c>
      <c r="H601" s="2" t="s">
        <v>77</v>
      </c>
      <c r="I601" s="4" t="n">
        <v>22500</v>
      </c>
      <c r="J601" s="2" t="s">
        <v>90</v>
      </c>
      <c r="K601" s="3" t="n">
        <v>13</v>
      </c>
      <c r="L601" s="2" t="s">
        <v>753</v>
      </c>
      <c r="M601" s="2" t="s">
        <v>147</v>
      </c>
      <c r="N601" s="2" t="s">
        <v>52</v>
      </c>
      <c r="O601" s="3" t="n">
        <v>0</v>
      </c>
      <c r="P601" s="2" t="s">
        <v>148</v>
      </c>
      <c r="Q601" s="2" t="s">
        <v>149</v>
      </c>
      <c r="R601" s="2" t="s">
        <v>147</v>
      </c>
      <c r="S601" s="2" t="s">
        <v>147</v>
      </c>
      <c r="T601" s="2" t="s">
        <v>2386</v>
      </c>
      <c r="U601" s="2" t="s">
        <v>85</v>
      </c>
      <c r="V601" s="4" t="n">
        <v>129000</v>
      </c>
      <c r="W601" s="5" t="n">
        <v>9.84</v>
      </c>
      <c r="X601" s="3" t="n">
        <v>18</v>
      </c>
      <c r="Y601" s="6" t="n">
        <v>46178</v>
      </c>
      <c r="Z601" s="6" t="n">
        <v>46185</v>
      </c>
      <c r="AA601" s="6" t="n">
        <v>46187</v>
      </c>
      <c r="AB601" s="4" t="n">
        <f aca="false">ROUND(PMT(W601/1200,X601,-V601),2)</f>
        <v>7737.86</v>
      </c>
      <c r="AC601" s="4" t="n">
        <v>0</v>
      </c>
      <c r="AD601" s="3" t="n">
        <v>0</v>
      </c>
      <c r="AE601" s="4" t="n">
        <v>75900</v>
      </c>
      <c r="AF601" s="4" t="n">
        <v>24100</v>
      </c>
      <c r="AG601" s="3" t="n">
        <v>27</v>
      </c>
      <c r="AH601" s="4" t="n">
        <v>19800</v>
      </c>
      <c r="AI601" s="3" t="n">
        <v>512</v>
      </c>
      <c r="AJ601" s="7" t="n">
        <f aca="false">ROUND(AB601/I601,4)</f>
        <v>0.3439</v>
      </c>
      <c r="AK601" s="2" t="str">
        <f aca="false">IF(AND(AI601&gt;=750,AJ601&lt;=0.35),"Low",IF(AND(AI601&gt;=600,AJ601&lt;=0.5),"Medium","High"))</f>
        <v>High</v>
      </c>
      <c r="AL601" s="3" t="n">
        <v>7</v>
      </c>
      <c r="AM601" s="2" t="s">
        <v>233</v>
      </c>
      <c r="AN601" s="2" t="s">
        <v>258</v>
      </c>
      <c r="AO601" s="2" t="s">
        <v>86</v>
      </c>
      <c r="AP601" s="7" t="n">
        <v>0.602</v>
      </c>
    </row>
    <row r="602" customFormat="false" ht="15" hidden="false" customHeight="false" outlineLevel="0" collapsed="false">
      <c r="A602" s="2" t="s">
        <v>2387</v>
      </c>
      <c r="B602" s="2" t="s">
        <v>2388</v>
      </c>
      <c r="C602" s="2" t="s">
        <v>2389</v>
      </c>
      <c r="D602" s="2" t="s">
        <v>45</v>
      </c>
      <c r="E602" s="3" t="n">
        <v>32</v>
      </c>
      <c r="F602" s="2" t="s">
        <v>64</v>
      </c>
      <c r="G602" s="2" t="s">
        <v>145</v>
      </c>
      <c r="H602" s="2" t="s">
        <v>48</v>
      </c>
      <c r="I602" s="4" t="n">
        <v>43500</v>
      </c>
      <c r="J602" s="2" t="s">
        <v>145</v>
      </c>
      <c r="K602" s="3" t="n">
        <v>12</v>
      </c>
      <c r="L602" s="2" t="s">
        <v>80</v>
      </c>
      <c r="M602" s="2" t="s">
        <v>80</v>
      </c>
      <c r="N602" s="2"/>
      <c r="O602" s="3" t="n">
        <v>1</v>
      </c>
      <c r="P602" s="2" t="s">
        <v>82</v>
      </c>
      <c r="Q602" s="2" t="s">
        <v>83</v>
      </c>
      <c r="R602" s="2" t="s">
        <v>80</v>
      </c>
      <c r="S602" s="2" t="s">
        <v>80</v>
      </c>
      <c r="T602" s="2" t="s">
        <v>2390</v>
      </c>
      <c r="U602" s="2" t="s">
        <v>192</v>
      </c>
      <c r="V602" s="4" t="n">
        <v>1104000</v>
      </c>
      <c r="W602" s="5" t="n">
        <v>11.27</v>
      </c>
      <c r="X602" s="3" t="n">
        <v>78</v>
      </c>
      <c r="Y602" s="6" t="n">
        <v>46192</v>
      </c>
      <c r="Z602" s="6" t="n">
        <v>46199</v>
      </c>
      <c r="AA602" s="6" t="n">
        <v>46202</v>
      </c>
      <c r="AB602" s="4" t="n">
        <f aca="false">ROUND(PMT(W602/1200,X602,-V602),2)</f>
        <v>20028.89</v>
      </c>
      <c r="AC602" s="4" t="n">
        <v>1440000</v>
      </c>
      <c r="AD602" s="3" t="n">
        <v>0</v>
      </c>
      <c r="AE602" s="4" t="n">
        <v>152400</v>
      </c>
      <c r="AF602" s="4" t="n">
        <v>91300</v>
      </c>
      <c r="AG602" s="3" t="n">
        <v>15</v>
      </c>
      <c r="AH602" s="4" t="n">
        <v>35000</v>
      </c>
      <c r="AI602" s="3" t="n">
        <v>673</v>
      </c>
      <c r="AJ602" s="7" t="n">
        <f aca="false">ROUND(AB602/I602,4)</f>
        <v>0.4604</v>
      </c>
      <c r="AK602" s="2" t="str">
        <f aca="false">IF(AND(AI602&gt;=750,AJ602&lt;=0.35),"Low",IF(AND(AI602&gt;=600,AJ602&lt;=0.5),"Medium","High"))</f>
        <v>Medium</v>
      </c>
      <c r="AL602" s="3" t="n">
        <v>1</v>
      </c>
      <c r="AM602" s="2" t="s">
        <v>58</v>
      </c>
      <c r="AN602" s="2" t="s">
        <v>59</v>
      </c>
      <c r="AO602" s="2" t="s">
        <v>60</v>
      </c>
      <c r="AP602" s="7" t="n">
        <v>0.204</v>
      </c>
    </row>
    <row r="603" customFormat="false" ht="15" hidden="false" customHeight="false" outlineLevel="0" collapsed="false">
      <c r="A603" s="2" t="s">
        <v>2391</v>
      </c>
      <c r="B603" s="2" t="s">
        <v>2392</v>
      </c>
      <c r="C603" s="2" t="s">
        <v>2199</v>
      </c>
      <c r="D603" s="2" t="s">
        <v>45</v>
      </c>
      <c r="E603" s="3" t="n">
        <v>44</v>
      </c>
      <c r="F603" s="2" t="s">
        <v>64</v>
      </c>
      <c r="G603" s="2" t="s">
        <v>176</v>
      </c>
      <c r="H603" s="2" t="s">
        <v>77</v>
      </c>
      <c r="I603" s="4" t="n">
        <v>91500</v>
      </c>
      <c r="J603" s="2" t="s">
        <v>177</v>
      </c>
      <c r="K603" s="3" t="n">
        <v>26</v>
      </c>
      <c r="L603" s="2" t="s">
        <v>80</v>
      </c>
      <c r="M603" s="2" t="s">
        <v>80</v>
      </c>
      <c r="N603" s="2" t="s">
        <v>140</v>
      </c>
      <c r="O603" s="3" t="n">
        <v>2</v>
      </c>
      <c r="P603" s="2" t="s">
        <v>209</v>
      </c>
      <c r="Q603" s="2" t="s">
        <v>210</v>
      </c>
      <c r="R603" s="2" t="s">
        <v>211</v>
      </c>
      <c r="S603" s="2" t="s">
        <v>147</v>
      </c>
      <c r="T603" s="2" t="s">
        <v>2393</v>
      </c>
      <c r="U603" s="2" t="s">
        <v>192</v>
      </c>
      <c r="V603" s="4" t="n">
        <v>825000</v>
      </c>
      <c r="W603" s="5" t="n">
        <v>11.52</v>
      </c>
      <c r="X603" s="3" t="n">
        <v>36</v>
      </c>
      <c r="Y603" s="6" t="n">
        <v>46188</v>
      </c>
      <c r="Z603" s="6" t="n">
        <v>46194</v>
      </c>
      <c r="AA603" s="6" t="n">
        <v>46199</v>
      </c>
      <c r="AB603" s="4" t="n">
        <f aca="false">ROUND(PMT(W603/1200,X603,-V603),2)</f>
        <v>27213.05</v>
      </c>
      <c r="AC603" s="4" t="n">
        <v>1079000</v>
      </c>
      <c r="AD603" s="3" t="n">
        <v>1</v>
      </c>
      <c r="AE603" s="4" t="n">
        <v>98300</v>
      </c>
      <c r="AF603" s="4" t="n">
        <v>21500</v>
      </c>
      <c r="AG603" s="3" t="n">
        <v>30</v>
      </c>
      <c r="AH603" s="4" t="n">
        <v>64200</v>
      </c>
      <c r="AI603" s="3" t="n">
        <v>643</v>
      </c>
      <c r="AJ603" s="7" t="n">
        <f aca="false">ROUND(AB603/I603,4)</f>
        <v>0.2974</v>
      </c>
      <c r="AK603" s="2" t="str">
        <f aca="false">IF(AND(AI603&gt;=750,AJ603&lt;=0.35),"Low",IF(AND(AI603&gt;=600,AJ603&lt;=0.5),"Medium","High"))</f>
        <v>Medium</v>
      </c>
      <c r="AL603" s="3" t="n">
        <v>2</v>
      </c>
      <c r="AM603" s="2" t="s">
        <v>58</v>
      </c>
      <c r="AN603" s="2" t="s">
        <v>59</v>
      </c>
      <c r="AO603" s="2" t="s">
        <v>60</v>
      </c>
      <c r="AP603" s="7" t="n">
        <v>0.244</v>
      </c>
    </row>
    <row r="604" customFormat="false" ht="15" hidden="false" customHeight="false" outlineLevel="0" collapsed="false">
      <c r="A604" s="2" t="s">
        <v>2394</v>
      </c>
      <c r="B604" s="2" t="s">
        <v>2395</v>
      </c>
      <c r="C604" s="2" t="s">
        <v>2396</v>
      </c>
      <c r="D604" s="2" t="s">
        <v>45</v>
      </c>
      <c r="E604" s="3" t="n">
        <v>30</v>
      </c>
      <c r="F604" s="2" t="s">
        <v>64</v>
      </c>
      <c r="G604" s="2" t="s">
        <v>47</v>
      </c>
      <c r="H604" s="2" t="s">
        <v>48</v>
      </c>
      <c r="I604" s="4" t="n">
        <v>88500</v>
      </c>
      <c r="J604" s="2" t="s">
        <v>49</v>
      </c>
      <c r="K604" s="3" t="n">
        <v>8</v>
      </c>
      <c r="L604" s="2" t="s">
        <v>188</v>
      </c>
      <c r="M604" s="2" t="s">
        <v>51</v>
      </c>
      <c r="N604" s="2" t="s">
        <v>52</v>
      </c>
      <c r="O604" s="3" t="n">
        <v>2</v>
      </c>
      <c r="P604" s="2" t="s">
        <v>53</v>
      </c>
      <c r="Q604" s="2" t="s">
        <v>54</v>
      </c>
      <c r="R604" s="2" t="s">
        <v>55</v>
      </c>
      <c r="S604" s="2" t="s">
        <v>51</v>
      </c>
      <c r="T604" s="2" t="s">
        <v>2397</v>
      </c>
      <c r="U604" s="2" t="s">
        <v>180</v>
      </c>
      <c r="V604" s="4" t="n">
        <v>952000</v>
      </c>
      <c r="W604" s="5" t="n">
        <v>10.45</v>
      </c>
      <c r="X604" s="3" t="n">
        <v>36</v>
      </c>
      <c r="Y604" s="6" t="n">
        <v>46174</v>
      </c>
      <c r="Z604" s="6" t="n">
        <v>46184</v>
      </c>
      <c r="AA604" s="6" t="n">
        <v>46188</v>
      </c>
      <c r="AB604" s="4" t="n">
        <f aca="false">ROUND(PMT(W604/1200,X604,-V604),2)</f>
        <v>30919.89</v>
      </c>
      <c r="AC604" s="4" t="n">
        <v>1393000</v>
      </c>
      <c r="AD604" s="3" t="n">
        <v>0</v>
      </c>
      <c r="AE604" s="4" t="n">
        <v>77300</v>
      </c>
      <c r="AF604" s="4" t="n">
        <v>21100</v>
      </c>
      <c r="AG604" s="3" t="n">
        <v>12</v>
      </c>
      <c r="AH604" s="4" t="n">
        <v>37100</v>
      </c>
      <c r="AI604" s="3" t="n">
        <v>855</v>
      </c>
      <c r="AJ604" s="7" t="n">
        <f aca="false">ROUND(AB604/I604,4)</f>
        <v>0.3494</v>
      </c>
      <c r="AK604" s="2" t="str">
        <f aca="false">IF(AND(AI604&gt;=750,AJ604&lt;=0.35),"Low",IF(AND(AI604&gt;=600,AJ604&lt;=0.5),"Medium","High"))</f>
        <v>Low</v>
      </c>
      <c r="AL604" s="3" t="n">
        <v>1</v>
      </c>
      <c r="AM604" s="2" t="s">
        <v>58</v>
      </c>
      <c r="AN604" s="2" t="s">
        <v>59</v>
      </c>
      <c r="AO604" s="2" t="s">
        <v>60</v>
      </c>
      <c r="AP604" s="7" t="n">
        <v>0.095</v>
      </c>
    </row>
    <row r="605" customFormat="false" ht="15" hidden="false" customHeight="false" outlineLevel="0" collapsed="false">
      <c r="A605" s="2" t="s">
        <v>2398</v>
      </c>
      <c r="B605" s="2" t="s">
        <v>1607</v>
      </c>
      <c r="C605" s="2" t="s">
        <v>507</v>
      </c>
      <c r="D605" s="2" t="s">
        <v>45</v>
      </c>
      <c r="E605" s="3" t="n">
        <v>43</v>
      </c>
      <c r="F605" s="2" t="s">
        <v>64</v>
      </c>
      <c r="G605" s="2" t="s">
        <v>65</v>
      </c>
      <c r="H605" s="2" t="s">
        <v>101</v>
      </c>
      <c r="I605" s="4" t="n">
        <v>59500</v>
      </c>
      <c r="J605" s="2" t="s">
        <v>49</v>
      </c>
      <c r="K605" s="3" t="n">
        <v>24</v>
      </c>
      <c r="L605" s="2" t="s">
        <v>159</v>
      </c>
      <c r="M605" s="2" t="s">
        <v>159</v>
      </c>
      <c r="N605" s="2" t="s">
        <v>81</v>
      </c>
      <c r="O605" s="3" t="n">
        <v>3</v>
      </c>
      <c r="P605" s="2" t="s">
        <v>160</v>
      </c>
      <c r="Q605" s="2" t="s">
        <v>161</v>
      </c>
      <c r="R605" s="2" t="s">
        <v>159</v>
      </c>
      <c r="S605" s="2" t="s">
        <v>159</v>
      </c>
      <c r="T605" s="2" t="s">
        <v>2399</v>
      </c>
      <c r="U605" s="2" t="s">
        <v>85</v>
      </c>
      <c r="V605" s="4" t="n">
        <v>182000</v>
      </c>
      <c r="W605" s="5" t="n">
        <v>8.78</v>
      </c>
      <c r="X605" s="3" t="n">
        <v>6</v>
      </c>
      <c r="Y605" s="6" t="n">
        <v>46187</v>
      </c>
      <c r="Z605" s="6" t="n">
        <v>46192</v>
      </c>
      <c r="AA605" s="6" t="n">
        <v>46197</v>
      </c>
      <c r="AB605" s="4" t="n">
        <f aca="false">ROUND(PMT(W605/1200,X605,-V605),2)</f>
        <v>31114.84</v>
      </c>
      <c r="AC605" s="4" t="n">
        <v>0</v>
      </c>
      <c r="AD605" s="3" t="n">
        <v>0</v>
      </c>
      <c r="AE605" s="4" t="n">
        <v>94600</v>
      </c>
      <c r="AF605" s="4" t="n">
        <v>15200</v>
      </c>
      <c r="AG605" s="3" t="n">
        <v>39</v>
      </c>
      <c r="AH605" s="4" t="n">
        <v>59000</v>
      </c>
      <c r="AI605" s="3" t="n">
        <v>671</v>
      </c>
      <c r="AJ605" s="7" t="n">
        <f aca="false">ROUND(AB605/I605,4)</f>
        <v>0.5229</v>
      </c>
      <c r="AK605" s="2" t="str">
        <f aca="false">IF(AND(AI605&gt;=750,AJ605&lt;=0.35),"Low",IF(AND(AI605&gt;=600,AJ605&lt;=0.5),"Medium","High"))</f>
        <v>High</v>
      </c>
      <c r="AL605" s="3" t="n">
        <v>0</v>
      </c>
      <c r="AM605" s="2" t="s">
        <v>58</v>
      </c>
      <c r="AN605" s="2" t="s">
        <v>59</v>
      </c>
      <c r="AO605" s="2" t="s">
        <v>60</v>
      </c>
      <c r="AP605" s="7" t="n">
        <v>0.207</v>
      </c>
    </row>
    <row r="606" customFormat="false" ht="15" hidden="false" customHeight="false" outlineLevel="0" collapsed="false">
      <c r="A606" s="2" t="s">
        <v>2400</v>
      </c>
      <c r="B606" s="2" t="s">
        <v>2145</v>
      </c>
      <c r="C606" s="2" t="s">
        <v>2401</v>
      </c>
      <c r="D606" s="2" t="s">
        <v>45</v>
      </c>
      <c r="E606" s="3" t="n">
        <v>68</v>
      </c>
      <c r="F606" s="2" t="s">
        <v>434</v>
      </c>
      <c r="G606" s="2" t="s">
        <v>47</v>
      </c>
      <c r="H606" s="2" t="s">
        <v>48</v>
      </c>
      <c r="I606" s="4" t="n">
        <v>108000</v>
      </c>
      <c r="J606" s="2" t="s">
        <v>49</v>
      </c>
      <c r="K606" s="3" t="n">
        <v>45</v>
      </c>
      <c r="L606" s="2" t="s">
        <v>279</v>
      </c>
      <c r="M606" s="2" t="s">
        <v>51</v>
      </c>
      <c r="N606" s="2"/>
      <c r="O606" s="3" t="n">
        <v>0</v>
      </c>
      <c r="P606" s="2" t="s">
        <v>189</v>
      </c>
      <c r="Q606" s="2" t="s">
        <v>190</v>
      </c>
      <c r="R606" s="2" t="s">
        <v>188</v>
      </c>
      <c r="S606" s="2" t="s">
        <v>51</v>
      </c>
      <c r="T606" s="2" t="s">
        <v>2402</v>
      </c>
      <c r="U606" s="2" t="s">
        <v>180</v>
      </c>
      <c r="V606" s="4" t="n">
        <v>1099000</v>
      </c>
      <c r="W606" s="5" t="n">
        <v>9.68</v>
      </c>
      <c r="X606" s="3" t="n">
        <v>54</v>
      </c>
      <c r="Y606" s="6" t="n">
        <v>46199</v>
      </c>
      <c r="Z606" s="6" t="n">
        <v>46206</v>
      </c>
      <c r="AA606" s="6" t="n">
        <v>46208</v>
      </c>
      <c r="AB606" s="4" t="n">
        <f aca="false">ROUND(PMT(W606/1200,X606,-V606),2)</f>
        <v>25185.98</v>
      </c>
      <c r="AC606" s="4" t="n">
        <v>1214000</v>
      </c>
      <c r="AD606" s="3" t="n">
        <v>0</v>
      </c>
      <c r="AE606" s="4" t="n">
        <v>223900</v>
      </c>
      <c r="AF606" s="4" t="n">
        <v>101700</v>
      </c>
      <c r="AG606" s="3" t="n">
        <v>2</v>
      </c>
      <c r="AH606" s="4" t="n">
        <v>86300</v>
      </c>
      <c r="AI606" s="3" t="n">
        <v>795</v>
      </c>
      <c r="AJ606" s="7" t="n">
        <f aca="false">ROUND(AB606/I606,4)</f>
        <v>0.2332</v>
      </c>
      <c r="AK606" s="2" t="str">
        <f aca="false">IF(AND(AI606&gt;=750,AJ606&lt;=0.35),"Low",IF(AND(AI606&gt;=600,AJ606&lt;=0.5),"Medium","High"))</f>
        <v>Low</v>
      </c>
      <c r="AL606" s="3" t="n">
        <v>0</v>
      </c>
      <c r="AM606" s="2" t="s">
        <v>58</v>
      </c>
      <c r="AN606" s="2" t="s">
        <v>59</v>
      </c>
      <c r="AO606" s="2" t="s">
        <v>60</v>
      </c>
      <c r="AP606" s="7" t="n">
        <v>0.126</v>
      </c>
    </row>
    <row r="607" customFormat="false" ht="15" hidden="false" customHeight="false" outlineLevel="0" collapsed="false">
      <c r="A607" s="2" t="s">
        <v>2403</v>
      </c>
      <c r="B607" s="2" t="s">
        <v>2404</v>
      </c>
      <c r="C607" s="2" t="s">
        <v>2405</v>
      </c>
      <c r="D607" s="2" t="s">
        <v>109</v>
      </c>
      <c r="E607" s="3" t="n">
        <v>52</v>
      </c>
      <c r="F607" s="2" t="s">
        <v>64</v>
      </c>
      <c r="G607" s="2" t="s">
        <v>207</v>
      </c>
      <c r="H607" s="2" t="s">
        <v>101</v>
      </c>
      <c r="I607" s="4" t="n">
        <v>105500</v>
      </c>
      <c r="J607" s="2" t="s">
        <v>49</v>
      </c>
      <c r="K607" s="3" t="n">
        <v>29</v>
      </c>
      <c r="L607" s="2" t="s">
        <v>80</v>
      </c>
      <c r="M607" s="2" t="s">
        <v>80</v>
      </c>
      <c r="N607" s="2" t="s">
        <v>140</v>
      </c>
      <c r="O607" s="3" t="n">
        <v>1</v>
      </c>
      <c r="P607" s="2" t="s">
        <v>82</v>
      </c>
      <c r="Q607" s="2" t="s">
        <v>83</v>
      </c>
      <c r="R607" s="2" t="s">
        <v>80</v>
      </c>
      <c r="S607" s="2" t="s">
        <v>80</v>
      </c>
      <c r="T607" s="2" t="s">
        <v>2406</v>
      </c>
      <c r="U607" s="2" t="s">
        <v>57</v>
      </c>
      <c r="V607" s="4" t="n">
        <v>3165000</v>
      </c>
      <c r="W607" s="5" t="n">
        <v>8.57</v>
      </c>
      <c r="X607" s="3" t="n">
        <v>120</v>
      </c>
      <c r="Y607" s="6" t="n">
        <v>46195</v>
      </c>
      <c r="Z607" s="6" t="n">
        <v>46199</v>
      </c>
      <c r="AA607" s="6" t="n">
        <v>46203</v>
      </c>
      <c r="AB607" s="4" t="n">
        <f aca="false">ROUND(PMT(W607/1200,X607,-V607),2)</f>
        <v>39360.06</v>
      </c>
      <c r="AC607" s="4" t="n">
        <v>3346000</v>
      </c>
      <c r="AD607" s="3" t="n">
        <v>0</v>
      </c>
      <c r="AE607" s="4" t="n">
        <v>324800</v>
      </c>
      <c r="AF607" s="4" t="n">
        <v>67500</v>
      </c>
      <c r="AG607" s="3" t="n">
        <v>29</v>
      </c>
      <c r="AH607" s="4" t="n">
        <v>65400</v>
      </c>
      <c r="AI607" s="3" t="n">
        <v>724</v>
      </c>
      <c r="AJ607" s="7" t="n">
        <f aca="false">ROUND(AB607/I607,4)</f>
        <v>0.3731</v>
      </c>
      <c r="AK607" s="2" t="str">
        <f aca="false">IF(AND(AI607&gt;=750,AJ607&lt;=0.35),"Low",IF(AND(AI607&gt;=600,AJ607&lt;=0.5),"Medium","High"))</f>
        <v>Medium</v>
      </c>
      <c r="AL607" s="3" t="n">
        <v>0</v>
      </c>
      <c r="AM607" s="2" t="s">
        <v>58</v>
      </c>
      <c r="AN607" s="2" t="s">
        <v>59</v>
      </c>
      <c r="AO607" s="2" t="s">
        <v>60</v>
      </c>
      <c r="AP607" s="7" t="n">
        <v>0.247</v>
      </c>
    </row>
    <row r="608" customFormat="false" ht="15" hidden="false" customHeight="false" outlineLevel="0" collapsed="false">
      <c r="A608" s="2" t="s">
        <v>2407</v>
      </c>
      <c r="B608" s="2" t="s">
        <v>2203</v>
      </c>
      <c r="C608" s="2" t="s">
        <v>2408</v>
      </c>
      <c r="D608" s="2" t="s">
        <v>45</v>
      </c>
      <c r="E608" s="3" t="n">
        <v>53</v>
      </c>
      <c r="F608" s="2" t="s">
        <v>175</v>
      </c>
      <c r="G608" s="2" t="s">
        <v>145</v>
      </c>
      <c r="H608" s="2" t="s">
        <v>77</v>
      </c>
      <c r="I608" s="4" t="n">
        <v>45000</v>
      </c>
      <c r="J608" s="2" t="s">
        <v>145</v>
      </c>
      <c r="K608" s="3" t="n">
        <v>28</v>
      </c>
      <c r="L608" s="2" t="s">
        <v>590</v>
      </c>
      <c r="M608" s="2" t="s">
        <v>114</v>
      </c>
      <c r="N608" s="2" t="s">
        <v>140</v>
      </c>
      <c r="O608" s="3" t="n">
        <v>2</v>
      </c>
      <c r="P608" s="2" t="s">
        <v>68</v>
      </c>
      <c r="Q608" s="2" t="s">
        <v>69</v>
      </c>
      <c r="R608" s="2" t="s">
        <v>70</v>
      </c>
      <c r="S608" s="2" t="s">
        <v>67</v>
      </c>
      <c r="T608" s="2" t="s">
        <v>2409</v>
      </c>
      <c r="U608" s="2" t="s">
        <v>72</v>
      </c>
      <c r="V608" s="4" t="n">
        <v>300000</v>
      </c>
      <c r="W608" s="5" t="n">
        <v>12.08</v>
      </c>
      <c r="X608" s="3" t="n">
        <v>12</v>
      </c>
      <c r="Y608" s="6" t="n">
        <v>46195</v>
      </c>
      <c r="Z608" s="6"/>
      <c r="AA608" s="6"/>
      <c r="AB608" s="4" t="n">
        <f aca="false">ROUND(PMT(W608/1200,X608,-V608),2)</f>
        <v>26665.87</v>
      </c>
      <c r="AC608" s="4" t="n">
        <v>303000</v>
      </c>
      <c r="AD608" s="3" t="n">
        <v>1</v>
      </c>
      <c r="AE608" s="4" t="n">
        <v>177900</v>
      </c>
      <c r="AF608" s="4" t="n">
        <v>45000</v>
      </c>
      <c r="AG608" s="3" t="n">
        <v>18</v>
      </c>
      <c r="AH608" s="4" t="n">
        <v>18100</v>
      </c>
      <c r="AI608" s="3" t="n">
        <v>574</v>
      </c>
      <c r="AJ608" s="7" t="n">
        <f aca="false">ROUND(AB608/I608,4)</f>
        <v>0.5926</v>
      </c>
      <c r="AK608" s="2" t="str">
        <f aca="false">IF(AND(AI608&gt;=750,AJ608&lt;=0.35),"Low",IF(AND(AI608&gt;=600,AJ608&lt;=0.5),"Medium","High"))</f>
        <v>High</v>
      </c>
      <c r="AL608" s="3" t="n">
        <v>2</v>
      </c>
      <c r="AM608" s="2" t="s">
        <v>58</v>
      </c>
      <c r="AN608" s="2"/>
      <c r="AO608" s="2" t="s">
        <v>127</v>
      </c>
      <c r="AP608" s="7" t="n">
        <v>0.337</v>
      </c>
    </row>
    <row r="609" customFormat="false" ht="15" hidden="false" customHeight="false" outlineLevel="0" collapsed="false">
      <c r="A609" s="2" t="s">
        <v>2410</v>
      </c>
      <c r="B609" s="2" t="s">
        <v>2411</v>
      </c>
      <c r="C609" s="2" t="s">
        <v>2412</v>
      </c>
      <c r="D609" s="2" t="s">
        <v>45</v>
      </c>
      <c r="E609" s="3" t="n">
        <v>50</v>
      </c>
      <c r="F609" s="2" t="s">
        <v>64</v>
      </c>
      <c r="G609" s="2" t="s">
        <v>47</v>
      </c>
      <c r="H609" s="2" t="s">
        <v>101</v>
      </c>
      <c r="I609" s="4" t="n">
        <v>148500</v>
      </c>
      <c r="J609" s="2" t="s">
        <v>49</v>
      </c>
      <c r="K609" s="3" t="n">
        <v>30</v>
      </c>
      <c r="L609" s="2" t="s">
        <v>70</v>
      </c>
      <c r="M609" s="2" t="s">
        <v>67</v>
      </c>
      <c r="N609" s="2" t="s">
        <v>52</v>
      </c>
      <c r="O609" s="3" t="n">
        <v>1</v>
      </c>
      <c r="P609" s="2" t="s">
        <v>68</v>
      </c>
      <c r="Q609" s="2" t="s">
        <v>69</v>
      </c>
      <c r="R609" s="2" t="s">
        <v>70</v>
      </c>
      <c r="S609" s="2" t="s">
        <v>67</v>
      </c>
      <c r="T609" s="2" t="s">
        <v>2413</v>
      </c>
      <c r="U609" s="2" t="s">
        <v>97</v>
      </c>
      <c r="V609" s="4" t="n">
        <v>1500000</v>
      </c>
      <c r="W609" s="5" t="n">
        <v>13.33</v>
      </c>
      <c r="X609" s="3" t="n">
        <v>42</v>
      </c>
      <c r="Y609" s="6" t="n">
        <v>46187</v>
      </c>
      <c r="Z609" s="6" t="n">
        <v>46194</v>
      </c>
      <c r="AA609" s="6" t="n">
        <v>46200</v>
      </c>
      <c r="AB609" s="4" t="n">
        <f aca="false">ROUND(PMT(W609/1200,X609,-V609),2)</f>
        <v>44885.49</v>
      </c>
      <c r="AC609" s="4" t="n">
        <v>0</v>
      </c>
      <c r="AD609" s="3" t="n">
        <v>1</v>
      </c>
      <c r="AE609" s="4" t="n">
        <v>191200</v>
      </c>
      <c r="AF609" s="4" t="n">
        <v>64700</v>
      </c>
      <c r="AG609" s="3" t="n">
        <v>26</v>
      </c>
      <c r="AH609" s="4" t="n">
        <v>60300</v>
      </c>
      <c r="AI609" s="3" t="n">
        <v>828</v>
      </c>
      <c r="AJ609" s="7" t="n">
        <f aca="false">ROUND(AB609/I609,4)</f>
        <v>0.3023</v>
      </c>
      <c r="AK609" s="2" t="str">
        <f aca="false">IF(AND(AI609&gt;=750,AJ609&lt;=0.35),"Low",IF(AND(AI609&gt;=600,AJ609&lt;=0.5),"Medium","High"))</f>
        <v>Low</v>
      </c>
      <c r="AL609" s="3" t="n">
        <v>2</v>
      </c>
      <c r="AM609" s="2" t="s">
        <v>58</v>
      </c>
      <c r="AN609" s="2" t="s">
        <v>59</v>
      </c>
      <c r="AO609" s="2" t="s">
        <v>60</v>
      </c>
      <c r="AP609" s="7" t="n">
        <v>0.178</v>
      </c>
    </row>
    <row r="610" customFormat="false" ht="15" hidden="false" customHeight="false" outlineLevel="0" collapsed="false">
      <c r="A610" s="2" t="s">
        <v>2414</v>
      </c>
      <c r="B610" s="2" t="s">
        <v>1039</v>
      </c>
      <c r="C610" s="2" t="s">
        <v>2415</v>
      </c>
      <c r="D610" s="2" t="s">
        <v>109</v>
      </c>
      <c r="E610" s="3" t="n">
        <v>24</v>
      </c>
      <c r="F610" s="2" t="s">
        <v>64</v>
      </c>
      <c r="G610" s="2" t="s">
        <v>110</v>
      </c>
      <c r="H610" s="2" t="s">
        <v>111</v>
      </c>
      <c r="I610" s="4" t="n">
        <v>8000</v>
      </c>
      <c r="J610" s="2" t="s">
        <v>112</v>
      </c>
      <c r="K610" s="3" t="n">
        <v>0</v>
      </c>
      <c r="L610" s="2" t="s">
        <v>55</v>
      </c>
      <c r="M610" s="2" t="s">
        <v>51</v>
      </c>
      <c r="N610" s="2" t="s">
        <v>52</v>
      </c>
      <c r="O610" s="3" t="n">
        <v>1</v>
      </c>
      <c r="P610" s="2" t="s">
        <v>53</v>
      </c>
      <c r="Q610" s="2" t="s">
        <v>54</v>
      </c>
      <c r="R610" s="2" t="s">
        <v>55</v>
      </c>
      <c r="S610" s="2" t="s">
        <v>51</v>
      </c>
      <c r="T610" s="2" t="s">
        <v>2416</v>
      </c>
      <c r="U610" s="2" t="s">
        <v>192</v>
      </c>
      <c r="V610" s="4" t="n">
        <v>200000</v>
      </c>
      <c r="W610" s="5" t="n">
        <v>12.96</v>
      </c>
      <c r="X610" s="3" t="n">
        <v>24</v>
      </c>
      <c r="Y610" s="6" t="n">
        <v>46186</v>
      </c>
      <c r="Z610" s="6"/>
      <c r="AA610" s="6"/>
      <c r="AB610" s="4" t="n">
        <f aca="false">ROUND(PMT(W610/1200,X610,-V610),2)</f>
        <v>9504.61</v>
      </c>
      <c r="AC610" s="4" t="n">
        <v>276000</v>
      </c>
      <c r="AD610" s="3"/>
      <c r="AE610" s="4" t="n">
        <v>22400</v>
      </c>
      <c r="AF610" s="4" t="n">
        <v>7100</v>
      </c>
      <c r="AG610" s="3" t="n">
        <v>24</v>
      </c>
      <c r="AH610" s="4" t="n">
        <v>7500</v>
      </c>
      <c r="AI610" s="3" t="n">
        <v>629</v>
      </c>
      <c r="AJ610" s="7" t="n">
        <f aca="false">ROUND(AB610/I610,4)</f>
        <v>1.1881</v>
      </c>
      <c r="AK610" s="2" t="str">
        <f aca="false">IF(AND(AI610&gt;=750,AJ610&lt;=0.35),"Low",IF(AND(AI610&gt;=600,AJ610&lt;=0.5),"Medium","High"))</f>
        <v>High</v>
      </c>
      <c r="AL610" s="3"/>
      <c r="AM610" s="2" t="s">
        <v>58</v>
      </c>
      <c r="AN610" s="2"/>
      <c r="AO610" s="2" t="s">
        <v>127</v>
      </c>
      <c r="AP610" s="7" t="n">
        <v>0.323</v>
      </c>
    </row>
    <row r="611" customFormat="false" ht="15" hidden="false" customHeight="false" outlineLevel="0" collapsed="false">
      <c r="A611" s="2" t="s">
        <v>2417</v>
      </c>
      <c r="B611" s="2" t="s">
        <v>2418</v>
      </c>
      <c r="C611" s="2" t="s">
        <v>917</v>
      </c>
      <c r="D611" s="2" t="s">
        <v>45</v>
      </c>
      <c r="E611" s="3" t="n">
        <v>31</v>
      </c>
      <c r="F611" s="2" t="s">
        <v>175</v>
      </c>
      <c r="G611" s="2" t="s">
        <v>145</v>
      </c>
      <c r="H611" s="2" t="s">
        <v>111</v>
      </c>
      <c r="I611" s="4" t="n">
        <v>29500</v>
      </c>
      <c r="J611" s="2" t="s">
        <v>145</v>
      </c>
      <c r="K611" s="3" t="n">
        <v>6</v>
      </c>
      <c r="L611" s="2" t="s">
        <v>92</v>
      </c>
      <c r="M611" s="2" t="s">
        <v>92</v>
      </c>
      <c r="N611" s="2" t="s">
        <v>52</v>
      </c>
      <c r="O611" s="3" t="n">
        <v>0</v>
      </c>
      <c r="P611" s="2" t="s">
        <v>93</v>
      </c>
      <c r="Q611" s="2" t="s">
        <v>94</v>
      </c>
      <c r="R611" s="2" t="s">
        <v>95</v>
      </c>
      <c r="S611" s="2" t="s">
        <v>92</v>
      </c>
      <c r="T611" s="2" t="s">
        <v>2419</v>
      </c>
      <c r="U611" s="2" t="s">
        <v>192</v>
      </c>
      <c r="V611" s="4" t="n">
        <v>378000</v>
      </c>
      <c r="W611" s="5" t="n">
        <v>12.88</v>
      </c>
      <c r="X611" s="3" t="n">
        <v>66</v>
      </c>
      <c r="Y611" s="6" t="n">
        <v>46199</v>
      </c>
      <c r="Z611" s="6"/>
      <c r="AA611" s="6"/>
      <c r="AB611" s="4" t="n">
        <f aca="false">ROUND(PMT(W611/1200,X611,-V611),2)</f>
        <v>8022.84</v>
      </c>
      <c r="AC611" s="4" t="n">
        <v>396000</v>
      </c>
      <c r="AD611" s="3" t="n">
        <v>1</v>
      </c>
      <c r="AE611" s="4"/>
      <c r="AF611" s="4" t="n">
        <v>49600</v>
      </c>
      <c r="AG611" s="3" t="n">
        <v>31</v>
      </c>
      <c r="AH611" s="4" t="n">
        <v>10300</v>
      </c>
      <c r="AI611" s="3" t="n">
        <v>689</v>
      </c>
      <c r="AJ611" s="7" t="n">
        <f aca="false">ROUND(AB611/I611,4)</f>
        <v>0.272</v>
      </c>
      <c r="AK611" s="2" t="str">
        <f aca="false">IF(AND(AI611&gt;=750,AJ611&lt;=0.35),"Low",IF(AND(AI611&gt;=600,AJ611&lt;=0.5),"Medium","High"))</f>
        <v>Medium</v>
      </c>
      <c r="AL611" s="3" t="n">
        <v>4</v>
      </c>
      <c r="AM611" s="2" t="s">
        <v>58</v>
      </c>
      <c r="AN611" s="2"/>
      <c r="AO611" s="2" t="s">
        <v>134</v>
      </c>
      <c r="AP611" s="7" t="n">
        <v>0.328</v>
      </c>
    </row>
    <row r="612" customFormat="false" ht="15" hidden="false" customHeight="false" outlineLevel="0" collapsed="false">
      <c r="A612" s="2" t="s">
        <v>2420</v>
      </c>
      <c r="B612" s="2" t="s">
        <v>2421</v>
      </c>
      <c r="C612" s="2" t="s">
        <v>2422</v>
      </c>
      <c r="D612" s="2" t="s">
        <v>45</v>
      </c>
      <c r="E612" s="3" t="n">
        <v>44</v>
      </c>
      <c r="F612" s="2" t="s">
        <v>64</v>
      </c>
      <c r="G612" s="2"/>
      <c r="H612" s="2" t="s">
        <v>48</v>
      </c>
      <c r="I612" s="4" t="n">
        <v>49500</v>
      </c>
      <c r="J612" s="2" t="s">
        <v>145</v>
      </c>
      <c r="K612" s="3" t="n">
        <v>24</v>
      </c>
      <c r="L612" s="2" t="s">
        <v>416</v>
      </c>
      <c r="M612" s="2" t="s">
        <v>147</v>
      </c>
      <c r="N612" s="2" t="s">
        <v>52</v>
      </c>
      <c r="O612" s="3" t="n">
        <v>3</v>
      </c>
      <c r="P612" s="2" t="s">
        <v>209</v>
      </c>
      <c r="Q612" s="2" t="s">
        <v>210</v>
      </c>
      <c r="R612" s="2" t="s">
        <v>211</v>
      </c>
      <c r="S612" s="2" t="s">
        <v>147</v>
      </c>
      <c r="T612" s="2" t="s">
        <v>2423</v>
      </c>
      <c r="U612" s="2" t="s">
        <v>85</v>
      </c>
      <c r="V612" s="4" t="n">
        <v>617000</v>
      </c>
      <c r="W612" s="5" t="n">
        <v>9.7</v>
      </c>
      <c r="X612" s="3" t="n">
        <v>36</v>
      </c>
      <c r="Y612" s="6" t="n">
        <v>46182</v>
      </c>
      <c r="Z612" s="6" t="n">
        <v>46192</v>
      </c>
      <c r="AA612" s="6" t="n">
        <v>46198</v>
      </c>
      <c r="AB612" s="4" t="n">
        <f aca="false">ROUND(PMT(W612/1200,X612,-V612),2)</f>
        <v>19822.06</v>
      </c>
      <c r="AC612" s="4" t="n">
        <v>0</v>
      </c>
      <c r="AD612" s="3"/>
      <c r="AE612" s="4" t="n">
        <v>38800</v>
      </c>
      <c r="AF612" s="4" t="n">
        <v>4300</v>
      </c>
      <c r="AG612" s="3" t="n">
        <v>32</v>
      </c>
      <c r="AH612" s="4" t="n">
        <v>39700</v>
      </c>
      <c r="AI612" s="3" t="n">
        <v>789</v>
      </c>
      <c r="AJ612" s="7" t="n">
        <f aca="false">ROUND(AB612/I612,4)</f>
        <v>0.4004</v>
      </c>
      <c r="AK612" s="2" t="str">
        <f aca="false">IF(AND(AI612&gt;=750,AJ612&lt;=0.35),"Low",IF(AND(AI612&gt;=600,AJ612&lt;=0.5),"Medium","High"))</f>
        <v>Medium</v>
      </c>
      <c r="AL612" s="3" t="n">
        <v>1</v>
      </c>
      <c r="AM612" s="2" t="s">
        <v>58</v>
      </c>
      <c r="AN612" s="2" t="s">
        <v>119</v>
      </c>
      <c r="AO612" s="2" t="s">
        <v>60</v>
      </c>
      <c r="AP612" s="7" t="n">
        <v>0.14</v>
      </c>
    </row>
    <row r="613" customFormat="false" ht="15" hidden="false" customHeight="false" outlineLevel="0" collapsed="false">
      <c r="A613" s="2" t="s">
        <v>2424</v>
      </c>
      <c r="B613" s="2" t="s">
        <v>2425</v>
      </c>
      <c r="C613" s="2" t="s">
        <v>2426</v>
      </c>
      <c r="D613" s="2" t="s">
        <v>45</v>
      </c>
      <c r="E613" s="3" t="n">
        <v>21</v>
      </c>
      <c r="F613" s="2" t="s">
        <v>64</v>
      </c>
      <c r="G613" s="2" t="s">
        <v>145</v>
      </c>
      <c r="H613" s="2" t="s">
        <v>48</v>
      </c>
      <c r="I613" s="4" t="n">
        <v>30000</v>
      </c>
      <c r="J613" s="2" t="s">
        <v>145</v>
      </c>
      <c r="K613" s="3" t="n">
        <v>0</v>
      </c>
      <c r="L613" s="2" t="s">
        <v>168</v>
      </c>
      <c r="M613" s="2" t="s">
        <v>92</v>
      </c>
      <c r="N613" s="2" t="s">
        <v>81</v>
      </c>
      <c r="O613" s="3" t="n">
        <v>4</v>
      </c>
      <c r="P613" s="2" t="s">
        <v>169</v>
      </c>
      <c r="Q613" s="2" t="s">
        <v>170</v>
      </c>
      <c r="R613" s="2" t="s">
        <v>92</v>
      </c>
      <c r="S613" s="2" t="s">
        <v>92</v>
      </c>
      <c r="T613" s="2" t="s">
        <v>2427</v>
      </c>
      <c r="U613" s="2" t="s">
        <v>97</v>
      </c>
      <c r="V613" s="4" t="n">
        <v>140000</v>
      </c>
      <c r="W613" s="5" t="n">
        <v>15.28</v>
      </c>
      <c r="X613" s="3" t="n">
        <v>18</v>
      </c>
      <c r="Y613" s="6" t="n">
        <v>46183</v>
      </c>
      <c r="Z613" s="6" t="n">
        <v>46184</v>
      </c>
      <c r="AA613" s="6" t="n">
        <v>46188</v>
      </c>
      <c r="AB613" s="4" t="n">
        <f aca="false">ROUND(PMT(W613/1200,X613,-V613),2)</f>
        <v>8752.33</v>
      </c>
      <c r="AC613" s="4" t="n">
        <v>0</v>
      </c>
      <c r="AD613" s="3" t="n">
        <v>2</v>
      </c>
      <c r="AE613" s="4" t="n">
        <v>73800</v>
      </c>
      <c r="AF613" s="4" t="n">
        <v>22100</v>
      </c>
      <c r="AG613" s="3" t="n">
        <v>13</v>
      </c>
      <c r="AH613" s="4" t="n">
        <v>25200</v>
      </c>
      <c r="AI613" s="3" t="n">
        <v>626</v>
      </c>
      <c r="AJ613" s="7" t="n">
        <f aca="false">ROUND(AB613/I613,4)</f>
        <v>0.2917</v>
      </c>
      <c r="AK613" s="2" t="str">
        <f aca="false">IF(AND(AI613&gt;=750,AJ613&lt;=0.35),"Low",IF(AND(AI613&gt;=600,AJ613&lt;=0.5),"Medium","High"))</f>
        <v>Medium</v>
      </c>
      <c r="AL613" s="3" t="n">
        <v>0</v>
      </c>
      <c r="AM613" s="2" t="s">
        <v>58</v>
      </c>
      <c r="AN613" s="2" t="s">
        <v>59</v>
      </c>
      <c r="AO613" s="2" t="s">
        <v>60</v>
      </c>
      <c r="AP613" s="7" t="n">
        <v>0.259</v>
      </c>
    </row>
    <row r="614" customFormat="false" ht="15" hidden="false" customHeight="false" outlineLevel="0" collapsed="false">
      <c r="A614" s="2" t="s">
        <v>2428</v>
      </c>
      <c r="B614" s="2" t="s">
        <v>2429</v>
      </c>
      <c r="C614" s="2" t="s">
        <v>2430</v>
      </c>
      <c r="D614" s="2" t="s">
        <v>45</v>
      </c>
      <c r="E614" s="3" t="n">
        <v>21</v>
      </c>
      <c r="F614" s="2" t="s">
        <v>64</v>
      </c>
      <c r="G614" s="2"/>
      <c r="H614" s="2" t="s">
        <v>101</v>
      </c>
      <c r="I614" s="4" t="n">
        <v>49000</v>
      </c>
      <c r="J614" s="2" t="s">
        <v>78</v>
      </c>
      <c r="K614" s="3" t="n">
        <v>0</v>
      </c>
      <c r="L614" s="2" t="s">
        <v>138</v>
      </c>
      <c r="M614" s="2" t="s">
        <v>139</v>
      </c>
      <c r="N614" s="2" t="s">
        <v>140</v>
      </c>
      <c r="O614" s="3" t="n">
        <v>1</v>
      </c>
      <c r="P614" s="2" t="s">
        <v>197</v>
      </c>
      <c r="Q614" s="2" t="s">
        <v>198</v>
      </c>
      <c r="R614" s="2" t="s">
        <v>139</v>
      </c>
      <c r="S614" s="2" t="s">
        <v>139</v>
      </c>
      <c r="T614" s="2" t="s">
        <v>2431</v>
      </c>
      <c r="U614" s="2" t="s">
        <v>180</v>
      </c>
      <c r="V614" s="4" t="n">
        <v>1345000</v>
      </c>
      <c r="W614" s="5" t="n">
        <v>9.75</v>
      </c>
      <c r="X614" s="3" t="n">
        <v>66</v>
      </c>
      <c r="Y614" s="6" t="n">
        <v>46196</v>
      </c>
      <c r="Z614" s="6"/>
      <c r="AA614" s="6"/>
      <c r="AB614" s="4" t="n">
        <f aca="false">ROUND(PMT(W614/1200,X614,-V614),2)</f>
        <v>26409.61</v>
      </c>
      <c r="AC614" s="4" t="n">
        <v>1751000</v>
      </c>
      <c r="AD614" s="3" t="n">
        <v>2</v>
      </c>
      <c r="AE614" s="4" t="n">
        <v>165600</v>
      </c>
      <c r="AF614" s="4" t="n">
        <v>35700</v>
      </c>
      <c r="AG614" s="3" t="n">
        <v>21</v>
      </c>
      <c r="AH614" s="4" t="n">
        <v>18600</v>
      </c>
      <c r="AI614" s="3" t="n">
        <v>618</v>
      </c>
      <c r="AJ614" s="7" t="n">
        <f aca="false">ROUND(AB614/I614,4)</f>
        <v>0.539</v>
      </c>
      <c r="AK614" s="2" t="str">
        <f aca="false">IF(AND(AI614&gt;=750,AJ614&lt;=0.35),"Low",IF(AND(AI614&gt;=600,AJ614&lt;=0.5),"Medium","High"))</f>
        <v>High</v>
      </c>
      <c r="AL614" s="3"/>
      <c r="AM614" s="2" t="s">
        <v>58</v>
      </c>
      <c r="AN614" s="2"/>
      <c r="AO614" s="2" t="s">
        <v>127</v>
      </c>
      <c r="AP614" s="7" t="n">
        <v>0.381</v>
      </c>
    </row>
    <row r="615" customFormat="false" ht="15" hidden="false" customHeight="false" outlineLevel="0" collapsed="false">
      <c r="A615" s="2" t="s">
        <v>2432</v>
      </c>
      <c r="B615" s="2" t="s">
        <v>1303</v>
      </c>
      <c r="C615" s="2" t="s">
        <v>2433</v>
      </c>
      <c r="D615" s="2" t="s">
        <v>45</v>
      </c>
      <c r="E615" s="3" t="n">
        <v>37</v>
      </c>
      <c r="F615" s="2" t="s">
        <v>434</v>
      </c>
      <c r="G615" s="2" t="s">
        <v>47</v>
      </c>
      <c r="H615" s="2" t="s">
        <v>48</v>
      </c>
      <c r="I615" s="4" t="n">
        <v>85500</v>
      </c>
      <c r="J615" s="2" t="s">
        <v>49</v>
      </c>
      <c r="K615" s="3" t="n">
        <v>13</v>
      </c>
      <c r="L615" s="2" t="s">
        <v>92</v>
      </c>
      <c r="M615" s="2" t="s">
        <v>92</v>
      </c>
      <c r="N615" s="2" t="s">
        <v>52</v>
      </c>
      <c r="O615" s="3" t="n">
        <v>0</v>
      </c>
      <c r="P615" s="2" t="s">
        <v>169</v>
      </c>
      <c r="Q615" s="2" t="s">
        <v>170</v>
      </c>
      <c r="R615" s="2" t="s">
        <v>92</v>
      </c>
      <c r="S615" s="2" t="s">
        <v>92</v>
      </c>
      <c r="T615" s="2" t="s">
        <v>2434</v>
      </c>
      <c r="U615" s="2" t="s">
        <v>118</v>
      </c>
      <c r="V615" s="4" t="n">
        <v>434000</v>
      </c>
      <c r="W615" s="5" t="n">
        <v>9.21</v>
      </c>
      <c r="X615" s="3" t="n">
        <v>18</v>
      </c>
      <c r="Y615" s="6" t="n">
        <v>46186</v>
      </c>
      <c r="Z615" s="6" t="n">
        <v>46191</v>
      </c>
      <c r="AA615" s="6" t="n">
        <v>46197</v>
      </c>
      <c r="AB615" s="4" t="n">
        <f aca="false">ROUND(PMT(W615/1200,X615,-V615),2)</f>
        <v>25907.18</v>
      </c>
      <c r="AC615" s="4" t="n">
        <v>0</v>
      </c>
      <c r="AD615" s="3" t="n">
        <v>1</v>
      </c>
      <c r="AE615" s="4" t="n">
        <v>300000</v>
      </c>
      <c r="AF615" s="4" t="n">
        <v>168700</v>
      </c>
      <c r="AG615" s="3" t="n">
        <v>20</v>
      </c>
      <c r="AH615" s="4" t="n">
        <v>82200</v>
      </c>
      <c r="AI615" s="3" t="n">
        <v>599</v>
      </c>
      <c r="AJ615" s="7" t="n">
        <f aca="false">ROUND(AB615/I615,4)</f>
        <v>0.303</v>
      </c>
      <c r="AK615" s="2" t="str">
        <f aca="false">IF(AND(AI615&gt;=750,AJ615&lt;=0.35),"Low",IF(AND(AI615&gt;=600,AJ615&lt;=0.5),"Medium","High"))</f>
        <v>High</v>
      </c>
      <c r="AL615" s="3" t="n">
        <v>2</v>
      </c>
      <c r="AM615" s="2" t="s">
        <v>58</v>
      </c>
      <c r="AN615" s="2" t="s">
        <v>119</v>
      </c>
      <c r="AO615" s="2" t="s">
        <v>60</v>
      </c>
      <c r="AP615" s="7" t="n">
        <v>0.33</v>
      </c>
    </row>
    <row r="616" customFormat="false" ht="15" hidden="false" customHeight="false" outlineLevel="0" collapsed="false">
      <c r="A616" s="2" t="s">
        <v>2435</v>
      </c>
      <c r="B616" s="2" t="s">
        <v>2436</v>
      </c>
      <c r="C616" s="2" t="s">
        <v>1844</v>
      </c>
      <c r="D616" s="2" t="s">
        <v>109</v>
      </c>
      <c r="E616" s="3" t="n">
        <v>24</v>
      </c>
      <c r="F616" s="2" t="s">
        <v>64</v>
      </c>
      <c r="G616" s="2" t="s">
        <v>65</v>
      </c>
      <c r="H616" s="2" t="s">
        <v>48</v>
      </c>
      <c r="I616" s="4" t="n">
        <v>26500</v>
      </c>
      <c r="J616" s="2" t="s">
        <v>49</v>
      </c>
      <c r="K616" s="3" t="n">
        <v>0</v>
      </c>
      <c r="L616" s="2" t="s">
        <v>220</v>
      </c>
      <c r="M616" s="2" t="s">
        <v>51</v>
      </c>
      <c r="N616" s="2" t="s">
        <v>52</v>
      </c>
      <c r="O616" s="3" t="n">
        <v>3</v>
      </c>
      <c r="P616" s="2" t="s">
        <v>131</v>
      </c>
      <c r="Q616" s="2" t="s">
        <v>132</v>
      </c>
      <c r="R616" s="2" t="s">
        <v>51</v>
      </c>
      <c r="S616" s="2" t="s">
        <v>51</v>
      </c>
      <c r="T616" s="2" t="s">
        <v>2437</v>
      </c>
      <c r="U616" s="2" t="s">
        <v>85</v>
      </c>
      <c r="V616" s="4" t="n">
        <v>309000</v>
      </c>
      <c r="W616" s="5" t="n">
        <v>10.04</v>
      </c>
      <c r="X616" s="3" t="n">
        <v>36</v>
      </c>
      <c r="Y616" s="6" t="n">
        <v>46196</v>
      </c>
      <c r="Z616" s="6"/>
      <c r="AA616" s="6"/>
      <c r="AB616" s="4" t="n">
        <f aca="false">ROUND(PMT(W616/1200,X616,-V616),2)</f>
        <v>9976.36</v>
      </c>
      <c r="AC616" s="4" t="n">
        <v>0</v>
      </c>
      <c r="AD616" s="3" t="n">
        <v>0</v>
      </c>
      <c r="AE616" s="4" t="n">
        <v>31400</v>
      </c>
      <c r="AF616" s="4" t="n">
        <v>11700</v>
      </c>
      <c r="AG616" s="3" t="n">
        <v>39</v>
      </c>
      <c r="AH616" s="4" t="n">
        <v>17600</v>
      </c>
      <c r="AI616" s="3" t="n">
        <v>780</v>
      </c>
      <c r="AJ616" s="7" t="n">
        <f aca="false">ROUND(AB616/I616,4)</f>
        <v>0.3765</v>
      </c>
      <c r="AK616" s="2" t="str">
        <f aca="false">IF(AND(AI616&gt;=750,AJ616&lt;=0.35),"Low",IF(AND(AI616&gt;=600,AJ616&lt;=0.5),"Medium","High"))</f>
        <v>Medium</v>
      </c>
      <c r="AL616" s="3" t="n">
        <v>3</v>
      </c>
      <c r="AM616" s="2" t="s">
        <v>58</v>
      </c>
      <c r="AN616" s="2"/>
      <c r="AO616" s="2" t="s">
        <v>127</v>
      </c>
      <c r="AP616" s="7" t="n">
        <v>0.174</v>
      </c>
    </row>
    <row r="617" customFormat="false" ht="15" hidden="false" customHeight="false" outlineLevel="0" collapsed="false">
      <c r="A617" s="2" t="s">
        <v>2438</v>
      </c>
      <c r="B617" s="2" t="s">
        <v>2439</v>
      </c>
      <c r="C617" s="2" t="s">
        <v>2440</v>
      </c>
      <c r="D617" s="2" t="s">
        <v>45</v>
      </c>
      <c r="E617" s="3" t="n">
        <v>47</v>
      </c>
      <c r="F617" s="2" t="s">
        <v>64</v>
      </c>
      <c r="G617" s="2" t="s">
        <v>207</v>
      </c>
      <c r="H617" s="2" t="s">
        <v>48</v>
      </c>
      <c r="I617" s="4" t="n">
        <v>49500</v>
      </c>
      <c r="J617" s="2" t="s">
        <v>49</v>
      </c>
      <c r="K617" s="3" t="n">
        <v>25</v>
      </c>
      <c r="L617" s="2" t="s">
        <v>95</v>
      </c>
      <c r="M617" s="2" t="s">
        <v>92</v>
      </c>
      <c r="N617" s="2" t="s">
        <v>52</v>
      </c>
      <c r="O617" s="3" t="n">
        <v>0</v>
      </c>
      <c r="P617" s="2" t="s">
        <v>93</v>
      </c>
      <c r="Q617" s="2" t="s">
        <v>94</v>
      </c>
      <c r="R617" s="2" t="s">
        <v>95</v>
      </c>
      <c r="S617" s="2" t="s">
        <v>92</v>
      </c>
      <c r="T617" s="2" t="s">
        <v>2441</v>
      </c>
      <c r="U617" s="2" t="s">
        <v>118</v>
      </c>
      <c r="V617" s="4" t="n">
        <v>260000</v>
      </c>
      <c r="W617" s="5" t="n">
        <v>9.64</v>
      </c>
      <c r="X617" s="3" t="n">
        <v>42</v>
      </c>
      <c r="Y617" s="6" t="n">
        <v>46184</v>
      </c>
      <c r="Z617" s="6" t="n">
        <v>46188</v>
      </c>
      <c r="AA617" s="6" t="n">
        <v>46189</v>
      </c>
      <c r="AB617" s="4" t="n">
        <f aca="false">ROUND(PMT(W617/1200,X617,-V617),2)</f>
        <v>7318.02</v>
      </c>
      <c r="AC617" s="4" t="n">
        <v>0</v>
      </c>
      <c r="AD617" s="3" t="n">
        <v>0</v>
      </c>
      <c r="AE617" s="4" t="n">
        <v>72400</v>
      </c>
      <c r="AF617" s="4" t="n">
        <v>12400</v>
      </c>
      <c r="AG617" s="3" t="n">
        <v>39</v>
      </c>
      <c r="AH617" s="4" t="n">
        <v>15000</v>
      </c>
      <c r="AI617" s="3" t="n">
        <v>876</v>
      </c>
      <c r="AJ617" s="7" t="n">
        <f aca="false">ROUND(AB617/I617,4)</f>
        <v>0.1478</v>
      </c>
      <c r="AK617" s="2" t="str">
        <f aca="false">IF(AND(AI617&gt;=750,AJ617&lt;=0.35),"Low",IF(AND(AI617&gt;=600,AJ617&lt;=0.5),"Medium","High"))</f>
        <v>Low</v>
      </c>
      <c r="AL617" s="3" t="n">
        <v>0</v>
      </c>
      <c r="AM617" s="2" t="s">
        <v>58</v>
      </c>
      <c r="AN617" s="2" t="s">
        <v>59</v>
      </c>
      <c r="AO617" s="2" t="s">
        <v>60</v>
      </c>
      <c r="AP617" s="7" t="n">
        <v>0.059</v>
      </c>
    </row>
    <row r="618" customFormat="false" ht="15" hidden="false" customHeight="false" outlineLevel="0" collapsed="false">
      <c r="A618" s="2" t="s">
        <v>2442</v>
      </c>
      <c r="B618" s="2" t="s">
        <v>2443</v>
      </c>
      <c r="C618" s="2" t="s">
        <v>2444</v>
      </c>
      <c r="D618" s="2" t="s">
        <v>109</v>
      </c>
      <c r="E618" s="3" t="n">
        <v>27</v>
      </c>
      <c r="F618" s="2" t="s">
        <v>64</v>
      </c>
      <c r="G618" s="2" t="s">
        <v>90</v>
      </c>
      <c r="H618" s="2" t="s">
        <v>123</v>
      </c>
      <c r="I618" s="4" t="n">
        <v>17500</v>
      </c>
      <c r="J618" s="2" t="s">
        <v>90</v>
      </c>
      <c r="K618" s="3" t="n">
        <v>2</v>
      </c>
      <c r="L618" s="2" t="s">
        <v>726</v>
      </c>
      <c r="M618" s="2" t="s">
        <v>147</v>
      </c>
      <c r="N618" s="2" t="s">
        <v>52</v>
      </c>
      <c r="O618" s="3" t="n">
        <v>2</v>
      </c>
      <c r="P618" s="2" t="s">
        <v>209</v>
      </c>
      <c r="Q618" s="2" t="s">
        <v>210</v>
      </c>
      <c r="R618" s="2" t="s">
        <v>211</v>
      </c>
      <c r="S618" s="2" t="s">
        <v>147</v>
      </c>
      <c r="T618" s="2" t="s">
        <v>2445</v>
      </c>
      <c r="U618" s="2" t="s">
        <v>85</v>
      </c>
      <c r="V618" s="4" t="n">
        <v>199000</v>
      </c>
      <c r="W618" s="5" t="n">
        <v>8.32</v>
      </c>
      <c r="X618" s="3" t="n">
        <v>30</v>
      </c>
      <c r="Y618" s="6" t="n">
        <v>46201</v>
      </c>
      <c r="Z618" s="6"/>
      <c r="AA618" s="6"/>
      <c r="AB618" s="4" t="n">
        <f aca="false">ROUND(PMT(W618/1200,X618,-V618),2)</f>
        <v>7369.98</v>
      </c>
      <c r="AC618" s="4" t="n">
        <v>0</v>
      </c>
      <c r="AD618" s="3" t="n">
        <v>0</v>
      </c>
      <c r="AE618" s="4" t="n">
        <v>35000</v>
      </c>
      <c r="AF618" s="4" t="n">
        <v>18700</v>
      </c>
      <c r="AG618" s="3" t="n">
        <v>28</v>
      </c>
      <c r="AH618" s="4"/>
      <c r="AI618" s="3" t="n">
        <v>661</v>
      </c>
      <c r="AJ618" s="7" t="n">
        <f aca="false">ROUND(AB618/I618,4)</f>
        <v>0.4211</v>
      </c>
      <c r="AK618" s="2" t="str">
        <f aca="false">IF(AND(AI618&gt;=750,AJ618&lt;=0.35),"Low",IF(AND(AI618&gt;=600,AJ618&lt;=0.5),"Medium","High"))</f>
        <v>Medium</v>
      </c>
      <c r="AL618" s="3" t="n">
        <v>3</v>
      </c>
      <c r="AM618" s="2" t="s">
        <v>233</v>
      </c>
      <c r="AN618" s="2"/>
      <c r="AO618" s="2" t="s">
        <v>127</v>
      </c>
      <c r="AP618" s="7" t="n">
        <v>0.433</v>
      </c>
    </row>
    <row r="619" customFormat="false" ht="15" hidden="false" customHeight="false" outlineLevel="0" collapsed="false">
      <c r="A619" s="2" t="s">
        <v>2446</v>
      </c>
      <c r="B619" s="2" t="s">
        <v>2447</v>
      </c>
      <c r="C619" s="2" t="s">
        <v>2448</v>
      </c>
      <c r="D619" s="2" t="s">
        <v>109</v>
      </c>
      <c r="E619" s="3" t="n">
        <v>46</v>
      </c>
      <c r="F619" s="2" t="s">
        <v>64</v>
      </c>
      <c r="G619" s="2"/>
      <c r="H619" s="2" t="s">
        <v>101</v>
      </c>
      <c r="I619" s="4" t="n">
        <v>66500</v>
      </c>
      <c r="J619" s="2" t="s">
        <v>49</v>
      </c>
      <c r="K619" s="3" t="n">
        <v>21</v>
      </c>
      <c r="L619" s="2" t="s">
        <v>55</v>
      </c>
      <c r="M619" s="2" t="s">
        <v>51</v>
      </c>
      <c r="N619" s="2" t="s">
        <v>52</v>
      </c>
      <c r="O619" s="3" t="n">
        <v>1</v>
      </c>
      <c r="P619" s="2" t="s">
        <v>53</v>
      </c>
      <c r="Q619" s="2" t="s">
        <v>54</v>
      </c>
      <c r="R619" s="2" t="s">
        <v>55</v>
      </c>
      <c r="S619" s="2" t="s">
        <v>51</v>
      </c>
      <c r="T619" s="2" t="s">
        <v>2449</v>
      </c>
      <c r="U619" s="2" t="s">
        <v>57</v>
      </c>
      <c r="V619" s="4" t="n">
        <v>2451000</v>
      </c>
      <c r="W619" s="5" t="n">
        <v>9.71</v>
      </c>
      <c r="X619" s="3" t="n">
        <v>198</v>
      </c>
      <c r="Y619" s="6" t="n">
        <v>46174</v>
      </c>
      <c r="Z619" s="6" t="n">
        <v>46184</v>
      </c>
      <c r="AA619" s="6" t="n">
        <v>46186</v>
      </c>
      <c r="AB619" s="4" t="n">
        <f aca="false">ROUND(PMT(W619/1200,X619,-V619),2)</f>
        <v>24876.86</v>
      </c>
      <c r="AC619" s="4" t="n">
        <v>3499000</v>
      </c>
      <c r="AD619" s="3" t="n">
        <v>1</v>
      </c>
      <c r="AE619" s="4" t="n">
        <v>47300</v>
      </c>
      <c r="AF619" s="4" t="n">
        <v>22400</v>
      </c>
      <c r="AG619" s="3" t="n">
        <v>33</v>
      </c>
      <c r="AH619" s="4" t="n">
        <v>50000</v>
      </c>
      <c r="AI619" s="3" t="n">
        <v>698</v>
      </c>
      <c r="AJ619" s="7" t="n">
        <f aca="false">ROUND(AB619/I619,4)</f>
        <v>0.3741</v>
      </c>
      <c r="AK619" s="2" t="str">
        <f aca="false">IF(AND(AI619&gt;=750,AJ619&lt;=0.35),"Low",IF(AND(AI619&gt;=600,AJ619&lt;=0.5),"Medium","High"))</f>
        <v>Medium</v>
      </c>
      <c r="AL619" s="3"/>
      <c r="AM619" s="2" t="s">
        <v>58</v>
      </c>
      <c r="AN619" s="2" t="s">
        <v>59</v>
      </c>
      <c r="AO619" s="2" t="s">
        <v>60</v>
      </c>
      <c r="AP619" s="7" t="n">
        <v>0.223</v>
      </c>
    </row>
    <row r="620" customFormat="false" ht="15" hidden="false" customHeight="false" outlineLevel="0" collapsed="false">
      <c r="A620" s="2" t="s">
        <v>2450</v>
      </c>
      <c r="B620" s="2" t="s">
        <v>2451</v>
      </c>
      <c r="C620" s="2" t="s">
        <v>292</v>
      </c>
      <c r="D620" s="2" t="s">
        <v>45</v>
      </c>
      <c r="E620" s="3" t="n">
        <v>21</v>
      </c>
      <c r="F620" s="2" t="s">
        <v>64</v>
      </c>
      <c r="G620" s="2" t="s">
        <v>145</v>
      </c>
      <c r="H620" s="2" t="s">
        <v>111</v>
      </c>
      <c r="I620" s="4" t="n">
        <v>18000</v>
      </c>
      <c r="J620" s="2" t="s">
        <v>145</v>
      </c>
      <c r="K620" s="3" t="n">
        <v>0</v>
      </c>
      <c r="L620" s="2" t="s">
        <v>481</v>
      </c>
      <c r="M620" s="2" t="s">
        <v>159</v>
      </c>
      <c r="N620" s="2" t="s">
        <v>52</v>
      </c>
      <c r="O620" s="3" t="n">
        <v>1</v>
      </c>
      <c r="P620" s="2" t="s">
        <v>68</v>
      </c>
      <c r="Q620" s="2" t="s">
        <v>69</v>
      </c>
      <c r="R620" s="2" t="s">
        <v>70</v>
      </c>
      <c r="S620" s="2" t="s">
        <v>67</v>
      </c>
      <c r="T620" s="2" t="s">
        <v>2452</v>
      </c>
      <c r="U620" s="2" t="s">
        <v>85</v>
      </c>
      <c r="V620" s="4" t="n">
        <v>175000</v>
      </c>
      <c r="W620" s="5" t="n">
        <v>10.08</v>
      </c>
      <c r="X620" s="3" t="n">
        <v>24</v>
      </c>
      <c r="Y620" s="6" t="n">
        <v>46179</v>
      </c>
      <c r="Z620" s="6"/>
      <c r="AA620" s="6"/>
      <c r="AB620" s="4" t="n">
        <f aca="false">ROUND(PMT(W620/1200,X620,-V620),2)</f>
        <v>8081.83</v>
      </c>
      <c r="AC620" s="4" t="n">
        <v>0</v>
      </c>
      <c r="AD620" s="3" t="n">
        <v>1</v>
      </c>
      <c r="AE620" s="4" t="n">
        <v>31500</v>
      </c>
      <c r="AF620" s="4" t="n">
        <v>16400</v>
      </c>
      <c r="AG620" s="3" t="n">
        <v>10</v>
      </c>
      <c r="AH620" s="4" t="n">
        <v>11900</v>
      </c>
      <c r="AI620" s="3" t="n">
        <v>691</v>
      </c>
      <c r="AJ620" s="7" t="n">
        <f aca="false">ROUND(AB620/I620,4)</f>
        <v>0.449</v>
      </c>
      <c r="AK620" s="2" t="str">
        <f aca="false">IF(AND(AI620&gt;=750,AJ620&lt;=0.35),"Low",IF(AND(AI620&gt;=600,AJ620&lt;=0.5),"Medium","High"))</f>
        <v>Medium</v>
      </c>
      <c r="AL620" s="3"/>
      <c r="AM620" s="2" t="s">
        <v>58</v>
      </c>
      <c r="AN620" s="2"/>
      <c r="AO620" s="2" t="s">
        <v>134</v>
      </c>
      <c r="AP620" s="7" t="n">
        <v>0.252</v>
      </c>
    </row>
    <row r="621" customFormat="false" ht="15" hidden="false" customHeight="false" outlineLevel="0" collapsed="false">
      <c r="A621" s="2" t="s">
        <v>2453</v>
      </c>
      <c r="B621" s="2" t="s">
        <v>1786</v>
      </c>
      <c r="C621" s="2" t="s">
        <v>2454</v>
      </c>
      <c r="D621" s="2" t="s">
        <v>45</v>
      </c>
      <c r="E621" s="3" t="n">
        <v>32</v>
      </c>
      <c r="F621" s="2" t="s">
        <v>46</v>
      </c>
      <c r="G621" s="2" t="s">
        <v>246</v>
      </c>
      <c r="H621" s="2" t="s">
        <v>77</v>
      </c>
      <c r="I621" s="4" t="n">
        <v>19000</v>
      </c>
      <c r="J621" s="2" t="s">
        <v>145</v>
      </c>
      <c r="K621" s="3" t="n">
        <v>6</v>
      </c>
      <c r="L621" s="2" t="s">
        <v>2455</v>
      </c>
      <c r="M621" s="2" t="s">
        <v>139</v>
      </c>
      <c r="N621" s="2" t="s">
        <v>52</v>
      </c>
      <c r="O621" s="3" t="n">
        <v>0</v>
      </c>
      <c r="P621" s="2" t="s">
        <v>197</v>
      </c>
      <c r="Q621" s="2" t="s">
        <v>198</v>
      </c>
      <c r="R621" s="2" t="s">
        <v>139</v>
      </c>
      <c r="S621" s="2" t="s">
        <v>139</v>
      </c>
      <c r="T621" s="2" t="s">
        <v>2456</v>
      </c>
      <c r="U621" s="2" t="s">
        <v>85</v>
      </c>
      <c r="V621" s="4" t="n">
        <v>91000</v>
      </c>
      <c r="W621" s="5" t="n">
        <v>8.11</v>
      </c>
      <c r="X621" s="3" t="n">
        <v>24</v>
      </c>
      <c r="Y621" s="6" t="n">
        <v>46183</v>
      </c>
      <c r="Z621" s="6"/>
      <c r="AA621" s="6"/>
      <c r="AB621" s="4" t="n">
        <f aca="false">ROUND(PMT(W621/1200,X621,-V621),2)</f>
        <v>4120.25</v>
      </c>
      <c r="AC621" s="4" t="n">
        <v>0</v>
      </c>
      <c r="AD621" s="3" t="n">
        <v>2</v>
      </c>
      <c r="AE621" s="4" t="n">
        <v>71400</v>
      </c>
      <c r="AF621" s="4" t="n">
        <v>22400</v>
      </c>
      <c r="AG621" s="3" t="n">
        <v>41</v>
      </c>
      <c r="AH621" s="4" t="n">
        <v>10700</v>
      </c>
      <c r="AI621" s="3" t="n">
        <v>604</v>
      </c>
      <c r="AJ621" s="7" t="n">
        <f aca="false">ROUND(AB621/I621,4)</f>
        <v>0.2169</v>
      </c>
      <c r="AK621" s="2" t="str">
        <f aca="false">IF(AND(AI621&gt;=750,AJ621&lt;=0.35),"Low",IF(AND(AI621&gt;=600,AJ621&lt;=0.5),"Medium","High"))</f>
        <v>Medium</v>
      </c>
      <c r="AL621" s="3" t="n">
        <v>5</v>
      </c>
      <c r="AM621" s="2" t="s">
        <v>58</v>
      </c>
      <c r="AN621" s="2"/>
      <c r="AO621" s="2" t="s">
        <v>127</v>
      </c>
      <c r="AP621" s="7" t="n">
        <v>0.457</v>
      </c>
    </row>
    <row r="622" customFormat="false" ht="15" hidden="false" customHeight="false" outlineLevel="0" collapsed="false">
      <c r="A622" s="2" t="s">
        <v>2457</v>
      </c>
      <c r="B622" s="2" t="s">
        <v>2458</v>
      </c>
      <c r="C622" s="2" t="s">
        <v>1199</v>
      </c>
      <c r="D622" s="2" t="s">
        <v>109</v>
      </c>
      <c r="E622" s="3" t="n">
        <v>33</v>
      </c>
      <c r="F622" s="2" t="s">
        <v>46</v>
      </c>
      <c r="G622" s="2" t="s">
        <v>207</v>
      </c>
      <c r="H622" s="2" t="s">
        <v>101</v>
      </c>
      <c r="I622" s="4" t="n">
        <v>888760</v>
      </c>
      <c r="J622" s="2" t="s">
        <v>49</v>
      </c>
      <c r="K622" s="3" t="n">
        <v>6</v>
      </c>
      <c r="L622" s="2" t="s">
        <v>533</v>
      </c>
      <c r="M622" s="2" t="s">
        <v>114</v>
      </c>
      <c r="N622" s="2" t="s">
        <v>52</v>
      </c>
      <c r="O622" s="3" t="n">
        <v>0</v>
      </c>
      <c r="P622" s="2" t="s">
        <v>115</v>
      </c>
      <c r="Q622" s="2" t="s">
        <v>116</v>
      </c>
      <c r="R622" s="2" t="s">
        <v>114</v>
      </c>
      <c r="S622" s="2" t="s">
        <v>114</v>
      </c>
      <c r="T622" s="2" t="s">
        <v>2459</v>
      </c>
      <c r="U622" s="2" t="s">
        <v>192</v>
      </c>
      <c r="V622" s="4" t="n">
        <v>200000</v>
      </c>
      <c r="W622" s="5" t="n">
        <v>12.71</v>
      </c>
      <c r="X622" s="3" t="n">
        <v>12</v>
      </c>
      <c r="Y622" s="6" t="n">
        <v>46178</v>
      </c>
      <c r="Z622" s="6"/>
      <c r="AA622" s="6"/>
      <c r="AB622" s="4" t="n">
        <f aca="false">ROUND(PMT(W622/1200,X622,-V622),2)</f>
        <v>17836.25</v>
      </c>
      <c r="AC622" s="4" t="n">
        <v>276000</v>
      </c>
      <c r="AD622" s="3" t="n">
        <v>0</v>
      </c>
      <c r="AE622" s="4" t="n">
        <v>22800</v>
      </c>
      <c r="AF622" s="4" t="n">
        <v>4700</v>
      </c>
      <c r="AG622" s="3" t="n">
        <v>44</v>
      </c>
      <c r="AH622" s="4" t="n">
        <v>12000</v>
      </c>
      <c r="AI622" s="3" t="n">
        <v>693</v>
      </c>
      <c r="AJ622" s="7" t="n">
        <f aca="false">ROUND(AB622/I622,4)</f>
        <v>0.0201</v>
      </c>
      <c r="AK622" s="2" t="str">
        <f aca="false">IF(AND(AI622&gt;=750,AJ622&lt;=0.35),"Low",IF(AND(AI622&gt;=600,AJ622&lt;=0.5),"Medium","High"))</f>
        <v>Medium</v>
      </c>
      <c r="AL622" s="3" t="n">
        <v>1</v>
      </c>
      <c r="AM622" s="2" t="s">
        <v>58</v>
      </c>
      <c r="AN622" s="2"/>
      <c r="AO622" s="2" t="s">
        <v>127</v>
      </c>
      <c r="AP622" s="7" t="n">
        <v>0.318</v>
      </c>
    </row>
    <row r="623" customFormat="false" ht="15" hidden="false" customHeight="false" outlineLevel="0" collapsed="false">
      <c r="A623" s="2" t="s">
        <v>2460</v>
      </c>
      <c r="B623" s="2" t="s">
        <v>2461</v>
      </c>
      <c r="C623" s="2" t="s">
        <v>2462</v>
      </c>
      <c r="D623" s="2" t="s">
        <v>45</v>
      </c>
      <c r="E623" s="3" t="n">
        <v>47</v>
      </c>
      <c r="F623" s="2" t="s">
        <v>64</v>
      </c>
      <c r="G623" s="2" t="s">
        <v>47</v>
      </c>
      <c r="H623" s="2" t="s">
        <v>48</v>
      </c>
      <c r="I623" s="4" t="n">
        <v>71000</v>
      </c>
      <c r="J623" s="2" t="s">
        <v>49</v>
      </c>
      <c r="K623" s="3" t="n">
        <v>24</v>
      </c>
      <c r="L623" s="2" t="s">
        <v>211</v>
      </c>
      <c r="M623" s="2" t="s">
        <v>147</v>
      </c>
      <c r="N623" s="2" t="s">
        <v>140</v>
      </c>
      <c r="O623" s="3" t="n">
        <v>2</v>
      </c>
      <c r="P623" s="2" t="s">
        <v>209</v>
      </c>
      <c r="Q623" s="2" t="s">
        <v>210</v>
      </c>
      <c r="R623" s="2" t="s">
        <v>211</v>
      </c>
      <c r="S623" s="2" t="s">
        <v>147</v>
      </c>
      <c r="T623" s="2" t="s">
        <v>2463</v>
      </c>
      <c r="U623" s="2" t="s">
        <v>72</v>
      </c>
      <c r="V623" s="4" t="n">
        <v>1057000</v>
      </c>
      <c r="W623" s="5" t="n">
        <v>12.46</v>
      </c>
      <c r="X623" s="3" t="n">
        <v>72</v>
      </c>
      <c r="Y623" s="6" t="n">
        <v>46191</v>
      </c>
      <c r="Z623" s="6" t="n">
        <v>46195</v>
      </c>
      <c r="AA623" s="6" t="n">
        <v>46197</v>
      </c>
      <c r="AB623" s="4" t="n">
        <f aca="false">ROUND(PMT(W623/1200,X623,-V623),2)</f>
        <v>20918.27</v>
      </c>
      <c r="AC623" s="4" t="n">
        <v>1450000</v>
      </c>
      <c r="AD623" s="3" t="n">
        <v>0</v>
      </c>
      <c r="AE623" s="4" t="n">
        <v>100600</v>
      </c>
      <c r="AF623" s="4" t="n">
        <v>59300</v>
      </c>
      <c r="AG623" s="3"/>
      <c r="AH623" s="4" t="n">
        <v>66600</v>
      </c>
      <c r="AI623" s="3" t="n">
        <v>670</v>
      </c>
      <c r="AJ623" s="7" t="n">
        <f aca="false">ROUND(AB623/I623,4)</f>
        <v>0.2946</v>
      </c>
      <c r="AK623" s="2" t="str">
        <f aca="false">IF(AND(AI623&gt;=750,AJ623&lt;=0.35),"Low",IF(AND(AI623&gt;=600,AJ623&lt;=0.5),"Medium","High"))</f>
        <v>Medium</v>
      </c>
      <c r="AL623" s="3" t="n">
        <v>2</v>
      </c>
      <c r="AM623" s="2" t="s">
        <v>58</v>
      </c>
      <c r="AN623" s="2" t="s">
        <v>59</v>
      </c>
      <c r="AO623" s="2" t="s">
        <v>60</v>
      </c>
      <c r="AP623" s="7" t="n">
        <v>0.239</v>
      </c>
    </row>
    <row r="624" customFormat="false" ht="15" hidden="false" customHeight="false" outlineLevel="0" collapsed="false">
      <c r="A624" s="2" t="s">
        <v>2464</v>
      </c>
      <c r="B624" s="2" t="s">
        <v>2465</v>
      </c>
      <c r="C624" s="2" t="s">
        <v>2466</v>
      </c>
      <c r="D624" s="2" t="s">
        <v>45</v>
      </c>
      <c r="E624" s="3" t="n">
        <v>47</v>
      </c>
      <c r="F624" s="2" t="s">
        <v>64</v>
      </c>
      <c r="G624" s="2" t="s">
        <v>76</v>
      </c>
      <c r="H624" s="2" t="s">
        <v>101</v>
      </c>
      <c r="I624" s="4" t="n">
        <v>54500</v>
      </c>
      <c r="J624" s="2" t="s">
        <v>78</v>
      </c>
      <c r="K624" s="3" t="n">
        <v>19</v>
      </c>
      <c r="L624" s="2" t="s">
        <v>188</v>
      </c>
      <c r="M624" s="2" t="s">
        <v>51</v>
      </c>
      <c r="N624" s="2" t="s">
        <v>52</v>
      </c>
      <c r="O624" s="3" t="n">
        <v>2</v>
      </c>
      <c r="P624" s="2" t="s">
        <v>189</v>
      </c>
      <c r="Q624" s="2" t="s">
        <v>190</v>
      </c>
      <c r="R624" s="2" t="s">
        <v>188</v>
      </c>
      <c r="S624" s="2" t="s">
        <v>51</v>
      </c>
      <c r="T624" s="2" t="s">
        <v>2467</v>
      </c>
      <c r="U624" s="2" t="s">
        <v>118</v>
      </c>
      <c r="V624" s="4" t="n">
        <v>856000</v>
      </c>
      <c r="W624" s="5" t="n">
        <v>9.79</v>
      </c>
      <c r="X624" s="3" t="n">
        <v>84</v>
      </c>
      <c r="Y624" s="6" t="n">
        <v>46199</v>
      </c>
      <c r="Z624" s="6" t="n">
        <v>46207</v>
      </c>
      <c r="AA624" s="6" t="n">
        <v>46212</v>
      </c>
      <c r="AB624" s="4" t="n">
        <f aca="false">ROUND(PMT(W624/1200,X624,-V624),2)</f>
        <v>14117.91</v>
      </c>
      <c r="AC624" s="4" t="n">
        <v>0</v>
      </c>
      <c r="AD624" s="3" t="n">
        <v>0</v>
      </c>
      <c r="AE624" s="4" t="n">
        <v>180200</v>
      </c>
      <c r="AF624" s="4" t="n">
        <v>89100</v>
      </c>
      <c r="AG624" s="3" t="n">
        <v>16</v>
      </c>
      <c r="AH624" s="4" t="n">
        <v>49500</v>
      </c>
      <c r="AI624" s="3" t="n">
        <v>767</v>
      </c>
      <c r="AJ624" s="7" t="n">
        <f aca="false">ROUND(AB624/I624,4)</f>
        <v>0.259</v>
      </c>
      <c r="AK624" s="2" t="str">
        <f aca="false">IF(AND(AI624&gt;=750,AJ624&lt;=0.35),"Low",IF(AND(AI624&gt;=600,AJ624&lt;=0.5),"Medium","High"))</f>
        <v>Low</v>
      </c>
      <c r="AL624" s="3" t="n">
        <v>0</v>
      </c>
      <c r="AM624" s="2" t="s">
        <v>58</v>
      </c>
      <c r="AN624" s="2" t="s">
        <v>59</v>
      </c>
      <c r="AO624" s="2" t="s">
        <v>60</v>
      </c>
      <c r="AP624" s="7" t="n">
        <v>0.16</v>
      </c>
    </row>
    <row r="625" customFormat="false" ht="15" hidden="false" customHeight="false" outlineLevel="0" collapsed="false">
      <c r="A625" s="2" t="s">
        <v>2468</v>
      </c>
      <c r="B625" s="2" t="s">
        <v>2469</v>
      </c>
      <c r="C625" s="2" t="s">
        <v>2470</v>
      </c>
      <c r="D625" s="2" t="s">
        <v>109</v>
      </c>
      <c r="E625" s="3" t="n">
        <v>31</v>
      </c>
      <c r="F625" s="2" t="s">
        <v>46</v>
      </c>
      <c r="G625" s="2" t="s">
        <v>166</v>
      </c>
      <c r="H625" s="2" t="s">
        <v>101</v>
      </c>
      <c r="I625" s="4" t="n">
        <v>79500</v>
      </c>
      <c r="J625" s="2" t="s">
        <v>145</v>
      </c>
      <c r="K625" s="3" t="n">
        <v>7</v>
      </c>
      <c r="L625" s="2" t="s">
        <v>147</v>
      </c>
      <c r="M625" s="2" t="s">
        <v>147</v>
      </c>
      <c r="N625" s="2"/>
      <c r="O625" s="3" t="n">
        <v>0</v>
      </c>
      <c r="P625" s="2" t="s">
        <v>148</v>
      </c>
      <c r="Q625" s="2" t="s">
        <v>149</v>
      </c>
      <c r="R625" s="2" t="s">
        <v>147</v>
      </c>
      <c r="S625" s="2" t="s">
        <v>147</v>
      </c>
      <c r="T625" s="2" t="s">
        <v>2471</v>
      </c>
      <c r="U625" s="2" t="s">
        <v>85</v>
      </c>
      <c r="V625" s="4" t="n">
        <v>341000</v>
      </c>
      <c r="W625" s="5" t="n">
        <v>8.37</v>
      </c>
      <c r="X625" s="3" t="n">
        <v>12</v>
      </c>
      <c r="Y625" s="6" t="n">
        <v>46191</v>
      </c>
      <c r="Z625" s="6" t="n">
        <v>46201</v>
      </c>
      <c r="AA625" s="6" t="n">
        <v>46207</v>
      </c>
      <c r="AB625" s="4" t="n">
        <f aca="false">ROUND(PMT(W625/1200,X625,-V625),2)</f>
        <v>29721.42</v>
      </c>
      <c r="AC625" s="4" t="n">
        <v>0</v>
      </c>
      <c r="AD625" s="3" t="n">
        <v>1</v>
      </c>
      <c r="AE625" s="4" t="n">
        <v>208900</v>
      </c>
      <c r="AF625" s="4" t="n">
        <v>31600</v>
      </c>
      <c r="AG625" s="3" t="n">
        <v>18</v>
      </c>
      <c r="AH625" s="4"/>
      <c r="AI625" s="3" t="n">
        <v>678</v>
      </c>
      <c r="AJ625" s="7" t="n">
        <f aca="false">ROUND(AB625/I625,4)</f>
        <v>0.3739</v>
      </c>
      <c r="AK625" s="2" t="str">
        <f aca="false">IF(AND(AI625&gt;=750,AJ625&lt;=0.35),"Low",IF(AND(AI625&gt;=600,AJ625&lt;=0.5),"Medium","High"))</f>
        <v>Medium</v>
      </c>
      <c r="AL625" s="3" t="n">
        <v>3</v>
      </c>
      <c r="AM625" s="2" t="s">
        <v>58</v>
      </c>
      <c r="AN625" s="2" t="s">
        <v>258</v>
      </c>
      <c r="AO625" s="2" t="s">
        <v>60</v>
      </c>
      <c r="AP625" s="7" t="n">
        <v>0.335</v>
      </c>
    </row>
    <row r="626" customFormat="false" ht="15" hidden="false" customHeight="false" outlineLevel="0" collapsed="false">
      <c r="A626" s="2" t="s">
        <v>2472</v>
      </c>
      <c r="B626" s="2" t="s">
        <v>2473</v>
      </c>
      <c r="C626" s="2" t="s">
        <v>1498</v>
      </c>
      <c r="D626" s="2" t="s">
        <v>45</v>
      </c>
      <c r="E626" s="3" t="n">
        <v>43</v>
      </c>
      <c r="F626" s="2" t="s">
        <v>46</v>
      </c>
      <c r="G626" s="2" t="s">
        <v>65</v>
      </c>
      <c r="H626" s="2" t="s">
        <v>101</v>
      </c>
      <c r="I626" s="4" t="n">
        <v>53500</v>
      </c>
      <c r="J626" s="2" t="s">
        <v>49</v>
      </c>
      <c r="K626" s="3" t="n">
        <v>16</v>
      </c>
      <c r="L626" s="2" t="s">
        <v>91</v>
      </c>
      <c r="M626" s="2" t="s">
        <v>92</v>
      </c>
      <c r="N626" s="2" t="s">
        <v>140</v>
      </c>
      <c r="O626" s="3" t="n">
        <v>0</v>
      </c>
      <c r="P626" s="2" t="s">
        <v>124</v>
      </c>
      <c r="Q626" s="2" t="s">
        <v>125</v>
      </c>
      <c r="R626" s="2" t="s">
        <v>91</v>
      </c>
      <c r="S626" s="2" t="s">
        <v>92</v>
      </c>
      <c r="T626" s="2" t="s">
        <v>2474</v>
      </c>
      <c r="U626" s="2" t="s">
        <v>97</v>
      </c>
      <c r="V626" s="4" t="n">
        <v>228000</v>
      </c>
      <c r="W626" s="5" t="n">
        <v>11.07</v>
      </c>
      <c r="X626" s="3" t="n">
        <v>18</v>
      </c>
      <c r="Y626" s="6" t="n">
        <v>46182</v>
      </c>
      <c r="Z626" s="6" t="n">
        <v>46192</v>
      </c>
      <c r="AA626" s="6" t="n">
        <v>46193</v>
      </c>
      <c r="AB626" s="4" t="n">
        <f aca="false">ROUND(PMT(W626/1200,X626,-V626),2)</f>
        <v>13805.61</v>
      </c>
      <c r="AC626" s="4" t="n">
        <v>0</v>
      </c>
      <c r="AD626" s="3" t="n">
        <v>0</v>
      </c>
      <c r="AE626" s="4" t="n">
        <v>118000</v>
      </c>
      <c r="AF626" s="4" t="n">
        <v>19900</v>
      </c>
      <c r="AG626" s="3" t="n">
        <v>6</v>
      </c>
      <c r="AH626" s="4" t="n">
        <v>44900</v>
      </c>
      <c r="AI626" s="3" t="n">
        <v>900</v>
      </c>
      <c r="AJ626" s="7" t="n">
        <f aca="false">ROUND(AB626/I626,4)</f>
        <v>0.258</v>
      </c>
      <c r="AK626" s="2" t="str">
        <f aca="false">IF(AND(AI626&gt;=750,AJ626&lt;=0.35),"Low",IF(AND(AI626&gt;=600,AJ626&lt;=0.5),"Medium","High"))</f>
        <v>Low</v>
      </c>
      <c r="AL626" s="3" t="n">
        <v>0</v>
      </c>
      <c r="AM626" s="2" t="s">
        <v>58</v>
      </c>
      <c r="AN626" s="2" t="s">
        <v>59</v>
      </c>
      <c r="AO626" s="2" t="s">
        <v>86</v>
      </c>
      <c r="AP626" s="7" t="n">
        <v>0.022</v>
      </c>
    </row>
    <row r="627" customFormat="false" ht="15" hidden="false" customHeight="false" outlineLevel="0" collapsed="false">
      <c r="A627" s="2" t="s">
        <v>2475</v>
      </c>
      <c r="B627" s="2" t="s">
        <v>347</v>
      </c>
      <c r="C627" s="2" t="s">
        <v>2476</v>
      </c>
      <c r="D627" s="2" t="s">
        <v>45</v>
      </c>
      <c r="E627" s="3" t="n">
        <v>21</v>
      </c>
      <c r="F627" s="2" t="s">
        <v>64</v>
      </c>
      <c r="G627" s="2" t="s">
        <v>166</v>
      </c>
      <c r="H627" s="2" t="s">
        <v>101</v>
      </c>
      <c r="I627" s="4" t="n">
        <v>166500</v>
      </c>
      <c r="J627" s="2" t="s">
        <v>145</v>
      </c>
      <c r="K627" s="3" t="n">
        <v>0</v>
      </c>
      <c r="L627" s="2" t="s">
        <v>481</v>
      </c>
      <c r="M627" s="2" t="s">
        <v>159</v>
      </c>
      <c r="N627" s="2" t="s">
        <v>81</v>
      </c>
      <c r="O627" s="3" t="n">
        <v>0</v>
      </c>
      <c r="P627" s="2" t="s">
        <v>103</v>
      </c>
      <c r="Q627" s="2" t="s">
        <v>104</v>
      </c>
      <c r="R627" s="2" t="s">
        <v>67</v>
      </c>
      <c r="S627" s="2" t="s">
        <v>67</v>
      </c>
      <c r="T627" s="2" t="s">
        <v>2477</v>
      </c>
      <c r="U627" s="2" t="s">
        <v>118</v>
      </c>
      <c r="V627" s="4" t="n">
        <v>1500000</v>
      </c>
      <c r="W627" s="5" t="n">
        <v>8.4</v>
      </c>
      <c r="X627" s="3" t="n">
        <v>36</v>
      </c>
      <c r="Y627" s="6" t="n">
        <v>46184</v>
      </c>
      <c r="Z627" s="6"/>
      <c r="AA627" s="6"/>
      <c r="AB627" s="4" t="n">
        <f aca="false">ROUND(PMT(W627/1200,X627,-V627),2)</f>
        <v>47281.83</v>
      </c>
      <c r="AC627" s="4" t="n">
        <v>0</v>
      </c>
      <c r="AD627" s="3" t="n">
        <v>0</v>
      </c>
      <c r="AE627" s="4" t="n">
        <v>522200</v>
      </c>
      <c r="AF627" s="4" t="n">
        <v>196700</v>
      </c>
      <c r="AG627" s="3" t="n">
        <v>32</v>
      </c>
      <c r="AH627" s="4" t="n">
        <v>98200</v>
      </c>
      <c r="AI627" s="3" t="n">
        <v>616</v>
      </c>
      <c r="AJ627" s="7" t="n">
        <f aca="false">ROUND(AB627/I627,4)</f>
        <v>0.284</v>
      </c>
      <c r="AK627" s="2" t="str">
        <f aca="false">IF(AND(AI627&gt;=750,AJ627&lt;=0.35),"Low",IF(AND(AI627&gt;=600,AJ627&lt;=0.5),"Medium","High"))</f>
        <v>Medium</v>
      </c>
      <c r="AL627" s="3" t="n">
        <v>2</v>
      </c>
      <c r="AM627" s="2" t="s">
        <v>58</v>
      </c>
      <c r="AN627" s="2"/>
      <c r="AO627" s="2" t="s">
        <v>127</v>
      </c>
      <c r="AP627" s="7" t="n">
        <v>0.369</v>
      </c>
    </row>
    <row r="628" customFormat="false" ht="15" hidden="false" customHeight="false" outlineLevel="0" collapsed="false">
      <c r="A628" s="2" t="s">
        <v>2478</v>
      </c>
      <c r="B628" s="2" t="s">
        <v>322</v>
      </c>
      <c r="C628" s="2" t="s">
        <v>2411</v>
      </c>
      <c r="D628" s="2" t="s">
        <v>45</v>
      </c>
      <c r="E628" s="3" t="n">
        <v>47</v>
      </c>
      <c r="F628" s="2" t="s">
        <v>64</v>
      </c>
      <c r="G628" s="2" t="s">
        <v>154</v>
      </c>
      <c r="H628" s="2" t="s">
        <v>101</v>
      </c>
      <c r="I628" s="4" t="n">
        <v>51000</v>
      </c>
      <c r="J628" s="2" t="s">
        <v>145</v>
      </c>
      <c r="K628" s="3" t="n">
        <v>22</v>
      </c>
      <c r="L628" s="2" t="s">
        <v>95</v>
      </c>
      <c r="M628" s="2" t="s">
        <v>92</v>
      </c>
      <c r="N628" s="2" t="s">
        <v>52</v>
      </c>
      <c r="O628" s="3" t="n">
        <v>0</v>
      </c>
      <c r="P628" s="2" t="s">
        <v>93</v>
      </c>
      <c r="Q628" s="2" t="s">
        <v>94</v>
      </c>
      <c r="R628" s="2" t="s">
        <v>95</v>
      </c>
      <c r="S628" s="2" t="s">
        <v>92</v>
      </c>
      <c r="T628" s="2" t="s">
        <v>2479</v>
      </c>
      <c r="U628" s="2" t="s">
        <v>72</v>
      </c>
      <c r="V628" s="4" t="n">
        <v>748000</v>
      </c>
      <c r="W628" s="5" t="n">
        <v>12.8</v>
      </c>
      <c r="X628" s="3" t="n">
        <v>78</v>
      </c>
      <c r="Y628" s="6" t="n">
        <v>46183</v>
      </c>
      <c r="Z628" s="6" t="n">
        <v>46191</v>
      </c>
      <c r="AA628" s="6" t="n">
        <v>46197</v>
      </c>
      <c r="AB628" s="4" t="n">
        <f aca="false">ROUND(PMT(W628/1200,X628,-V628),2)</f>
        <v>14174.21</v>
      </c>
      <c r="AC628" s="4" t="n">
        <v>954000</v>
      </c>
      <c r="AD628" s="3" t="n">
        <v>2</v>
      </c>
      <c r="AE628" s="4" t="n">
        <v>153000</v>
      </c>
      <c r="AF628" s="4" t="n">
        <v>69100</v>
      </c>
      <c r="AG628" s="3" t="n">
        <v>25</v>
      </c>
      <c r="AH628" s="4" t="n">
        <v>40400</v>
      </c>
      <c r="AI628" s="3" t="n">
        <v>735</v>
      </c>
      <c r="AJ628" s="7" t="n">
        <f aca="false">ROUND(AB628/I628,4)</f>
        <v>0.2779</v>
      </c>
      <c r="AK628" s="2" t="str">
        <f aca="false">IF(AND(AI628&gt;=750,AJ628&lt;=0.35),"Low",IF(AND(AI628&gt;=600,AJ628&lt;=0.5),"Medium","High"))</f>
        <v>Medium</v>
      </c>
      <c r="AL628" s="3" t="n">
        <v>1</v>
      </c>
      <c r="AM628" s="2" t="s">
        <v>58</v>
      </c>
      <c r="AN628" s="2" t="s">
        <v>59</v>
      </c>
      <c r="AO628" s="2" t="s">
        <v>60</v>
      </c>
      <c r="AP628" s="7" t="n">
        <v>0.177</v>
      </c>
    </row>
    <row r="629" customFormat="false" ht="15" hidden="false" customHeight="false" outlineLevel="0" collapsed="false">
      <c r="A629" s="2" t="s">
        <v>2480</v>
      </c>
      <c r="B629" s="2" t="s">
        <v>2481</v>
      </c>
      <c r="C629" s="2" t="s">
        <v>2358</v>
      </c>
      <c r="D629" s="2" t="s">
        <v>109</v>
      </c>
      <c r="E629" s="3" t="n">
        <v>21</v>
      </c>
      <c r="F629" s="2" t="s">
        <v>64</v>
      </c>
      <c r="G629" s="2" t="s">
        <v>110</v>
      </c>
      <c r="H629" s="2" t="s">
        <v>111</v>
      </c>
      <c r="I629" s="4" t="n">
        <v>10500</v>
      </c>
      <c r="J629" s="2" t="s">
        <v>112</v>
      </c>
      <c r="K629" s="3" t="n">
        <v>0</v>
      </c>
      <c r="L629" s="2" t="s">
        <v>92</v>
      </c>
      <c r="M629" s="2" t="s">
        <v>92</v>
      </c>
      <c r="N629" s="2" t="s">
        <v>140</v>
      </c>
      <c r="O629" s="3" t="n">
        <v>1</v>
      </c>
      <c r="P629" s="2" t="s">
        <v>124</v>
      </c>
      <c r="Q629" s="2" t="s">
        <v>125</v>
      </c>
      <c r="R629" s="2" t="s">
        <v>91</v>
      </c>
      <c r="S629" s="2" t="s">
        <v>92</v>
      </c>
      <c r="T629" s="2" t="s">
        <v>2482</v>
      </c>
      <c r="U629" s="2" t="s">
        <v>192</v>
      </c>
      <c r="V629" s="4" t="n">
        <v>200000</v>
      </c>
      <c r="W629" s="5" t="n">
        <v>11.41</v>
      </c>
      <c r="X629" s="3" t="n">
        <v>60</v>
      </c>
      <c r="Y629" s="6" t="n">
        <v>46186</v>
      </c>
      <c r="Z629" s="6" t="n">
        <v>46189</v>
      </c>
      <c r="AA629" s="6" t="n">
        <v>46192</v>
      </c>
      <c r="AB629" s="4" t="n">
        <f aca="false">ROUND(PMT(W629/1200,X629,-V629),2)</f>
        <v>4389.49</v>
      </c>
      <c r="AC629" s="4" t="n">
        <v>232000</v>
      </c>
      <c r="AD629" s="3" t="n">
        <v>2</v>
      </c>
      <c r="AE629" s="4" t="n">
        <v>33300</v>
      </c>
      <c r="AF629" s="4" t="n">
        <v>4500</v>
      </c>
      <c r="AG629" s="3" t="n">
        <v>32</v>
      </c>
      <c r="AH629" s="4" t="n">
        <v>3300</v>
      </c>
      <c r="AI629" s="3" t="n">
        <v>806</v>
      </c>
      <c r="AJ629" s="7" t="n">
        <f aca="false">ROUND(AB629/I629,4)</f>
        <v>0.418</v>
      </c>
      <c r="AK629" s="2" t="str">
        <f aca="false">IF(AND(AI629&gt;=750,AJ629&lt;=0.35),"Low",IF(AND(AI629&gt;=600,AJ629&lt;=0.5),"Medium","High"))</f>
        <v>Medium</v>
      </c>
      <c r="AL629" s="3" t="n">
        <v>0</v>
      </c>
      <c r="AM629" s="2" t="s">
        <v>58</v>
      </c>
      <c r="AN629" s="2" t="s">
        <v>59</v>
      </c>
      <c r="AO629" s="2" t="s">
        <v>60</v>
      </c>
      <c r="AP629" s="7" t="n">
        <v>0.111</v>
      </c>
    </row>
    <row r="630" customFormat="false" ht="15" hidden="false" customHeight="false" outlineLevel="0" collapsed="false">
      <c r="A630" s="2" t="s">
        <v>2483</v>
      </c>
      <c r="B630" s="2" t="s">
        <v>737</v>
      </c>
      <c r="C630" s="2" t="s">
        <v>2484</v>
      </c>
      <c r="D630" s="2" t="s">
        <v>45</v>
      </c>
      <c r="E630" s="3" t="n">
        <v>40</v>
      </c>
      <c r="F630" s="2"/>
      <c r="G630" s="2" t="s">
        <v>176</v>
      </c>
      <c r="H630" s="2" t="s">
        <v>77</v>
      </c>
      <c r="I630" s="4" t="n">
        <v>94000</v>
      </c>
      <c r="J630" s="2" t="s">
        <v>177</v>
      </c>
      <c r="K630" s="3" t="n">
        <v>22</v>
      </c>
      <c r="L630" s="2" t="s">
        <v>1378</v>
      </c>
      <c r="M630" s="2" t="s">
        <v>139</v>
      </c>
      <c r="N630" s="2" t="s">
        <v>52</v>
      </c>
      <c r="O630" s="3" t="n">
        <v>1</v>
      </c>
      <c r="P630" s="2" t="s">
        <v>197</v>
      </c>
      <c r="Q630" s="2" t="s">
        <v>198</v>
      </c>
      <c r="R630" s="2" t="s">
        <v>139</v>
      </c>
      <c r="S630" s="2" t="s">
        <v>139</v>
      </c>
      <c r="T630" s="2" t="s">
        <v>2485</v>
      </c>
      <c r="U630" s="2" t="s">
        <v>192</v>
      </c>
      <c r="V630" s="4" t="n">
        <v>873000</v>
      </c>
      <c r="W630" s="5" t="n">
        <v>11.94</v>
      </c>
      <c r="X630" s="3" t="n">
        <v>18</v>
      </c>
      <c r="Y630" s="6" t="n">
        <v>46182</v>
      </c>
      <c r="Z630" s="6"/>
      <c r="AA630" s="6"/>
      <c r="AB630" s="4" t="n">
        <f aca="false">ROUND(PMT(W630/1200,X630,-V630),2)</f>
        <v>53213</v>
      </c>
      <c r="AC630" s="4" t="n">
        <v>905000</v>
      </c>
      <c r="AD630" s="3" t="n">
        <v>1</v>
      </c>
      <c r="AE630" s="4" t="n">
        <v>305200</v>
      </c>
      <c r="AF630" s="4" t="n">
        <v>104600</v>
      </c>
      <c r="AG630" s="3" t="n">
        <v>8</v>
      </c>
      <c r="AH630" s="4" t="n">
        <v>53400</v>
      </c>
      <c r="AI630" s="3" t="n">
        <v>648</v>
      </c>
      <c r="AJ630" s="7" t="n">
        <f aca="false">ROUND(AB630/I630,4)</f>
        <v>0.5661</v>
      </c>
      <c r="AK630" s="2" t="str">
        <f aca="false">IF(AND(AI630&gt;=750,AJ630&lt;=0.35),"Low",IF(AND(AI630&gt;=600,AJ630&lt;=0.5),"Medium","High"))</f>
        <v>High</v>
      </c>
      <c r="AL630" s="3" t="n">
        <v>2</v>
      </c>
      <c r="AM630" s="2" t="s">
        <v>58</v>
      </c>
      <c r="AN630" s="2"/>
      <c r="AO630" s="2" t="s">
        <v>127</v>
      </c>
      <c r="AP630" s="7" t="n">
        <v>0.297</v>
      </c>
    </row>
    <row r="631" customFormat="false" ht="15" hidden="false" customHeight="false" outlineLevel="0" collapsed="false">
      <c r="A631" s="2" t="s">
        <v>2486</v>
      </c>
      <c r="B631" s="2" t="s">
        <v>2487</v>
      </c>
      <c r="C631" s="2" t="s">
        <v>2488</v>
      </c>
      <c r="D631" s="2" t="s">
        <v>109</v>
      </c>
      <c r="E631" s="3" t="n">
        <v>39</v>
      </c>
      <c r="F631" s="2" t="s">
        <v>46</v>
      </c>
      <c r="G631" s="2" t="s">
        <v>47</v>
      </c>
      <c r="H631" s="2" t="s">
        <v>48</v>
      </c>
      <c r="I631" s="4" t="n">
        <v>78000</v>
      </c>
      <c r="J631" s="2" t="s">
        <v>49</v>
      </c>
      <c r="K631" s="3" t="n">
        <v>16</v>
      </c>
      <c r="L631" s="2" t="s">
        <v>1378</v>
      </c>
      <c r="M631" s="2" t="s">
        <v>139</v>
      </c>
      <c r="N631" s="2" t="s">
        <v>140</v>
      </c>
      <c r="O631" s="3" t="n">
        <v>0</v>
      </c>
      <c r="P631" s="2" t="s">
        <v>197</v>
      </c>
      <c r="Q631" s="2" t="s">
        <v>198</v>
      </c>
      <c r="R631" s="2" t="s">
        <v>139</v>
      </c>
      <c r="S631" s="2" t="s">
        <v>139</v>
      </c>
      <c r="T631" s="2" t="s">
        <v>2489</v>
      </c>
      <c r="U631" s="2" t="s">
        <v>180</v>
      </c>
      <c r="V631" s="4" t="n">
        <v>637000</v>
      </c>
      <c r="W631" s="5" t="n">
        <v>9.73</v>
      </c>
      <c r="X631" s="3" t="n">
        <v>60</v>
      </c>
      <c r="Y631" s="6" t="n">
        <v>46184</v>
      </c>
      <c r="Z631" s="6" t="n">
        <v>46189</v>
      </c>
      <c r="AA631" s="6" t="n">
        <v>46194</v>
      </c>
      <c r="AB631" s="4" t="n">
        <f aca="false">ROUND(PMT(W631/1200,X631,-V631),2)</f>
        <v>13449.9</v>
      </c>
      <c r="AC631" s="4" t="n">
        <v>932000</v>
      </c>
      <c r="AD631" s="3" t="n">
        <v>2</v>
      </c>
      <c r="AE631" s="4" t="n">
        <v>250900</v>
      </c>
      <c r="AF631" s="4" t="n">
        <v>92200</v>
      </c>
      <c r="AG631" s="3" t="n">
        <v>37</v>
      </c>
      <c r="AH631" s="4" t="n">
        <v>73200</v>
      </c>
      <c r="AI631" s="3" t="n">
        <v>692</v>
      </c>
      <c r="AJ631" s="7" t="n">
        <f aca="false">ROUND(AB631/I631,4)</f>
        <v>0.1724</v>
      </c>
      <c r="AK631" s="2" t="str">
        <f aca="false">IF(AND(AI631&gt;=750,AJ631&lt;=0.35),"Low",IF(AND(AI631&gt;=600,AJ631&lt;=0.5),"Medium","High"))</f>
        <v>Medium</v>
      </c>
      <c r="AL631" s="3" t="n">
        <v>5</v>
      </c>
      <c r="AM631" s="2" t="s">
        <v>233</v>
      </c>
      <c r="AN631" s="2" t="s">
        <v>258</v>
      </c>
      <c r="AO631" s="2" t="s">
        <v>60</v>
      </c>
      <c r="AP631" s="7" t="n">
        <v>0.447</v>
      </c>
    </row>
    <row r="632" customFormat="false" ht="15" hidden="false" customHeight="false" outlineLevel="0" collapsed="false">
      <c r="A632" s="2" t="s">
        <v>2490</v>
      </c>
      <c r="B632" s="2" t="s">
        <v>1156</v>
      </c>
      <c r="C632" s="2" t="s">
        <v>2491</v>
      </c>
      <c r="D632" s="2" t="s">
        <v>45</v>
      </c>
      <c r="E632" s="3" t="n">
        <v>21</v>
      </c>
      <c r="F632" s="2" t="s">
        <v>46</v>
      </c>
      <c r="G632" s="2" t="s">
        <v>176</v>
      </c>
      <c r="H632" s="2" t="s">
        <v>48</v>
      </c>
      <c r="I632" s="4" t="n">
        <v>89500</v>
      </c>
      <c r="J632" s="2" t="s">
        <v>177</v>
      </c>
      <c r="K632" s="3" t="n">
        <v>0</v>
      </c>
      <c r="L632" s="2" t="s">
        <v>348</v>
      </c>
      <c r="M632" s="2" t="s">
        <v>67</v>
      </c>
      <c r="N632" s="2" t="s">
        <v>140</v>
      </c>
      <c r="O632" s="3" t="n">
        <v>0</v>
      </c>
      <c r="P632" s="2" t="s">
        <v>68</v>
      </c>
      <c r="Q632" s="2" t="s">
        <v>69</v>
      </c>
      <c r="R632" s="2" t="s">
        <v>70</v>
      </c>
      <c r="S632" s="2" t="s">
        <v>67</v>
      </c>
      <c r="T632" s="2" t="s">
        <v>2492</v>
      </c>
      <c r="U632" s="2" t="s">
        <v>192</v>
      </c>
      <c r="V632" s="4" t="n">
        <v>367000</v>
      </c>
      <c r="W632" s="5" t="n">
        <v>11.99</v>
      </c>
      <c r="X632" s="3" t="n">
        <v>12</v>
      </c>
      <c r="Y632" s="6" t="n">
        <v>46193</v>
      </c>
      <c r="Z632" s="6" t="n">
        <v>46198</v>
      </c>
      <c r="AA632" s="6" t="n">
        <v>46199</v>
      </c>
      <c r="AB632" s="4" t="n">
        <f aca="false">ROUND(PMT(W632/1200,X632,-V632),2)</f>
        <v>32605.79</v>
      </c>
      <c r="AC632" s="4" t="n">
        <v>434000</v>
      </c>
      <c r="AD632" s="3" t="n">
        <v>1</v>
      </c>
      <c r="AE632" s="4" t="n">
        <v>334200</v>
      </c>
      <c r="AF632" s="4" t="n">
        <v>46400</v>
      </c>
      <c r="AG632" s="3" t="n">
        <v>31</v>
      </c>
      <c r="AH632" s="4" t="n">
        <v>93400</v>
      </c>
      <c r="AI632" s="3" t="n">
        <v>699</v>
      </c>
      <c r="AJ632" s="7" t="n">
        <f aca="false">ROUND(AB632/I632,4)</f>
        <v>0.3643</v>
      </c>
      <c r="AK632" s="2" t="str">
        <f aca="false">IF(AND(AI632&gt;=750,AJ632&lt;=0.35),"Low",IF(AND(AI632&gt;=600,AJ632&lt;=0.5),"Medium","High"))</f>
        <v>Medium</v>
      </c>
      <c r="AL632" s="3"/>
      <c r="AM632" s="2" t="s">
        <v>233</v>
      </c>
      <c r="AN632" s="2" t="s">
        <v>119</v>
      </c>
      <c r="AO632" s="2" t="s">
        <v>60</v>
      </c>
      <c r="AP632" s="7" t="n">
        <v>0.316</v>
      </c>
    </row>
    <row r="633" customFormat="false" ht="15" hidden="false" customHeight="false" outlineLevel="0" collapsed="false">
      <c r="A633" s="2" t="s">
        <v>2493</v>
      </c>
      <c r="B633" s="2" t="s">
        <v>1566</v>
      </c>
      <c r="C633" s="2" t="s">
        <v>2494</v>
      </c>
      <c r="D633" s="2" t="s">
        <v>45</v>
      </c>
      <c r="E633" s="3" t="n">
        <v>26</v>
      </c>
      <c r="F633" s="2" t="s">
        <v>46</v>
      </c>
      <c r="G633" s="2" t="s">
        <v>166</v>
      </c>
      <c r="H633" s="2" t="s">
        <v>48</v>
      </c>
      <c r="I633" s="4" t="n">
        <v>157500</v>
      </c>
      <c r="J633" s="2" t="s">
        <v>145</v>
      </c>
      <c r="K633" s="3" t="n">
        <v>0</v>
      </c>
      <c r="L633" s="2" t="s">
        <v>231</v>
      </c>
      <c r="M633" s="2" t="s">
        <v>92</v>
      </c>
      <c r="N633" s="2" t="s">
        <v>52</v>
      </c>
      <c r="O633" s="3" t="n">
        <v>0</v>
      </c>
      <c r="P633" s="2" t="s">
        <v>229</v>
      </c>
      <c r="Q633" s="2" t="s">
        <v>230</v>
      </c>
      <c r="R633" s="2" t="s">
        <v>231</v>
      </c>
      <c r="S633" s="2" t="s">
        <v>92</v>
      </c>
      <c r="T633" s="2" t="s">
        <v>2495</v>
      </c>
      <c r="U633" s="2" t="s">
        <v>118</v>
      </c>
      <c r="V633" s="4" t="n">
        <v>1500000</v>
      </c>
      <c r="W633" s="5" t="n">
        <v>8.98</v>
      </c>
      <c r="X633" s="3" t="n">
        <v>36</v>
      </c>
      <c r="Y633" s="6" t="n">
        <v>46177</v>
      </c>
      <c r="Z633" s="6" t="n">
        <v>46185</v>
      </c>
      <c r="AA633" s="6" t="n">
        <v>46187</v>
      </c>
      <c r="AB633" s="4" t="n">
        <f aca="false">ROUND(PMT(W633/1200,X633,-V633),2)</f>
        <v>47685.64</v>
      </c>
      <c r="AC633" s="4" t="n">
        <v>0</v>
      </c>
      <c r="AD633" s="3" t="n">
        <v>1</v>
      </c>
      <c r="AE633" s="4" t="n">
        <v>240000</v>
      </c>
      <c r="AF633" s="4" t="n">
        <v>33800</v>
      </c>
      <c r="AG633" s="3" t="n">
        <v>38</v>
      </c>
      <c r="AH633" s="4" t="n">
        <v>48700</v>
      </c>
      <c r="AI633" s="3" t="n">
        <v>610</v>
      </c>
      <c r="AJ633" s="7" t="n">
        <f aca="false">ROUND(AB633/I633,4)</f>
        <v>0.3028</v>
      </c>
      <c r="AK633" s="2" t="str">
        <f aca="false">IF(AND(AI633&gt;=750,AJ633&lt;=0.35),"Low",IF(AND(AI633&gt;=600,AJ633&lt;=0.5),"Medium","High"))</f>
        <v>Medium</v>
      </c>
      <c r="AL633" s="3" t="n">
        <v>2</v>
      </c>
      <c r="AM633" s="2" t="s">
        <v>58</v>
      </c>
      <c r="AN633" s="2" t="s">
        <v>59</v>
      </c>
      <c r="AO633" s="2" t="s">
        <v>60</v>
      </c>
      <c r="AP633" s="7" t="n">
        <v>0.365</v>
      </c>
    </row>
    <row r="634" customFormat="false" ht="15" hidden="false" customHeight="false" outlineLevel="0" collapsed="false">
      <c r="A634" s="2" t="s">
        <v>2496</v>
      </c>
      <c r="B634" s="2" t="s">
        <v>1345</v>
      </c>
      <c r="C634" s="2" t="s">
        <v>2497</v>
      </c>
      <c r="D634" s="2" t="s">
        <v>109</v>
      </c>
      <c r="E634" s="3" t="n">
        <v>21</v>
      </c>
      <c r="F634" s="2" t="s">
        <v>64</v>
      </c>
      <c r="G634" s="2" t="s">
        <v>47</v>
      </c>
      <c r="H634" s="2"/>
      <c r="I634" s="4" t="n">
        <v>63000</v>
      </c>
      <c r="J634" s="2" t="s">
        <v>49</v>
      </c>
      <c r="K634" s="3"/>
      <c r="L634" s="2" t="s">
        <v>80</v>
      </c>
      <c r="M634" s="2" t="s">
        <v>80</v>
      </c>
      <c r="N634" s="2" t="s">
        <v>81</v>
      </c>
      <c r="O634" s="3" t="n">
        <v>2</v>
      </c>
      <c r="P634" s="2" t="s">
        <v>82</v>
      </c>
      <c r="Q634" s="2" t="s">
        <v>83</v>
      </c>
      <c r="R634" s="2" t="s">
        <v>80</v>
      </c>
      <c r="S634" s="2" t="s">
        <v>80</v>
      </c>
      <c r="T634" s="2" t="s">
        <v>2498</v>
      </c>
      <c r="U634" s="2" t="s">
        <v>118</v>
      </c>
      <c r="V634" s="4" t="n">
        <v>1351000</v>
      </c>
      <c r="W634" s="5" t="n">
        <v>9.6</v>
      </c>
      <c r="X634" s="3" t="n">
        <v>78</v>
      </c>
      <c r="Y634" s="6" t="n">
        <v>46179</v>
      </c>
      <c r="Z634" s="6" t="n">
        <v>46187</v>
      </c>
      <c r="AA634" s="6" t="n">
        <v>46192</v>
      </c>
      <c r="AB634" s="4" t="n">
        <f aca="false">ROUND(PMT(W634/1200,X634,-V634),2)</f>
        <v>23349.91</v>
      </c>
      <c r="AC634" s="4" t="n">
        <v>0</v>
      </c>
      <c r="AD634" s="3" t="n">
        <v>1</v>
      </c>
      <c r="AE634" s="4" t="n">
        <v>242900</v>
      </c>
      <c r="AF634" s="4"/>
      <c r="AG634" s="3" t="n">
        <v>3</v>
      </c>
      <c r="AH634" s="4" t="n">
        <v>55200</v>
      </c>
      <c r="AI634" s="3" t="n">
        <v>611</v>
      </c>
      <c r="AJ634" s="7" t="n">
        <f aca="false">ROUND(AB634/I634,4)</f>
        <v>0.3706</v>
      </c>
      <c r="AK634" s="2" t="str">
        <f aca="false">IF(AND(AI634&gt;=750,AJ634&lt;=0.35),"Low",IF(AND(AI634&gt;=600,AJ634&lt;=0.5),"Medium","High"))</f>
        <v>Medium</v>
      </c>
      <c r="AL634" s="3" t="n">
        <v>3</v>
      </c>
      <c r="AM634" s="2" t="s">
        <v>58</v>
      </c>
      <c r="AN634" s="2" t="s">
        <v>59</v>
      </c>
      <c r="AO634" s="2" t="s">
        <v>60</v>
      </c>
      <c r="AP634" s="7" t="n">
        <v>0.349</v>
      </c>
    </row>
    <row r="635" customFormat="false" ht="15" hidden="false" customHeight="false" outlineLevel="0" collapsed="false">
      <c r="A635" s="2" t="s">
        <v>2499</v>
      </c>
      <c r="B635" s="2" t="s">
        <v>2500</v>
      </c>
      <c r="C635" s="2" t="s">
        <v>2501</v>
      </c>
      <c r="D635" s="2" t="s">
        <v>109</v>
      </c>
      <c r="E635" s="3" t="n">
        <v>55</v>
      </c>
      <c r="F635" s="2" t="s">
        <v>64</v>
      </c>
      <c r="G635" s="2" t="s">
        <v>176</v>
      </c>
      <c r="H635" s="2" t="s">
        <v>123</v>
      </c>
      <c r="I635" s="4" t="n">
        <v>87000</v>
      </c>
      <c r="J635" s="2" t="s">
        <v>177</v>
      </c>
      <c r="K635" s="3" t="n">
        <v>29</v>
      </c>
      <c r="L635" s="2" t="s">
        <v>288</v>
      </c>
      <c r="M635" s="2" t="s">
        <v>147</v>
      </c>
      <c r="N635" s="2" t="s">
        <v>140</v>
      </c>
      <c r="O635" s="3" t="n">
        <v>1</v>
      </c>
      <c r="P635" s="2" t="s">
        <v>148</v>
      </c>
      <c r="Q635" s="2" t="s">
        <v>149</v>
      </c>
      <c r="R635" s="2" t="s">
        <v>147</v>
      </c>
      <c r="S635" s="2" t="s">
        <v>147</v>
      </c>
      <c r="T635" s="2" t="s">
        <v>2502</v>
      </c>
      <c r="U635" s="2" t="s">
        <v>118</v>
      </c>
      <c r="V635" s="4" t="n">
        <v>951000</v>
      </c>
      <c r="W635" s="5" t="n">
        <v>10.65</v>
      </c>
      <c r="X635" s="3" t="n">
        <v>42</v>
      </c>
      <c r="Y635" s="6" t="n">
        <v>46195</v>
      </c>
      <c r="Z635" s="6" t="n">
        <v>46203</v>
      </c>
      <c r="AA635" s="6" t="n">
        <v>46206</v>
      </c>
      <c r="AB635" s="4" t="n">
        <f aca="false">ROUND(PMT(W635/1200,X635,-V635),2)</f>
        <v>27223.67</v>
      </c>
      <c r="AC635" s="4" t="n">
        <v>0</v>
      </c>
      <c r="AD635" s="3" t="n">
        <v>1</v>
      </c>
      <c r="AE635" s="4" t="n">
        <v>284100</v>
      </c>
      <c r="AF635" s="4" t="n">
        <v>139700</v>
      </c>
      <c r="AG635" s="3" t="n">
        <v>33</v>
      </c>
      <c r="AH635" s="4" t="n">
        <v>33900</v>
      </c>
      <c r="AI635" s="3" t="n">
        <v>605</v>
      </c>
      <c r="AJ635" s="7" t="n">
        <f aca="false">ROUND(AB635/I635,4)</f>
        <v>0.3129</v>
      </c>
      <c r="AK635" s="2" t="str">
        <f aca="false">IF(AND(AI635&gt;=750,AJ635&lt;=0.35),"Low",IF(AND(AI635&gt;=600,AJ635&lt;=0.5),"Medium","High"))</f>
        <v>Medium</v>
      </c>
      <c r="AL635" s="3" t="n">
        <v>0</v>
      </c>
      <c r="AM635" s="2" t="s">
        <v>58</v>
      </c>
      <c r="AN635" s="2" t="s">
        <v>59</v>
      </c>
      <c r="AO635" s="2" t="s">
        <v>60</v>
      </c>
      <c r="AP635" s="7" t="n">
        <v>0.258</v>
      </c>
    </row>
    <row r="636" customFormat="false" ht="15" hidden="false" customHeight="false" outlineLevel="0" collapsed="false">
      <c r="A636" s="2" t="s">
        <v>2503</v>
      </c>
      <c r="B636" s="2" t="s">
        <v>577</v>
      </c>
      <c r="C636" s="2" t="s">
        <v>2504</v>
      </c>
      <c r="D636" s="2" t="s">
        <v>45</v>
      </c>
      <c r="E636" s="3" t="n">
        <v>39</v>
      </c>
      <c r="F636" s="2" t="s">
        <v>46</v>
      </c>
      <c r="G636" s="2" t="s">
        <v>166</v>
      </c>
      <c r="H636" s="2" t="s">
        <v>167</v>
      </c>
      <c r="I636" s="4" t="n">
        <v>213500</v>
      </c>
      <c r="J636" s="2" t="s">
        <v>145</v>
      </c>
      <c r="K636" s="3" t="n">
        <v>16</v>
      </c>
      <c r="L636" s="2" t="s">
        <v>70</v>
      </c>
      <c r="M636" s="2" t="s">
        <v>67</v>
      </c>
      <c r="N636" s="2" t="s">
        <v>140</v>
      </c>
      <c r="O636" s="3" t="n">
        <v>2</v>
      </c>
      <c r="P636" s="2" t="s">
        <v>68</v>
      </c>
      <c r="Q636" s="2" t="s">
        <v>69</v>
      </c>
      <c r="R636" s="2" t="s">
        <v>70</v>
      </c>
      <c r="S636" s="2" t="s">
        <v>67</v>
      </c>
      <c r="T636" s="2" t="s">
        <v>2505</v>
      </c>
      <c r="U636" s="2" t="s">
        <v>57</v>
      </c>
      <c r="V636" s="4" t="n">
        <v>2986000</v>
      </c>
      <c r="W636" s="5" t="n">
        <v>10.35</v>
      </c>
      <c r="X636" s="3" t="n">
        <v>138</v>
      </c>
      <c r="Y636" s="6" t="n">
        <v>46198</v>
      </c>
      <c r="Z636" s="6" t="n">
        <v>46201</v>
      </c>
      <c r="AA636" s="6" t="n">
        <v>46203</v>
      </c>
      <c r="AB636" s="4" t="n">
        <f aca="false">ROUND(PMT(W636/1200,X636,-V636),2)</f>
        <v>37093.91</v>
      </c>
      <c r="AC636" s="4" t="n">
        <v>3495000</v>
      </c>
      <c r="AD636" s="3" t="n">
        <v>0</v>
      </c>
      <c r="AE636" s="4" t="n">
        <v>713500</v>
      </c>
      <c r="AF636" s="4" t="n">
        <v>127000</v>
      </c>
      <c r="AG636" s="3" t="n">
        <v>56</v>
      </c>
      <c r="AH636" s="4" t="n">
        <v>199000</v>
      </c>
      <c r="AI636" s="3" t="n">
        <v>750</v>
      </c>
      <c r="AJ636" s="7" t="n">
        <f aca="false">ROUND(AB636/I636,4)</f>
        <v>0.1737</v>
      </c>
      <c r="AK636" s="2" t="str">
        <f aca="false">IF(AND(AI636&gt;=750,AJ636&lt;=0.35),"Low",IF(AND(AI636&gt;=600,AJ636&lt;=0.5),"Medium","High"))</f>
        <v>Low</v>
      </c>
      <c r="AL636" s="3" t="n">
        <v>1</v>
      </c>
      <c r="AM636" s="2" t="s">
        <v>58</v>
      </c>
      <c r="AN636" s="2" t="s">
        <v>59</v>
      </c>
      <c r="AO636" s="2" t="s">
        <v>60</v>
      </c>
      <c r="AP636" s="7" t="n">
        <v>0.175</v>
      </c>
    </row>
    <row r="637" customFormat="false" ht="15" hidden="false" customHeight="false" outlineLevel="0" collapsed="false">
      <c r="A637" s="2" t="s">
        <v>2506</v>
      </c>
      <c r="B637" s="2" t="s">
        <v>1363</v>
      </c>
      <c r="C637" s="2" t="s">
        <v>2507</v>
      </c>
      <c r="D637" s="2" t="s">
        <v>45</v>
      </c>
      <c r="E637" s="3" t="n">
        <v>48</v>
      </c>
      <c r="F637" s="2" t="s">
        <v>64</v>
      </c>
      <c r="G637" s="2" t="s">
        <v>90</v>
      </c>
      <c r="H637" s="2" t="s">
        <v>48</v>
      </c>
      <c r="I637" s="4" t="n">
        <v>39000</v>
      </c>
      <c r="J637" s="2" t="s">
        <v>90</v>
      </c>
      <c r="K637" s="3" t="n">
        <v>24</v>
      </c>
      <c r="L637" s="2" t="s">
        <v>220</v>
      </c>
      <c r="M637" s="2" t="s">
        <v>51</v>
      </c>
      <c r="N637" s="2" t="s">
        <v>52</v>
      </c>
      <c r="O637" s="3" t="n">
        <v>1</v>
      </c>
      <c r="P637" s="2" t="s">
        <v>53</v>
      </c>
      <c r="Q637" s="2" t="s">
        <v>54</v>
      </c>
      <c r="R637" s="2" t="s">
        <v>55</v>
      </c>
      <c r="S637" s="2" t="s">
        <v>51</v>
      </c>
      <c r="T637" s="2" t="s">
        <v>2508</v>
      </c>
      <c r="U637" s="2" t="s">
        <v>72</v>
      </c>
      <c r="V637" s="4" t="n">
        <v>704000</v>
      </c>
      <c r="W637" s="5" t="n">
        <v>13.6</v>
      </c>
      <c r="X637" s="3" t="n">
        <v>66</v>
      </c>
      <c r="Y637" s="6" t="n">
        <v>46184</v>
      </c>
      <c r="Z637" s="6" t="n">
        <v>46191</v>
      </c>
      <c r="AA637" s="6" t="n">
        <v>46196</v>
      </c>
      <c r="AB637" s="4" t="n">
        <f aca="false">ROUND(PMT(W637/1200,X637,-V637),2)</f>
        <v>15206.37</v>
      </c>
      <c r="AC637" s="4" t="n">
        <v>823000</v>
      </c>
      <c r="AD637" s="3" t="n">
        <v>1</v>
      </c>
      <c r="AE637" s="4" t="n">
        <v>102600</v>
      </c>
      <c r="AF637" s="4" t="n">
        <v>18100</v>
      </c>
      <c r="AG637" s="3" t="n">
        <v>30</v>
      </c>
      <c r="AH637" s="4" t="n">
        <v>37600</v>
      </c>
      <c r="AI637" s="3" t="n">
        <v>789</v>
      </c>
      <c r="AJ637" s="7" t="n">
        <f aca="false">ROUND(AB637/I637,4)</f>
        <v>0.3899</v>
      </c>
      <c r="AK637" s="2" t="str">
        <f aca="false">IF(AND(AI637&gt;=750,AJ637&lt;=0.35),"Low",IF(AND(AI637&gt;=600,AJ637&lt;=0.5),"Medium","High"))</f>
        <v>Medium</v>
      </c>
      <c r="AL637" s="3" t="n">
        <v>0</v>
      </c>
      <c r="AM637" s="2" t="s">
        <v>58</v>
      </c>
      <c r="AN637" s="2" t="s">
        <v>59</v>
      </c>
      <c r="AO637" s="2" t="s">
        <v>60</v>
      </c>
      <c r="AP637" s="7" t="n">
        <v>0.122</v>
      </c>
    </row>
    <row r="638" customFormat="false" ht="15" hidden="false" customHeight="false" outlineLevel="0" collapsed="false">
      <c r="A638" s="2" t="s">
        <v>2509</v>
      </c>
      <c r="B638" s="2" t="s">
        <v>2510</v>
      </c>
      <c r="C638" s="2" t="s">
        <v>2511</v>
      </c>
      <c r="D638" s="2" t="s">
        <v>109</v>
      </c>
      <c r="E638" s="3" t="n">
        <v>23</v>
      </c>
      <c r="F638" s="2" t="s">
        <v>434</v>
      </c>
      <c r="G638" s="2" t="s">
        <v>76</v>
      </c>
      <c r="H638" s="2" t="s">
        <v>101</v>
      </c>
      <c r="I638" s="4" t="n">
        <v>38000</v>
      </c>
      <c r="J638" s="2" t="s">
        <v>78</v>
      </c>
      <c r="K638" s="3" t="n">
        <v>1</v>
      </c>
      <c r="L638" s="2" t="s">
        <v>1378</v>
      </c>
      <c r="M638" s="2" t="s">
        <v>139</v>
      </c>
      <c r="N638" s="2" t="s">
        <v>140</v>
      </c>
      <c r="O638" s="3" t="n">
        <v>1</v>
      </c>
      <c r="P638" s="2" t="s">
        <v>169</v>
      </c>
      <c r="Q638" s="2" t="s">
        <v>170</v>
      </c>
      <c r="R638" s="2" t="s">
        <v>92</v>
      </c>
      <c r="S638" s="2" t="s">
        <v>92</v>
      </c>
      <c r="T638" s="2" t="s">
        <v>2512</v>
      </c>
      <c r="U638" s="2" t="s">
        <v>180</v>
      </c>
      <c r="V638" s="4" t="n">
        <v>335000</v>
      </c>
      <c r="W638" s="5" t="n">
        <v>12.69</v>
      </c>
      <c r="X638" s="3" t="n">
        <v>42</v>
      </c>
      <c r="Y638" s="6" t="n">
        <v>46174</v>
      </c>
      <c r="Z638" s="6" t="n">
        <v>46181</v>
      </c>
      <c r="AA638" s="6" t="n">
        <v>46184</v>
      </c>
      <c r="AB638" s="4" t="n">
        <f aca="false">ROUND(PMT(W638/1200,X638,-V638),2)</f>
        <v>9919.61</v>
      </c>
      <c r="AC638" s="4" t="n">
        <v>486000</v>
      </c>
      <c r="AD638" s="3" t="n">
        <v>0</v>
      </c>
      <c r="AE638" s="4" t="n">
        <v>85600</v>
      </c>
      <c r="AF638" s="4" t="n">
        <v>29500</v>
      </c>
      <c r="AG638" s="3" t="n">
        <v>3</v>
      </c>
      <c r="AH638" s="4" t="n">
        <v>25300</v>
      </c>
      <c r="AI638" s="3" t="n">
        <v>568</v>
      </c>
      <c r="AJ638" s="7" t="n">
        <f aca="false">ROUND(AB638/I638,4)</f>
        <v>0.261</v>
      </c>
      <c r="AK638" s="2" t="str">
        <f aca="false">IF(AND(AI638&gt;=750,AJ638&lt;=0.35),"Low",IF(AND(AI638&gt;=600,AJ638&lt;=0.5),"Medium","High"))</f>
        <v>High</v>
      </c>
      <c r="AL638" s="3" t="n">
        <v>2</v>
      </c>
      <c r="AM638" s="2" t="s">
        <v>58</v>
      </c>
      <c r="AN638" s="2" t="s">
        <v>119</v>
      </c>
      <c r="AO638" s="2" t="s">
        <v>60</v>
      </c>
      <c r="AP638" s="7" t="n">
        <v>0.401</v>
      </c>
    </row>
    <row r="639" customFormat="false" ht="15" hidden="false" customHeight="false" outlineLevel="0" collapsed="false">
      <c r="A639" s="2" t="s">
        <v>2513</v>
      </c>
      <c r="B639" s="2" t="s">
        <v>1430</v>
      </c>
      <c r="C639" s="2" t="s">
        <v>633</v>
      </c>
      <c r="D639" s="2" t="s">
        <v>45</v>
      </c>
      <c r="E639" s="3" t="n">
        <v>45</v>
      </c>
      <c r="F639" s="2" t="s">
        <v>64</v>
      </c>
      <c r="G639" s="2" t="s">
        <v>65</v>
      </c>
      <c r="H639" s="2" t="s">
        <v>101</v>
      </c>
      <c r="I639" s="4" t="n">
        <v>45500</v>
      </c>
      <c r="J639" s="2" t="s">
        <v>49</v>
      </c>
      <c r="K639" s="3" t="n">
        <v>24</v>
      </c>
      <c r="L639" s="2" t="s">
        <v>231</v>
      </c>
      <c r="M639" s="2" t="s">
        <v>92</v>
      </c>
      <c r="N639" s="2"/>
      <c r="O639" s="3"/>
      <c r="P639" s="2" t="s">
        <v>93</v>
      </c>
      <c r="Q639" s="2" t="s">
        <v>94</v>
      </c>
      <c r="R639" s="2" t="s">
        <v>95</v>
      </c>
      <c r="S639" s="2" t="s">
        <v>92</v>
      </c>
      <c r="T639" s="2" t="s">
        <v>2514</v>
      </c>
      <c r="U639" s="2" t="s">
        <v>85</v>
      </c>
      <c r="V639" s="4" t="n">
        <v>347000</v>
      </c>
      <c r="W639" s="5" t="n">
        <v>7.89</v>
      </c>
      <c r="X639" s="3" t="n">
        <v>24</v>
      </c>
      <c r="Y639" s="6" t="n">
        <v>46182</v>
      </c>
      <c r="Z639" s="6"/>
      <c r="AA639" s="6"/>
      <c r="AB639" s="4" t="n">
        <f aca="false">ROUND(PMT(W639/1200,X639,-V639),2)</f>
        <v>15676.47</v>
      </c>
      <c r="AC639" s="4" t="n">
        <v>0</v>
      </c>
      <c r="AD639" s="3" t="n">
        <v>2</v>
      </c>
      <c r="AE639" s="4" t="n">
        <v>106800</v>
      </c>
      <c r="AF639" s="4" t="n">
        <v>32600</v>
      </c>
      <c r="AG639" s="3" t="n">
        <v>16</v>
      </c>
      <c r="AH639" s="4" t="n">
        <v>23400</v>
      </c>
      <c r="AI639" s="3" t="n">
        <v>733</v>
      </c>
      <c r="AJ639" s="7" t="n">
        <f aca="false">ROUND(AB639/I639,4)</f>
        <v>0.3445</v>
      </c>
      <c r="AK639" s="2" t="str">
        <f aca="false">IF(AND(AI639&gt;=750,AJ639&lt;=0.35),"Low",IF(AND(AI639&gt;=600,AJ639&lt;=0.5),"Medium","High"))</f>
        <v>Medium</v>
      </c>
      <c r="AL639" s="3" t="n">
        <v>1</v>
      </c>
      <c r="AM639" s="2" t="s">
        <v>58</v>
      </c>
      <c r="AN639" s="2"/>
      <c r="AO639" s="2" t="s">
        <v>134</v>
      </c>
      <c r="AP639" s="7" t="n">
        <v>0.238</v>
      </c>
    </row>
    <row r="640" customFormat="false" ht="15" hidden="false" customHeight="false" outlineLevel="0" collapsed="false">
      <c r="A640" s="2" t="s">
        <v>2515</v>
      </c>
      <c r="B640" s="2" t="s">
        <v>2516</v>
      </c>
      <c r="C640" s="2" t="s">
        <v>1381</v>
      </c>
      <c r="D640" s="2" t="s">
        <v>45</v>
      </c>
      <c r="E640" s="3" t="n">
        <v>47</v>
      </c>
      <c r="F640" s="2" t="s">
        <v>175</v>
      </c>
      <c r="G640" s="2" t="s">
        <v>207</v>
      </c>
      <c r="H640" s="2" t="s">
        <v>77</v>
      </c>
      <c r="I640" s="4" t="n">
        <v>55500</v>
      </c>
      <c r="J640" s="2" t="s">
        <v>49</v>
      </c>
      <c r="K640" s="3" t="n">
        <v>26</v>
      </c>
      <c r="L640" s="2" t="s">
        <v>92</v>
      </c>
      <c r="M640" s="2" t="s">
        <v>92</v>
      </c>
      <c r="N640" s="2" t="s">
        <v>102</v>
      </c>
      <c r="O640" s="3" t="n">
        <v>0</v>
      </c>
      <c r="P640" s="2" t="s">
        <v>169</v>
      </c>
      <c r="Q640" s="2" t="s">
        <v>170</v>
      </c>
      <c r="R640" s="2" t="s">
        <v>92</v>
      </c>
      <c r="S640" s="2" t="s">
        <v>92</v>
      </c>
      <c r="T640" s="2" t="s">
        <v>2517</v>
      </c>
      <c r="U640" s="2" t="s">
        <v>192</v>
      </c>
      <c r="V640" s="4" t="n">
        <v>637000</v>
      </c>
      <c r="W640" s="5" t="n">
        <v>14.01</v>
      </c>
      <c r="X640" s="3" t="n">
        <v>42</v>
      </c>
      <c r="Y640" s="6" t="n">
        <v>46201</v>
      </c>
      <c r="Z640" s="6" t="n">
        <v>46206</v>
      </c>
      <c r="AA640" s="6" t="n">
        <v>46211</v>
      </c>
      <c r="AB640" s="4" t="n">
        <f aca="false">ROUND(PMT(W640/1200,X640,-V640),2)</f>
        <v>19274.46</v>
      </c>
      <c r="AC640" s="4" t="n">
        <v>685000</v>
      </c>
      <c r="AD640" s="3" t="n">
        <v>1</v>
      </c>
      <c r="AE640" s="4" t="n">
        <v>189400</v>
      </c>
      <c r="AF640" s="4" t="n">
        <v>62400</v>
      </c>
      <c r="AG640" s="3" t="n">
        <v>22</v>
      </c>
      <c r="AH640" s="4" t="n">
        <v>43000</v>
      </c>
      <c r="AI640" s="3" t="n">
        <v>861</v>
      </c>
      <c r="AJ640" s="7" t="n">
        <f aca="false">ROUND(AB640/I640,4)</f>
        <v>0.3473</v>
      </c>
      <c r="AK640" s="2" t="str">
        <f aca="false">IF(AND(AI640&gt;=750,AJ640&lt;=0.35),"Low",IF(AND(AI640&gt;=600,AJ640&lt;=0.5),"Medium","High"))</f>
        <v>Low</v>
      </c>
      <c r="AL640" s="3" t="n">
        <v>0</v>
      </c>
      <c r="AM640" s="2" t="s">
        <v>58</v>
      </c>
      <c r="AN640" s="2" t="s">
        <v>59</v>
      </c>
      <c r="AO640" s="2" t="s">
        <v>60</v>
      </c>
      <c r="AP640" s="7" t="n">
        <v>0.155</v>
      </c>
    </row>
    <row r="641" customFormat="false" ht="15" hidden="false" customHeight="false" outlineLevel="0" collapsed="false">
      <c r="A641" s="2" t="s">
        <v>2518</v>
      </c>
      <c r="B641" s="2" t="s">
        <v>2519</v>
      </c>
      <c r="C641" s="2" t="s">
        <v>2213</v>
      </c>
      <c r="D641" s="2" t="s">
        <v>45</v>
      </c>
      <c r="E641" s="3" t="n">
        <v>47</v>
      </c>
      <c r="F641" s="2" t="s">
        <v>64</v>
      </c>
      <c r="G641" s="2" t="s">
        <v>76</v>
      </c>
      <c r="H641" s="2" t="s">
        <v>77</v>
      </c>
      <c r="I641" s="4" t="n">
        <v>28500</v>
      </c>
      <c r="J641" s="2" t="s">
        <v>78</v>
      </c>
      <c r="K641" s="3" t="n">
        <v>22</v>
      </c>
      <c r="L641" s="2" t="s">
        <v>297</v>
      </c>
      <c r="M641" s="2" t="s">
        <v>92</v>
      </c>
      <c r="N641" s="2" t="s">
        <v>81</v>
      </c>
      <c r="O641" s="3" t="n">
        <v>1</v>
      </c>
      <c r="P641" s="2" t="s">
        <v>93</v>
      </c>
      <c r="Q641" s="2" t="s">
        <v>94</v>
      </c>
      <c r="R641" s="2" t="s">
        <v>95</v>
      </c>
      <c r="S641" s="2" t="s">
        <v>92</v>
      </c>
      <c r="T641" s="2" t="s">
        <v>2520</v>
      </c>
      <c r="U641" s="2" t="s">
        <v>180</v>
      </c>
      <c r="V641" s="4" t="n">
        <v>531000</v>
      </c>
      <c r="W641" s="5" t="n">
        <v>10.48</v>
      </c>
      <c r="X641" s="3" t="n">
        <v>60</v>
      </c>
      <c r="Y641" s="6" t="n">
        <v>46179</v>
      </c>
      <c r="Z641" s="6" t="n">
        <v>46183</v>
      </c>
      <c r="AA641" s="6" t="n">
        <v>46187</v>
      </c>
      <c r="AB641" s="4" t="n">
        <f aca="false">ROUND(PMT(W641/1200,X641,-V641),2)</f>
        <v>11408</v>
      </c>
      <c r="AC641" s="4" t="n">
        <v>694000</v>
      </c>
      <c r="AD641" s="3" t="n">
        <v>2</v>
      </c>
      <c r="AE641" s="4" t="n">
        <v>26300</v>
      </c>
      <c r="AF641" s="4"/>
      <c r="AG641" s="3" t="n">
        <v>30</v>
      </c>
      <c r="AH641" s="4" t="n">
        <v>20100</v>
      </c>
      <c r="AI641" s="3" t="n">
        <v>701</v>
      </c>
      <c r="AJ641" s="7" t="n">
        <f aca="false">ROUND(AB641/I641,4)</f>
        <v>0.4003</v>
      </c>
      <c r="AK641" s="2" t="str">
        <f aca="false">IF(AND(AI641&gt;=750,AJ641&lt;=0.35),"Low",IF(AND(AI641&gt;=600,AJ641&lt;=0.5),"Medium","High"))</f>
        <v>Medium</v>
      </c>
      <c r="AL641" s="3" t="n">
        <v>1</v>
      </c>
      <c r="AM641" s="2" t="s">
        <v>58</v>
      </c>
      <c r="AN641" s="2" t="s">
        <v>59</v>
      </c>
      <c r="AO641" s="2" t="s">
        <v>60</v>
      </c>
      <c r="AP641" s="7" t="n">
        <v>0.231</v>
      </c>
    </row>
    <row r="642" customFormat="false" ht="15" hidden="false" customHeight="false" outlineLevel="0" collapsed="false">
      <c r="A642" s="2" t="s">
        <v>2521</v>
      </c>
      <c r="B642" s="2" t="s">
        <v>2522</v>
      </c>
      <c r="C642" s="2" t="s">
        <v>2523</v>
      </c>
      <c r="D642" s="2" t="s">
        <v>109</v>
      </c>
      <c r="E642" s="3" t="n">
        <v>46</v>
      </c>
      <c r="F642" s="2" t="s">
        <v>46</v>
      </c>
      <c r="G642" s="2" t="s">
        <v>76</v>
      </c>
      <c r="H642" s="2" t="s">
        <v>101</v>
      </c>
      <c r="I642" s="4" t="n">
        <v>59000</v>
      </c>
      <c r="J642" s="2" t="s">
        <v>78</v>
      </c>
      <c r="K642" s="3" t="n">
        <v>23</v>
      </c>
      <c r="L642" s="2" t="s">
        <v>569</v>
      </c>
      <c r="M642" s="2" t="s">
        <v>67</v>
      </c>
      <c r="N642" s="2" t="s">
        <v>140</v>
      </c>
      <c r="O642" s="3" t="n">
        <v>1</v>
      </c>
      <c r="P642" s="2" t="s">
        <v>103</v>
      </c>
      <c r="Q642" s="2" t="s">
        <v>104</v>
      </c>
      <c r="R642" s="2" t="s">
        <v>67</v>
      </c>
      <c r="S642" s="2" t="s">
        <v>67</v>
      </c>
      <c r="T642" s="2" t="s">
        <v>2524</v>
      </c>
      <c r="U642" s="2" t="s">
        <v>85</v>
      </c>
      <c r="V642" s="4" t="n">
        <v>186000</v>
      </c>
      <c r="W642" s="5" t="n">
        <v>8.38</v>
      </c>
      <c r="X642" s="3" t="n">
        <v>12</v>
      </c>
      <c r="Y642" s="6" t="n">
        <v>46201</v>
      </c>
      <c r="Z642" s="6"/>
      <c r="AA642" s="6"/>
      <c r="AB642" s="4" t="n">
        <f aca="false">ROUND(PMT(W642/1200,X642,-V642),2)</f>
        <v>16212.55</v>
      </c>
      <c r="AC642" s="4" t="n">
        <v>0</v>
      </c>
      <c r="AD642" s="3" t="n">
        <v>1</v>
      </c>
      <c r="AE642" s="4" t="n">
        <v>80100</v>
      </c>
      <c r="AF642" s="4" t="n">
        <v>16700</v>
      </c>
      <c r="AG642" s="3" t="n">
        <v>41</v>
      </c>
      <c r="AH642" s="4" t="n">
        <v>24200</v>
      </c>
      <c r="AI642" s="3" t="n">
        <v>693</v>
      </c>
      <c r="AJ642" s="7" t="n">
        <f aca="false">ROUND(AB642/I642,4)</f>
        <v>0.2748</v>
      </c>
      <c r="AK642" s="2" t="str">
        <f aca="false">IF(AND(AI642&gt;=750,AJ642&lt;=0.35),"Low",IF(AND(AI642&gt;=600,AJ642&lt;=0.5),"Medium","High"))</f>
        <v>Medium</v>
      </c>
      <c r="AL642" s="3" t="n">
        <v>1</v>
      </c>
      <c r="AM642" s="2" t="s">
        <v>58</v>
      </c>
      <c r="AN642" s="2"/>
      <c r="AO642" s="2" t="s">
        <v>127</v>
      </c>
      <c r="AP642" s="7" t="n">
        <v>0.215</v>
      </c>
    </row>
    <row r="643" customFormat="false" ht="15" hidden="false" customHeight="false" outlineLevel="0" collapsed="false">
      <c r="A643" s="2" t="s">
        <v>2525</v>
      </c>
      <c r="B643" s="2" t="s">
        <v>1991</v>
      </c>
      <c r="C643" s="2" t="s">
        <v>984</v>
      </c>
      <c r="D643" s="2" t="s">
        <v>45</v>
      </c>
      <c r="E643" s="3" t="n">
        <v>61</v>
      </c>
      <c r="F643" s="2" t="s">
        <v>64</v>
      </c>
      <c r="G643" s="2"/>
      <c r="H643" s="2" t="s">
        <v>48</v>
      </c>
      <c r="I643" s="4" t="n">
        <v>217500</v>
      </c>
      <c r="J643" s="2" t="s">
        <v>145</v>
      </c>
      <c r="K643" s="3" t="n">
        <v>34</v>
      </c>
      <c r="L643" s="2" t="s">
        <v>95</v>
      </c>
      <c r="M643" s="2" t="s">
        <v>92</v>
      </c>
      <c r="N643" s="2" t="s">
        <v>81</v>
      </c>
      <c r="O643" s="3" t="n">
        <v>2</v>
      </c>
      <c r="P643" s="2" t="s">
        <v>93</v>
      </c>
      <c r="Q643" s="2" t="s">
        <v>94</v>
      </c>
      <c r="R643" s="2" t="s">
        <v>95</v>
      </c>
      <c r="S643" s="2" t="s">
        <v>92</v>
      </c>
      <c r="T643" s="2" t="s">
        <v>2526</v>
      </c>
      <c r="U643" s="2" t="s">
        <v>72</v>
      </c>
      <c r="V643" s="4" t="n">
        <v>5000000</v>
      </c>
      <c r="W643" s="5" t="n">
        <v>12.06</v>
      </c>
      <c r="X643" s="3" t="n">
        <v>72</v>
      </c>
      <c r="Y643" s="6" t="n">
        <v>46203</v>
      </c>
      <c r="Z643" s="6" t="n">
        <v>46207</v>
      </c>
      <c r="AA643" s="6" t="n">
        <v>46208</v>
      </c>
      <c r="AB643" s="4" t="n">
        <f aca="false">ROUND(PMT(W643/1200,X643,-V643),2)</f>
        <v>97907.04</v>
      </c>
      <c r="AC643" s="4"/>
      <c r="AD643" s="3" t="n">
        <v>0</v>
      </c>
      <c r="AE643" s="4" t="n">
        <v>408300</v>
      </c>
      <c r="AF643" s="4" t="n">
        <v>53900</v>
      </c>
      <c r="AG643" s="3" t="n">
        <v>37</v>
      </c>
      <c r="AH643" s="4" t="n">
        <v>104600</v>
      </c>
      <c r="AI643" s="3" t="n">
        <v>651</v>
      </c>
      <c r="AJ643" s="7" t="n">
        <f aca="false">ROUND(AB643/I643,4)</f>
        <v>0.4501</v>
      </c>
      <c r="AK643" s="2" t="str">
        <f aca="false">IF(AND(AI643&gt;=750,AJ643&lt;=0.35),"Low",IF(AND(AI643&gt;=600,AJ643&lt;=0.5),"Medium","High"))</f>
        <v>Medium</v>
      </c>
      <c r="AL643" s="3" t="n">
        <v>2</v>
      </c>
      <c r="AM643" s="2" t="s">
        <v>233</v>
      </c>
      <c r="AN643" s="2" t="s">
        <v>119</v>
      </c>
      <c r="AO643" s="2" t="s">
        <v>60</v>
      </c>
      <c r="AP643" s="7" t="n">
        <v>0.364</v>
      </c>
    </row>
    <row r="644" customFormat="false" ht="15" hidden="false" customHeight="false" outlineLevel="0" collapsed="false">
      <c r="A644" s="2" t="s">
        <v>2527</v>
      </c>
      <c r="B644" s="2" t="s">
        <v>2144</v>
      </c>
      <c r="C644" s="2" t="s">
        <v>1370</v>
      </c>
      <c r="D644" s="2" t="s">
        <v>45</v>
      </c>
      <c r="E644" s="3" t="n">
        <v>44</v>
      </c>
      <c r="F644" s="2" t="s">
        <v>46</v>
      </c>
      <c r="G644" s="2" t="s">
        <v>145</v>
      </c>
      <c r="H644" s="2" t="s">
        <v>48</v>
      </c>
      <c r="I644" s="4" t="n">
        <v>64000</v>
      </c>
      <c r="J644" s="2" t="s">
        <v>145</v>
      </c>
      <c r="K644" s="3" t="n">
        <v>23</v>
      </c>
      <c r="L644" s="2" t="s">
        <v>66</v>
      </c>
      <c r="M644" s="2" t="s">
        <v>67</v>
      </c>
      <c r="N644" s="2" t="s">
        <v>140</v>
      </c>
      <c r="O644" s="3" t="n">
        <v>0</v>
      </c>
      <c r="P644" s="2" t="s">
        <v>189</v>
      </c>
      <c r="Q644" s="2" t="s">
        <v>190</v>
      </c>
      <c r="R644" s="2" t="s">
        <v>188</v>
      </c>
      <c r="S644" s="2" t="s">
        <v>51</v>
      </c>
      <c r="T644" s="2" t="s">
        <v>2528</v>
      </c>
      <c r="U644" s="2" t="s">
        <v>97</v>
      </c>
      <c r="V644" s="4" t="n">
        <v>347000</v>
      </c>
      <c r="W644" s="5" t="n">
        <v>11.1</v>
      </c>
      <c r="X644" s="3" t="n">
        <v>18</v>
      </c>
      <c r="Y644" s="6" t="n">
        <v>46174</v>
      </c>
      <c r="Z644" s="6" t="n">
        <v>46180</v>
      </c>
      <c r="AA644" s="6" t="n">
        <v>46184</v>
      </c>
      <c r="AB644" s="4" t="n">
        <f aca="false">ROUND(PMT(W644/1200,X644,-V644),2)</f>
        <v>21015.99</v>
      </c>
      <c r="AC644" s="4" t="n">
        <v>0</v>
      </c>
      <c r="AD644" s="3"/>
      <c r="AE644" s="4" t="n">
        <v>252100</v>
      </c>
      <c r="AF644" s="4" t="n">
        <v>109100</v>
      </c>
      <c r="AG644" s="3" t="n">
        <v>48</v>
      </c>
      <c r="AH644" s="4" t="n">
        <v>68200</v>
      </c>
      <c r="AI644" s="3" t="n">
        <v>892</v>
      </c>
      <c r="AJ644" s="7" t="n">
        <f aca="false">ROUND(AB644/I644,4)</f>
        <v>0.3284</v>
      </c>
      <c r="AK644" s="2" t="str">
        <f aca="false">IF(AND(AI644&gt;=750,AJ644&lt;=0.35),"Low",IF(AND(AI644&gt;=600,AJ644&lt;=0.5),"Medium","High"))</f>
        <v>Low</v>
      </c>
      <c r="AL644" s="3" t="n">
        <v>1</v>
      </c>
      <c r="AM644" s="2" t="s">
        <v>58</v>
      </c>
      <c r="AN644" s="2" t="s">
        <v>59</v>
      </c>
      <c r="AO644" s="2" t="s">
        <v>60</v>
      </c>
      <c r="AP644" s="7" t="n">
        <v>0.014</v>
      </c>
    </row>
    <row r="645" customFormat="false" ht="15" hidden="false" customHeight="false" outlineLevel="0" collapsed="false">
      <c r="A645" s="2" t="s">
        <v>2529</v>
      </c>
      <c r="B645" s="2" t="s">
        <v>2530</v>
      </c>
      <c r="C645" s="2" t="s">
        <v>2531</v>
      </c>
      <c r="D645" s="2" t="s">
        <v>109</v>
      </c>
      <c r="E645" s="3" t="n">
        <v>42</v>
      </c>
      <c r="F645" s="2" t="s">
        <v>46</v>
      </c>
      <c r="G645" s="2" t="s">
        <v>246</v>
      </c>
      <c r="H645" s="2" t="s">
        <v>111</v>
      </c>
      <c r="I645" s="4" t="n">
        <v>13000</v>
      </c>
      <c r="J645" s="2" t="s">
        <v>145</v>
      </c>
      <c r="K645" s="3" t="n">
        <v>21</v>
      </c>
      <c r="L645" s="2" t="s">
        <v>178</v>
      </c>
      <c r="M645" s="2" t="s">
        <v>92</v>
      </c>
      <c r="N645" s="2" t="s">
        <v>52</v>
      </c>
      <c r="O645" s="3" t="n">
        <v>0</v>
      </c>
      <c r="P645" s="2" t="s">
        <v>229</v>
      </c>
      <c r="Q645" s="2" t="s">
        <v>230</v>
      </c>
      <c r="R645" s="2" t="s">
        <v>231</v>
      </c>
      <c r="S645" s="2" t="s">
        <v>92</v>
      </c>
      <c r="T645" s="2" t="s">
        <v>2532</v>
      </c>
      <c r="U645" s="2" t="s">
        <v>180</v>
      </c>
      <c r="V645" s="4" t="n">
        <v>300000</v>
      </c>
      <c r="W645" s="5" t="n">
        <v>11</v>
      </c>
      <c r="X645" s="3" t="n">
        <v>72</v>
      </c>
      <c r="Y645" s="6" t="n">
        <v>46201</v>
      </c>
      <c r="Z645" s="6" t="n">
        <v>46204</v>
      </c>
      <c r="AA645" s="6" t="n">
        <v>46209</v>
      </c>
      <c r="AB645" s="4" t="n">
        <f aca="false">ROUND(PMT(W645/1200,X645,-V645),2)</f>
        <v>5710.22</v>
      </c>
      <c r="AC645" s="4"/>
      <c r="AD645" s="3" t="n">
        <v>1</v>
      </c>
      <c r="AE645" s="4" t="n">
        <v>44800</v>
      </c>
      <c r="AF645" s="4" t="n">
        <v>19000</v>
      </c>
      <c r="AG645" s="3" t="n">
        <v>29</v>
      </c>
      <c r="AH645" s="4" t="n">
        <v>8100</v>
      </c>
      <c r="AI645" s="3" t="n">
        <v>847</v>
      </c>
      <c r="AJ645" s="7" t="n">
        <f aca="false">ROUND(AB645/I645,4)</f>
        <v>0.4392</v>
      </c>
      <c r="AK645" s="2" t="str">
        <f aca="false">IF(AND(AI645&gt;=750,AJ645&lt;=0.35),"Low",IF(AND(AI645&gt;=600,AJ645&lt;=0.5),"Medium","High"))</f>
        <v>Medium</v>
      </c>
      <c r="AL645" s="3" t="n">
        <v>0</v>
      </c>
      <c r="AM645" s="2" t="s">
        <v>58</v>
      </c>
      <c r="AN645" s="2" t="s">
        <v>59</v>
      </c>
      <c r="AO645" s="2" t="s">
        <v>60</v>
      </c>
      <c r="AP645" s="7" t="n">
        <v>0.065</v>
      </c>
    </row>
    <row r="646" customFormat="false" ht="15" hidden="false" customHeight="false" outlineLevel="0" collapsed="false">
      <c r="A646" s="2" t="s">
        <v>2533</v>
      </c>
      <c r="B646" s="2" t="s">
        <v>1601</v>
      </c>
      <c r="C646" s="2" t="s">
        <v>2534</v>
      </c>
      <c r="D646" s="2" t="s">
        <v>45</v>
      </c>
      <c r="E646" s="3" t="n">
        <v>38</v>
      </c>
      <c r="F646" s="2" t="s">
        <v>64</v>
      </c>
      <c r="G646" s="2" t="s">
        <v>176</v>
      </c>
      <c r="H646" s="2" t="s">
        <v>123</v>
      </c>
      <c r="I646" s="4" t="n">
        <v>51500</v>
      </c>
      <c r="J646" s="2" t="s">
        <v>177</v>
      </c>
      <c r="K646" s="3" t="n">
        <v>15</v>
      </c>
      <c r="L646" s="2" t="s">
        <v>188</v>
      </c>
      <c r="M646" s="2" t="s">
        <v>51</v>
      </c>
      <c r="N646" s="2" t="s">
        <v>52</v>
      </c>
      <c r="O646" s="3" t="n">
        <v>0</v>
      </c>
      <c r="P646" s="2" t="s">
        <v>189</v>
      </c>
      <c r="Q646" s="2" t="s">
        <v>190</v>
      </c>
      <c r="R646" s="2" t="s">
        <v>188</v>
      </c>
      <c r="S646" s="2" t="s">
        <v>51</v>
      </c>
      <c r="T646" s="2" t="s">
        <v>2535</v>
      </c>
      <c r="U646" s="2" t="s">
        <v>72</v>
      </c>
      <c r="V646" s="4" t="n">
        <v>619000</v>
      </c>
      <c r="W646" s="5" t="n">
        <v>12.02</v>
      </c>
      <c r="X646" s="3" t="n">
        <v>36</v>
      </c>
      <c r="Y646" s="6" t="n">
        <v>46200</v>
      </c>
      <c r="Z646" s="6"/>
      <c r="AA646" s="6"/>
      <c r="AB646" s="4" t="n">
        <f aca="false">ROUND(PMT(W646/1200,X646,-V646),2)</f>
        <v>20565.57</v>
      </c>
      <c r="AC646" s="4" t="n">
        <v>665000</v>
      </c>
      <c r="AD646" s="3" t="n">
        <v>0</v>
      </c>
      <c r="AE646" s="4" t="n">
        <v>155700</v>
      </c>
      <c r="AF646" s="4" t="n">
        <v>35400</v>
      </c>
      <c r="AG646" s="3" t="n">
        <v>40</v>
      </c>
      <c r="AH646" s="4" t="n">
        <v>19100</v>
      </c>
      <c r="AI646" s="3" t="n">
        <v>600</v>
      </c>
      <c r="AJ646" s="7" t="n">
        <f aca="false">ROUND(AB646/I646,4)</f>
        <v>0.3993</v>
      </c>
      <c r="AK646" s="2" t="str">
        <f aca="false">IF(AND(AI646&gt;=750,AJ646&lt;=0.35),"Low",IF(AND(AI646&gt;=600,AJ646&lt;=0.5),"Medium","High"))</f>
        <v>Medium</v>
      </c>
      <c r="AL646" s="3" t="n">
        <v>1</v>
      </c>
      <c r="AM646" s="2" t="s">
        <v>58</v>
      </c>
      <c r="AN646" s="2"/>
      <c r="AO646" s="2" t="s">
        <v>134</v>
      </c>
      <c r="AP646" s="7" t="n">
        <v>0.402</v>
      </c>
    </row>
    <row r="647" customFormat="false" ht="15" hidden="false" customHeight="false" outlineLevel="0" collapsed="false">
      <c r="A647" s="2" t="s">
        <v>2536</v>
      </c>
      <c r="B647" s="2" t="s">
        <v>2537</v>
      </c>
      <c r="C647" s="2" t="s">
        <v>1524</v>
      </c>
      <c r="D647" s="2" t="s">
        <v>45</v>
      </c>
      <c r="E647" s="3" t="n">
        <v>36</v>
      </c>
      <c r="F647" s="2" t="s">
        <v>64</v>
      </c>
      <c r="G647" s="2" t="s">
        <v>65</v>
      </c>
      <c r="H647" s="2" t="s">
        <v>48</v>
      </c>
      <c r="I647" s="4" t="n">
        <v>34000</v>
      </c>
      <c r="J647" s="2" t="s">
        <v>49</v>
      </c>
      <c r="K647" s="3" t="n">
        <v>16</v>
      </c>
      <c r="L647" s="2" t="s">
        <v>208</v>
      </c>
      <c r="M647" s="2" t="s">
        <v>114</v>
      </c>
      <c r="N647" s="2" t="s">
        <v>52</v>
      </c>
      <c r="O647" s="3" t="n">
        <v>2</v>
      </c>
      <c r="P647" s="2" t="s">
        <v>115</v>
      </c>
      <c r="Q647" s="2" t="s">
        <v>116</v>
      </c>
      <c r="R647" s="2" t="s">
        <v>114</v>
      </c>
      <c r="S647" s="2" t="s">
        <v>114</v>
      </c>
      <c r="T647" s="2" t="s">
        <v>2538</v>
      </c>
      <c r="U647" s="2" t="s">
        <v>57</v>
      </c>
      <c r="V647" s="4" t="n">
        <v>1228000</v>
      </c>
      <c r="W647" s="5" t="n">
        <v>10.65</v>
      </c>
      <c r="X647" s="3" t="n">
        <v>174</v>
      </c>
      <c r="Y647" s="6" t="n">
        <v>46197</v>
      </c>
      <c r="Z647" s="6" t="n">
        <v>46203</v>
      </c>
      <c r="AA647" s="6" t="n">
        <v>46207</v>
      </c>
      <c r="AB647" s="4" t="n">
        <f aca="false">ROUND(PMT(W647/1200,X647,-V647),2)</f>
        <v>13882.22</v>
      </c>
      <c r="AC647" s="4" t="n">
        <v>1311000</v>
      </c>
      <c r="AD647" s="3" t="n">
        <v>0</v>
      </c>
      <c r="AE647" s="4" t="n">
        <v>90000</v>
      </c>
      <c r="AF647" s="4" t="n">
        <v>32900</v>
      </c>
      <c r="AG647" s="3" t="n">
        <v>10</v>
      </c>
      <c r="AH647" s="4" t="n">
        <v>28800</v>
      </c>
      <c r="AI647" s="3" t="n">
        <v>875</v>
      </c>
      <c r="AJ647" s="7" t="n">
        <f aca="false">ROUND(AB647/I647,4)</f>
        <v>0.4083</v>
      </c>
      <c r="AK647" s="2" t="str">
        <f aca="false">IF(AND(AI647&gt;=750,AJ647&lt;=0.35),"Low",IF(AND(AI647&gt;=600,AJ647&lt;=0.5),"Medium","High"))</f>
        <v>Medium</v>
      </c>
      <c r="AL647" s="3" t="n">
        <v>0</v>
      </c>
      <c r="AM647" s="2" t="s">
        <v>58</v>
      </c>
      <c r="AN647" s="2" t="s">
        <v>59</v>
      </c>
      <c r="AO647" s="2" t="s">
        <v>60</v>
      </c>
      <c r="AP647" s="7" t="n">
        <v>0.102</v>
      </c>
    </row>
    <row r="648" customFormat="false" ht="15" hidden="false" customHeight="false" outlineLevel="0" collapsed="false">
      <c r="A648" s="2" t="s">
        <v>2539</v>
      </c>
      <c r="B648" s="2" t="s">
        <v>2126</v>
      </c>
      <c r="C648" s="2" t="s">
        <v>2540</v>
      </c>
      <c r="D648" s="2" t="s">
        <v>45</v>
      </c>
      <c r="E648" s="3" t="n">
        <v>47</v>
      </c>
      <c r="F648" s="2" t="s">
        <v>46</v>
      </c>
      <c r="G648" s="2" t="s">
        <v>145</v>
      </c>
      <c r="H648" s="2" t="s">
        <v>111</v>
      </c>
      <c r="I648" s="4" t="n">
        <v>30500</v>
      </c>
      <c r="J648" s="2" t="s">
        <v>145</v>
      </c>
      <c r="K648" s="3"/>
      <c r="L648" s="2" t="s">
        <v>80</v>
      </c>
      <c r="M648" s="2" t="s">
        <v>80</v>
      </c>
      <c r="N648" s="2" t="s">
        <v>102</v>
      </c>
      <c r="O648" s="3" t="n">
        <v>0</v>
      </c>
      <c r="P648" s="2" t="s">
        <v>82</v>
      </c>
      <c r="Q648" s="2" t="s">
        <v>83</v>
      </c>
      <c r="R648" s="2" t="s">
        <v>80</v>
      </c>
      <c r="S648" s="2" t="s">
        <v>80</v>
      </c>
      <c r="T648" s="2" t="s">
        <v>2541</v>
      </c>
      <c r="U648" s="2" t="s">
        <v>72</v>
      </c>
      <c r="V648" s="4" t="n">
        <v>479000</v>
      </c>
      <c r="W648" s="5" t="n">
        <v>15.21</v>
      </c>
      <c r="X648" s="3" t="n">
        <v>66</v>
      </c>
      <c r="Y648" s="6" t="n">
        <v>46201</v>
      </c>
      <c r="Z648" s="6" t="n">
        <v>46205</v>
      </c>
      <c r="AA648" s="6" t="n">
        <v>46211</v>
      </c>
      <c r="AB648" s="4" t="n">
        <f aca="false">ROUND(PMT(W648/1200,X648,-V648),2)</f>
        <v>10754.96</v>
      </c>
      <c r="AC648" s="4" t="n">
        <v>493000</v>
      </c>
      <c r="AD648" s="3" t="n">
        <v>1</v>
      </c>
      <c r="AE648" s="4" t="n">
        <v>118500</v>
      </c>
      <c r="AF648" s="4" t="n">
        <v>59900</v>
      </c>
      <c r="AG648" s="3" t="n">
        <v>31</v>
      </c>
      <c r="AH648" s="4" t="n">
        <v>11800</v>
      </c>
      <c r="AI648" s="3" t="n">
        <v>774</v>
      </c>
      <c r="AJ648" s="7" t="n">
        <f aca="false">ROUND(AB648/I648,4)</f>
        <v>0.3526</v>
      </c>
      <c r="AK648" s="2" t="str">
        <f aca="false">IF(AND(AI648&gt;=750,AJ648&lt;=0.35),"Low",IF(AND(AI648&gt;=600,AJ648&lt;=0.5),"Medium","High"))</f>
        <v>Medium</v>
      </c>
      <c r="AL648" s="3" t="n">
        <v>0</v>
      </c>
      <c r="AM648" s="2" t="s">
        <v>58</v>
      </c>
      <c r="AN648" s="2" t="s">
        <v>59</v>
      </c>
      <c r="AO648" s="2" t="s">
        <v>86</v>
      </c>
      <c r="AP648" s="7" t="n">
        <v>0.114</v>
      </c>
    </row>
    <row r="649" customFormat="false" ht="15" hidden="false" customHeight="false" outlineLevel="0" collapsed="false">
      <c r="A649" s="2" t="s">
        <v>2542</v>
      </c>
      <c r="B649" s="2" t="s">
        <v>1905</v>
      </c>
      <c r="C649" s="2" t="s">
        <v>2473</v>
      </c>
      <c r="D649" s="2" t="s">
        <v>45</v>
      </c>
      <c r="E649" s="3" t="n">
        <v>40</v>
      </c>
      <c r="F649" s="2" t="s">
        <v>46</v>
      </c>
      <c r="G649" s="2" t="s">
        <v>176</v>
      </c>
      <c r="H649" s="2" t="s">
        <v>123</v>
      </c>
      <c r="I649" s="4" t="n">
        <v>43500</v>
      </c>
      <c r="J649" s="2" t="s">
        <v>177</v>
      </c>
      <c r="K649" s="3" t="n">
        <v>19</v>
      </c>
      <c r="L649" s="2" t="s">
        <v>79</v>
      </c>
      <c r="M649" s="2" t="s">
        <v>80</v>
      </c>
      <c r="N649" s="2" t="s">
        <v>52</v>
      </c>
      <c r="O649" s="3" t="n">
        <v>0</v>
      </c>
      <c r="P649" s="2" t="s">
        <v>169</v>
      </c>
      <c r="Q649" s="2" t="s">
        <v>170</v>
      </c>
      <c r="R649" s="2" t="s">
        <v>92</v>
      </c>
      <c r="S649" s="2" t="s">
        <v>92</v>
      </c>
      <c r="T649" s="2" t="s">
        <v>2543</v>
      </c>
      <c r="U649" s="2" t="s">
        <v>192</v>
      </c>
      <c r="V649" s="4" t="n">
        <v>423000</v>
      </c>
      <c r="W649" s="5" t="n">
        <v>12.05</v>
      </c>
      <c r="X649" s="3" t="n">
        <v>24</v>
      </c>
      <c r="Y649" s="6" t="n">
        <v>46193</v>
      </c>
      <c r="Z649" s="6"/>
      <c r="AA649" s="6"/>
      <c r="AB649" s="4" t="n">
        <f aca="false">ROUND(PMT(W649/1200,X649,-V649),2)</f>
        <v>19921.96</v>
      </c>
      <c r="AC649" s="4" t="n">
        <v>585000</v>
      </c>
      <c r="AD649" s="3" t="n">
        <v>0</v>
      </c>
      <c r="AE649" s="4" t="n">
        <v>156000</v>
      </c>
      <c r="AF649" s="4" t="n">
        <v>65400</v>
      </c>
      <c r="AG649" s="3" t="n">
        <v>29</v>
      </c>
      <c r="AH649" s="4" t="n">
        <v>26500</v>
      </c>
      <c r="AI649" s="3" t="n">
        <v>502</v>
      </c>
      <c r="AJ649" s="7" t="n">
        <f aca="false">ROUND(AB649/I649,4)</f>
        <v>0.458</v>
      </c>
      <c r="AK649" s="2" t="str">
        <f aca="false">IF(AND(AI649&gt;=750,AJ649&lt;=0.35),"Low",IF(AND(AI649&gt;=600,AJ649&lt;=0.5),"Medium","High"))</f>
        <v>High</v>
      </c>
      <c r="AL649" s="3" t="n">
        <v>5</v>
      </c>
      <c r="AM649" s="2" t="s">
        <v>233</v>
      </c>
      <c r="AN649" s="2"/>
      <c r="AO649" s="2" t="s">
        <v>127</v>
      </c>
      <c r="AP649" s="7" t="n">
        <v>0.579</v>
      </c>
    </row>
    <row r="650" customFormat="false" ht="15" hidden="false" customHeight="false" outlineLevel="0" collapsed="false">
      <c r="A650" s="2" t="s">
        <v>2544</v>
      </c>
      <c r="B650" s="2" t="s">
        <v>2545</v>
      </c>
      <c r="C650" s="2" t="s">
        <v>2546</v>
      </c>
      <c r="D650" s="2" t="s">
        <v>109</v>
      </c>
      <c r="E650" s="3" t="n">
        <v>29</v>
      </c>
      <c r="F650" s="2" t="s">
        <v>434</v>
      </c>
      <c r="G650" s="2"/>
      <c r="H650" s="2" t="s">
        <v>77</v>
      </c>
      <c r="I650" s="4" t="n">
        <v>28500</v>
      </c>
      <c r="J650" s="2" t="s">
        <v>145</v>
      </c>
      <c r="K650" s="3" t="n">
        <v>6</v>
      </c>
      <c r="L650" s="2" t="s">
        <v>91</v>
      </c>
      <c r="M650" s="2" t="s">
        <v>92</v>
      </c>
      <c r="N650" s="2" t="s">
        <v>81</v>
      </c>
      <c r="O650" s="3" t="n">
        <v>0</v>
      </c>
      <c r="P650" s="2" t="s">
        <v>124</v>
      </c>
      <c r="Q650" s="2" t="s">
        <v>125</v>
      </c>
      <c r="R650" s="2" t="s">
        <v>91</v>
      </c>
      <c r="S650" s="2" t="s">
        <v>92</v>
      </c>
      <c r="T650" s="2" t="s">
        <v>2547</v>
      </c>
      <c r="U650" s="2" t="s">
        <v>97</v>
      </c>
      <c r="V650" s="4" t="n">
        <v>423000</v>
      </c>
      <c r="W650" s="5" t="n">
        <v>13.4</v>
      </c>
      <c r="X650" s="3" t="n">
        <v>36</v>
      </c>
      <c r="Y650" s="6" t="n">
        <v>46186</v>
      </c>
      <c r="Z650" s="6"/>
      <c r="AA650" s="6"/>
      <c r="AB650" s="4" t="n">
        <f aca="false">ROUND(PMT(W650/1200,X650,-V650),2)</f>
        <v>14334.18</v>
      </c>
      <c r="AC650" s="4" t="n">
        <v>0</v>
      </c>
      <c r="AD650" s="3" t="n">
        <v>1</v>
      </c>
      <c r="AE650" s="4" t="n">
        <v>59300</v>
      </c>
      <c r="AF650" s="4" t="n">
        <v>23800</v>
      </c>
      <c r="AG650" s="3" t="n">
        <v>22</v>
      </c>
      <c r="AH650" s="4" t="n">
        <v>29000</v>
      </c>
      <c r="AI650" s="3" t="n">
        <v>890</v>
      </c>
      <c r="AJ650" s="7" t="n">
        <f aca="false">ROUND(AB650/I650,4)</f>
        <v>0.503</v>
      </c>
      <c r="AK650" s="2" t="str">
        <f aca="false">IF(AND(AI650&gt;=750,AJ650&lt;=0.35),"Low",IF(AND(AI650&gt;=600,AJ650&lt;=0.5),"Medium","High"))</f>
        <v>High</v>
      </c>
      <c r="AL650" s="3" t="n">
        <v>0</v>
      </c>
      <c r="AM650" s="2" t="s">
        <v>58</v>
      </c>
      <c r="AN650" s="2"/>
      <c r="AO650" s="2" t="s">
        <v>127</v>
      </c>
      <c r="AP650" s="7" t="n">
        <v>0.096</v>
      </c>
    </row>
    <row r="651" customFormat="false" ht="15" hidden="false" customHeight="false" outlineLevel="0" collapsed="false">
      <c r="A651" s="2" t="s">
        <v>2548</v>
      </c>
      <c r="B651" s="2" t="s">
        <v>2549</v>
      </c>
      <c r="C651" s="2" t="s">
        <v>2550</v>
      </c>
      <c r="D651" s="2" t="s">
        <v>109</v>
      </c>
      <c r="E651" s="3" t="n">
        <v>28</v>
      </c>
      <c r="F651" s="2" t="s">
        <v>64</v>
      </c>
      <c r="G651" s="2" t="s">
        <v>90</v>
      </c>
      <c r="H651" s="2" t="s">
        <v>123</v>
      </c>
      <c r="I651" s="4" t="n">
        <v>12500</v>
      </c>
      <c r="J651" s="2" t="s">
        <v>90</v>
      </c>
      <c r="K651" s="3"/>
      <c r="L651" s="2" t="s">
        <v>92</v>
      </c>
      <c r="M651" s="2" t="s">
        <v>92</v>
      </c>
      <c r="N651" s="2" t="s">
        <v>81</v>
      </c>
      <c r="O651" s="3" t="n">
        <v>2</v>
      </c>
      <c r="P651" s="2" t="s">
        <v>169</v>
      </c>
      <c r="Q651" s="2" t="s">
        <v>170</v>
      </c>
      <c r="R651" s="2" t="s">
        <v>92</v>
      </c>
      <c r="S651" s="2" t="s">
        <v>92</v>
      </c>
      <c r="T651" s="2" t="s">
        <v>2551</v>
      </c>
      <c r="U651" s="2" t="s">
        <v>192</v>
      </c>
      <c r="V651" s="4" t="n">
        <v>200000</v>
      </c>
      <c r="W651" s="5" t="n">
        <v>11.67</v>
      </c>
      <c r="X651" s="3" t="n">
        <v>30</v>
      </c>
      <c r="Y651" s="6" t="n">
        <v>46177</v>
      </c>
      <c r="Z651" s="6" t="n">
        <v>46181</v>
      </c>
      <c r="AA651" s="6" t="n">
        <v>46182</v>
      </c>
      <c r="AB651" s="4" t="n">
        <f aca="false">ROUND(PMT(W651/1200,X651,-V651),2)</f>
        <v>7718.52</v>
      </c>
      <c r="AC651" s="4" t="n">
        <v>236000</v>
      </c>
      <c r="AD651" s="3" t="n">
        <v>0</v>
      </c>
      <c r="AE651" s="4" t="n">
        <v>38500</v>
      </c>
      <c r="AF651" s="4" t="n">
        <v>13300</v>
      </c>
      <c r="AG651" s="3" t="n">
        <v>39</v>
      </c>
      <c r="AH651" s="4" t="n">
        <v>4000</v>
      </c>
      <c r="AI651" s="3" t="n">
        <v>726</v>
      </c>
      <c r="AJ651" s="7" t="n">
        <f aca="false">ROUND(AB651/I651,4)</f>
        <v>0.6175</v>
      </c>
      <c r="AK651" s="2" t="str">
        <f aca="false">IF(AND(AI651&gt;=750,AJ651&lt;=0.35),"Low",IF(AND(AI651&gt;=600,AJ651&lt;=0.5),"Medium","High"))</f>
        <v>High</v>
      </c>
      <c r="AL651" s="3" t="n">
        <v>3</v>
      </c>
      <c r="AM651" s="2" t="s">
        <v>58</v>
      </c>
      <c r="AN651" s="2" t="s">
        <v>59</v>
      </c>
      <c r="AO651" s="2" t="s">
        <v>60</v>
      </c>
      <c r="AP651" s="7" t="n">
        <v>0.248</v>
      </c>
    </row>
    <row r="652" customFormat="false" ht="15" hidden="false" customHeight="false" outlineLevel="0" collapsed="false">
      <c r="A652" s="2" t="s">
        <v>2552</v>
      </c>
      <c r="B652" s="2" t="s">
        <v>2553</v>
      </c>
      <c r="C652" s="2" t="s">
        <v>2554</v>
      </c>
      <c r="D652" s="2" t="s">
        <v>109</v>
      </c>
      <c r="E652" s="3" t="n">
        <v>38</v>
      </c>
      <c r="F652" s="2" t="s">
        <v>46</v>
      </c>
      <c r="G652" s="2" t="s">
        <v>110</v>
      </c>
      <c r="H652" s="2" t="s">
        <v>48</v>
      </c>
      <c r="I652" s="4" t="n">
        <v>16000</v>
      </c>
      <c r="J652" s="2" t="s">
        <v>112</v>
      </c>
      <c r="K652" s="3" t="n">
        <v>11</v>
      </c>
      <c r="L652" s="2" t="s">
        <v>481</v>
      </c>
      <c r="M652" s="2" t="s">
        <v>159</v>
      </c>
      <c r="N652" s="2" t="s">
        <v>52</v>
      </c>
      <c r="O652" s="3" t="n">
        <v>1</v>
      </c>
      <c r="P652" s="2" t="s">
        <v>115</v>
      </c>
      <c r="Q652" s="2" t="s">
        <v>116</v>
      </c>
      <c r="R652" s="2" t="s">
        <v>114</v>
      </c>
      <c r="S652" s="2" t="s">
        <v>114</v>
      </c>
      <c r="T652" s="2" t="s">
        <v>2555</v>
      </c>
      <c r="U652" s="2" t="s">
        <v>72</v>
      </c>
      <c r="V652" s="4" t="n">
        <v>300000</v>
      </c>
      <c r="W652" s="5" t="n">
        <v>13.7</v>
      </c>
      <c r="X652" s="3" t="n">
        <v>24</v>
      </c>
      <c r="Y652" s="6" t="n">
        <v>46193</v>
      </c>
      <c r="Z652" s="6"/>
      <c r="AA652" s="6"/>
      <c r="AB652" s="4" t="n">
        <f aca="false">ROUND(PMT(W652/1200,X652,-V652),2)</f>
        <v>14361.38</v>
      </c>
      <c r="AC652" s="4" t="n">
        <v>331000</v>
      </c>
      <c r="AD652" s="3" t="n">
        <v>2</v>
      </c>
      <c r="AE652" s="4" t="n">
        <v>30100</v>
      </c>
      <c r="AF652" s="4" t="n">
        <v>5700</v>
      </c>
      <c r="AG652" s="3" t="n">
        <v>31</v>
      </c>
      <c r="AH652" s="4"/>
      <c r="AI652" s="3" t="n">
        <v>643</v>
      </c>
      <c r="AJ652" s="7" t="n">
        <f aca="false">ROUND(AB652/I652,4)</f>
        <v>0.8976</v>
      </c>
      <c r="AK652" s="2" t="str">
        <f aca="false">IF(AND(AI652&gt;=750,AJ652&lt;=0.35),"Low",IF(AND(AI652&gt;=600,AJ652&lt;=0.5),"Medium","High"))</f>
        <v>High</v>
      </c>
      <c r="AL652" s="3" t="n">
        <v>3</v>
      </c>
      <c r="AM652" s="2" t="s">
        <v>58</v>
      </c>
      <c r="AN652" s="2"/>
      <c r="AO652" s="2" t="s">
        <v>127</v>
      </c>
      <c r="AP652" s="7" t="n">
        <v>0.339</v>
      </c>
    </row>
    <row r="653" customFormat="false" ht="15" hidden="false" customHeight="false" outlineLevel="0" collapsed="false">
      <c r="A653" s="2" t="s">
        <v>2556</v>
      </c>
      <c r="B653" s="2" t="s">
        <v>2557</v>
      </c>
      <c r="C653" s="2" t="s">
        <v>1963</v>
      </c>
      <c r="D653" s="2" t="s">
        <v>45</v>
      </c>
      <c r="E653" s="3" t="n">
        <v>21</v>
      </c>
      <c r="F653" s="2" t="s">
        <v>64</v>
      </c>
      <c r="G653" s="2" t="s">
        <v>207</v>
      </c>
      <c r="H653" s="2" t="s">
        <v>48</v>
      </c>
      <c r="I653" s="4" t="n">
        <v>41000</v>
      </c>
      <c r="J653" s="2" t="s">
        <v>49</v>
      </c>
      <c r="K653" s="3" t="n">
        <v>0</v>
      </c>
      <c r="L653" s="2" t="s">
        <v>556</v>
      </c>
      <c r="M653" s="2" t="s">
        <v>147</v>
      </c>
      <c r="N653" s="2" t="s">
        <v>52</v>
      </c>
      <c r="O653" s="3" t="n">
        <v>1</v>
      </c>
      <c r="P653" s="2" t="s">
        <v>148</v>
      </c>
      <c r="Q653" s="2" t="s">
        <v>149</v>
      </c>
      <c r="R653" s="2" t="s">
        <v>147</v>
      </c>
      <c r="S653" s="2" t="s">
        <v>147</v>
      </c>
      <c r="T653" s="2" t="s">
        <v>2558</v>
      </c>
      <c r="U653" s="2" t="s">
        <v>180</v>
      </c>
      <c r="V653" s="4" t="n">
        <v>570000</v>
      </c>
      <c r="W653" s="5" t="n">
        <v>11.57</v>
      </c>
      <c r="X653" s="3" t="n">
        <v>54</v>
      </c>
      <c r="Y653" s="6" t="n">
        <v>46183</v>
      </c>
      <c r="Z653" s="6" t="n">
        <v>46191</v>
      </c>
      <c r="AA653" s="6" t="n">
        <v>46197</v>
      </c>
      <c r="AB653" s="4" t="n">
        <f aca="false">ROUND(PMT(W653/1200,X653,-V653),2)</f>
        <v>13590.49</v>
      </c>
      <c r="AC653" s="4" t="n">
        <v>757000</v>
      </c>
      <c r="AD653" s="3" t="n">
        <v>0</v>
      </c>
      <c r="AE653" s="4" t="n">
        <v>140500</v>
      </c>
      <c r="AF653" s="4" t="n">
        <v>67300</v>
      </c>
      <c r="AG653" s="3" t="n">
        <v>18</v>
      </c>
      <c r="AH653" s="4" t="n">
        <v>22800</v>
      </c>
      <c r="AI653" s="3" t="n">
        <v>836</v>
      </c>
      <c r="AJ653" s="7" t="n">
        <f aca="false">ROUND(AB653/I653,4)</f>
        <v>0.3315</v>
      </c>
      <c r="AK653" s="2" t="str">
        <f aca="false">IF(AND(AI653&gt;=750,AJ653&lt;=0.35),"Low",IF(AND(AI653&gt;=600,AJ653&lt;=0.5),"Medium","High"))</f>
        <v>Low</v>
      </c>
      <c r="AL653" s="3" t="n">
        <v>0</v>
      </c>
      <c r="AM653" s="2" t="s">
        <v>58</v>
      </c>
      <c r="AN653" s="2" t="s">
        <v>59</v>
      </c>
      <c r="AO653" s="2" t="s">
        <v>60</v>
      </c>
      <c r="AP653" s="7" t="n">
        <v>0.019</v>
      </c>
    </row>
    <row r="654" customFormat="false" ht="15" hidden="false" customHeight="false" outlineLevel="0" collapsed="false">
      <c r="A654" s="2" t="s">
        <v>2559</v>
      </c>
      <c r="B654" s="2" t="s">
        <v>2560</v>
      </c>
      <c r="C654" s="2" t="s">
        <v>1487</v>
      </c>
      <c r="D654" s="2" t="s">
        <v>45</v>
      </c>
      <c r="E654" s="3" t="n">
        <v>39</v>
      </c>
      <c r="F654" s="2" t="s">
        <v>64</v>
      </c>
      <c r="G654" s="2" t="s">
        <v>65</v>
      </c>
      <c r="H654" s="2" t="s">
        <v>48</v>
      </c>
      <c r="I654" s="4" t="n">
        <v>32500</v>
      </c>
      <c r="J654" s="2" t="s">
        <v>49</v>
      </c>
      <c r="K654" s="3" t="n">
        <v>15</v>
      </c>
      <c r="L654" s="2" t="s">
        <v>138</v>
      </c>
      <c r="M654" s="2" t="s">
        <v>139</v>
      </c>
      <c r="N654" s="2" t="s">
        <v>81</v>
      </c>
      <c r="O654" s="3" t="n">
        <v>0</v>
      </c>
      <c r="P654" s="2" t="s">
        <v>68</v>
      </c>
      <c r="Q654" s="2" t="s">
        <v>69</v>
      </c>
      <c r="R654" s="2" t="s">
        <v>70</v>
      </c>
      <c r="S654" s="2" t="s">
        <v>67</v>
      </c>
      <c r="T654" s="2" t="s">
        <v>2561</v>
      </c>
      <c r="U654" s="2" t="s">
        <v>85</v>
      </c>
      <c r="V654" s="4" t="n">
        <v>326000</v>
      </c>
      <c r="W654" s="5" t="n">
        <v>8.28</v>
      </c>
      <c r="X654" s="3" t="n">
        <v>24</v>
      </c>
      <c r="Y654" s="6" t="n">
        <v>46194</v>
      </c>
      <c r="Z654" s="6" t="n">
        <v>46198</v>
      </c>
      <c r="AA654" s="6" t="n">
        <v>46200</v>
      </c>
      <c r="AB654" s="4" t="n">
        <f aca="false">ROUND(PMT(W654/1200,X654,-V654),2)</f>
        <v>14785.76</v>
      </c>
      <c r="AC654" s="4" t="n">
        <v>0</v>
      </c>
      <c r="AD654" s="3" t="n">
        <v>0</v>
      </c>
      <c r="AE654" s="4" t="n">
        <v>35900</v>
      </c>
      <c r="AF654" s="4" t="n">
        <v>15800</v>
      </c>
      <c r="AG654" s="3" t="n">
        <v>37</v>
      </c>
      <c r="AH654" s="4" t="n">
        <v>20900</v>
      </c>
      <c r="AI654" s="3" t="n">
        <v>641</v>
      </c>
      <c r="AJ654" s="7" t="n">
        <f aca="false">ROUND(AB654/I654,4)</f>
        <v>0.4549</v>
      </c>
      <c r="AK654" s="2" t="str">
        <f aca="false">IF(AND(AI654&gt;=750,AJ654&lt;=0.35),"Low",IF(AND(AI654&gt;=600,AJ654&lt;=0.5),"Medium","High"))</f>
        <v>Medium</v>
      </c>
      <c r="AL654" s="3" t="n">
        <v>5</v>
      </c>
      <c r="AM654" s="2" t="s">
        <v>233</v>
      </c>
      <c r="AN654" s="2" t="s">
        <v>59</v>
      </c>
      <c r="AO654" s="2" t="s">
        <v>60</v>
      </c>
      <c r="AP654" s="7" t="n">
        <v>0.458</v>
      </c>
    </row>
    <row r="655" customFormat="false" ht="15" hidden="false" customHeight="false" outlineLevel="0" collapsed="false">
      <c r="A655" s="2" t="s">
        <v>2562</v>
      </c>
      <c r="B655" s="2" t="s">
        <v>675</v>
      </c>
      <c r="C655" s="2" t="s">
        <v>2563</v>
      </c>
      <c r="D655" s="2" t="s">
        <v>45</v>
      </c>
      <c r="E655" s="3" t="n">
        <v>54</v>
      </c>
      <c r="F655" s="2" t="s">
        <v>434</v>
      </c>
      <c r="G655" s="2" t="s">
        <v>246</v>
      </c>
      <c r="H655" s="2" t="s">
        <v>123</v>
      </c>
      <c r="I655" s="4" t="n">
        <v>22500</v>
      </c>
      <c r="J655" s="2" t="s">
        <v>145</v>
      </c>
      <c r="K655" s="3" t="n">
        <v>25</v>
      </c>
      <c r="L655" s="2" t="s">
        <v>178</v>
      </c>
      <c r="M655" s="2" t="s">
        <v>92</v>
      </c>
      <c r="N655" s="2" t="s">
        <v>52</v>
      </c>
      <c r="O655" s="3" t="n">
        <v>0</v>
      </c>
      <c r="P655" s="2" t="s">
        <v>124</v>
      </c>
      <c r="Q655" s="2" t="s">
        <v>125</v>
      </c>
      <c r="R655" s="2" t="s">
        <v>91</v>
      </c>
      <c r="S655" s="2" t="s">
        <v>92</v>
      </c>
      <c r="T655" s="2" t="s">
        <v>2564</v>
      </c>
      <c r="U655" s="2" t="s">
        <v>85</v>
      </c>
      <c r="V655" s="4" t="n">
        <v>77000</v>
      </c>
      <c r="W655" s="5" t="n">
        <v>8.87</v>
      </c>
      <c r="X655" s="3" t="n">
        <v>12</v>
      </c>
      <c r="Y655" s="6" t="n">
        <v>46203</v>
      </c>
      <c r="Z655" s="6" t="n">
        <v>46206</v>
      </c>
      <c r="AA655" s="6" t="n">
        <v>46209</v>
      </c>
      <c r="AB655" s="4" t="n">
        <f aca="false">ROUND(PMT(W655/1200,X655,-V655),2)</f>
        <v>6729.12</v>
      </c>
      <c r="AC655" s="4" t="n">
        <v>0</v>
      </c>
      <c r="AD655" s="3" t="n">
        <v>2</v>
      </c>
      <c r="AE655" s="4" t="n">
        <v>22300</v>
      </c>
      <c r="AF655" s="4" t="n">
        <v>12000</v>
      </c>
      <c r="AG655" s="3" t="n">
        <v>41</v>
      </c>
      <c r="AH655" s="4" t="n">
        <v>10000</v>
      </c>
      <c r="AI655" s="3" t="n">
        <v>737</v>
      </c>
      <c r="AJ655" s="7" t="n">
        <f aca="false">ROUND(AB655/I655,4)</f>
        <v>0.2991</v>
      </c>
      <c r="AK655" s="2" t="str">
        <f aca="false">IF(AND(AI655&gt;=750,AJ655&lt;=0.35),"Low",IF(AND(AI655&gt;=600,AJ655&lt;=0.5),"Medium","High"))</f>
        <v>Medium</v>
      </c>
      <c r="AL655" s="3" t="n">
        <v>1</v>
      </c>
      <c r="AM655" s="2" t="s">
        <v>58</v>
      </c>
      <c r="AN655" s="2" t="s">
        <v>59</v>
      </c>
      <c r="AO655" s="2" t="s">
        <v>60</v>
      </c>
      <c r="AP655" s="7" t="n">
        <v>0.237</v>
      </c>
    </row>
    <row r="656" customFormat="false" ht="15" hidden="false" customHeight="false" outlineLevel="0" collapsed="false">
      <c r="A656" s="2" t="s">
        <v>2565</v>
      </c>
      <c r="B656" s="2" t="s">
        <v>2566</v>
      </c>
      <c r="C656" s="2" t="s">
        <v>2567</v>
      </c>
      <c r="D656" s="2" t="s">
        <v>109</v>
      </c>
      <c r="E656" s="3" t="n">
        <v>35</v>
      </c>
      <c r="F656" s="2" t="s">
        <v>64</v>
      </c>
      <c r="G656" s="2" t="s">
        <v>145</v>
      </c>
      <c r="H656" s="2" t="s">
        <v>111</v>
      </c>
      <c r="I656" s="4" t="n">
        <v>36000</v>
      </c>
      <c r="J656" s="2" t="s">
        <v>145</v>
      </c>
      <c r="K656" s="3" t="n">
        <v>8</v>
      </c>
      <c r="L656" s="2" t="s">
        <v>653</v>
      </c>
      <c r="M656" s="2" t="s">
        <v>159</v>
      </c>
      <c r="N656" s="2" t="s">
        <v>52</v>
      </c>
      <c r="O656" s="3" t="n">
        <v>1</v>
      </c>
      <c r="P656" s="2" t="s">
        <v>160</v>
      </c>
      <c r="Q656" s="2" t="s">
        <v>161</v>
      </c>
      <c r="R656" s="2" t="s">
        <v>159</v>
      </c>
      <c r="S656" s="2" t="s">
        <v>159</v>
      </c>
      <c r="T656" s="2" t="s">
        <v>2568</v>
      </c>
      <c r="U656" s="2" t="s">
        <v>85</v>
      </c>
      <c r="V656" s="4" t="n">
        <v>114000</v>
      </c>
      <c r="W656" s="5" t="n">
        <v>7.67</v>
      </c>
      <c r="X656" s="3" t="n">
        <v>6</v>
      </c>
      <c r="Y656" s="6" t="n">
        <v>46177</v>
      </c>
      <c r="Z656" s="6" t="n">
        <v>46182</v>
      </c>
      <c r="AA656" s="6" t="n">
        <v>46184</v>
      </c>
      <c r="AB656" s="4" t="n">
        <f aca="false">ROUND(PMT(W656/1200,X656,-V656),2)</f>
        <v>19427.3</v>
      </c>
      <c r="AC656" s="4" t="n">
        <v>0</v>
      </c>
      <c r="AD656" s="3" t="n">
        <v>0</v>
      </c>
      <c r="AE656" s="4" t="n">
        <v>25400</v>
      </c>
      <c r="AF656" s="4" t="n">
        <v>9700</v>
      </c>
      <c r="AG656" s="3" t="n">
        <v>41</v>
      </c>
      <c r="AH656" s="4" t="n">
        <v>13200</v>
      </c>
      <c r="AI656" s="3" t="n">
        <v>769</v>
      </c>
      <c r="AJ656" s="7" t="n">
        <f aca="false">ROUND(AB656/I656,4)</f>
        <v>0.5396</v>
      </c>
      <c r="AK656" s="2" t="str">
        <f aca="false">IF(AND(AI656&gt;=750,AJ656&lt;=0.35),"Low",IF(AND(AI656&gt;=600,AJ656&lt;=0.5),"Medium","High"))</f>
        <v>High</v>
      </c>
      <c r="AL656" s="3" t="n">
        <v>0</v>
      </c>
      <c r="AM656" s="2" t="s">
        <v>58</v>
      </c>
      <c r="AN656" s="2" t="s">
        <v>258</v>
      </c>
      <c r="AO656" s="2" t="s">
        <v>86</v>
      </c>
      <c r="AP656" s="7" t="n">
        <v>0.195</v>
      </c>
    </row>
    <row r="657" customFormat="false" ht="15" hidden="false" customHeight="false" outlineLevel="0" collapsed="false">
      <c r="A657" s="2" t="s">
        <v>2569</v>
      </c>
      <c r="B657" s="2" t="s">
        <v>2570</v>
      </c>
      <c r="C657" s="2" t="s">
        <v>1338</v>
      </c>
      <c r="D657" s="2" t="s">
        <v>109</v>
      </c>
      <c r="E657" s="3" t="n">
        <v>42</v>
      </c>
      <c r="F657" s="2" t="s">
        <v>46</v>
      </c>
      <c r="G657" s="2" t="s">
        <v>207</v>
      </c>
      <c r="H657" s="2" t="s">
        <v>101</v>
      </c>
      <c r="I657" s="4" t="n">
        <v>78500</v>
      </c>
      <c r="J657" s="2" t="s">
        <v>49</v>
      </c>
      <c r="K657" s="3" t="n">
        <v>21</v>
      </c>
      <c r="L657" s="2" t="s">
        <v>569</v>
      </c>
      <c r="M657" s="2" t="s">
        <v>67</v>
      </c>
      <c r="N657" s="2" t="s">
        <v>52</v>
      </c>
      <c r="O657" s="3" t="n">
        <v>2</v>
      </c>
      <c r="P657" s="2" t="s">
        <v>131</v>
      </c>
      <c r="Q657" s="2" t="s">
        <v>132</v>
      </c>
      <c r="R657" s="2" t="s">
        <v>51</v>
      </c>
      <c r="S657" s="2" t="s">
        <v>51</v>
      </c>
      <c r="T657" s="2" t="s">
        <v>2571</v>
      </c>
      <c r="U657" s="2" t="s">
        <v>85</v>
      </c>
      <c r="V657" s="4" t="n">
        <v>285000</v>
      </c>
      <c r="W657" s="5" t="n">
        <v>8.32</v>
      </c>
      <c r="X657" s="3" t="n">
        <v>18</v>
      </c>
      <c r="Y657" s="6" t="n">
        <v>46198</v>
      </c>
      <c r="Z657" s="6" t="n">
        <v>46207</v>
      </c>
      <c r="AA657" s="6" t="n">
        <v>46212</v>
      </c>
      <c r="AB657" s="4" t="n">
        <f aca="false">ROUND(PMT(W657/1200,X657,-V657),2)</f>
        <v>16896.63</v>
      </c>
      <c r="AC657" s="4" t="n">
        <v>0</v>
      </c>
      <c r="AD657" s="3" t="n">
        <v>0</v>
      </c>
      <c r="AE657" s="4" t="n">
        <v>292900</v>
      </c>
      <c r="AF657" s="4" t="n">
        <v>138800</v>
      </c>
      <c r="AG657" s="3" t="n">
        <v>7</v>
      </c>
      <c r="AH657" s="4" t="n">
        <v>65400</v>
      </c>
      <c r="AI657" s="3" t="n">
        <v>684</v>
      </c>
      <c r="AJ657" s="7" t="n">
        <f aca="false">ROUND(AB657/I657,4)</f>
        <v>0.2152</v>
      </c>
      <c r="AK657" s="2" t="str">
        <f aca="false">IF(AND(AI657&gt;=750,AJ657&lt;=0.35),"Low",IF(AND(AI657&gt;=600,AJ657&lt;=0.5),"Medium","High"))</f>
        <v>Medium</v>
      </c>
      <c r="AL657" s="3" t="n">
        <v>1</v>
      </c>
      <c r="AM657" s="2" t="s">
        <v>58</v>
      </c>
      <c r="AN657" s="2" t="s">
        <v>59</v>
      </c>
      <c r="AO657" s="2" t="s">
        <v>60</v>
      </c>
      <c r="AP657" s="7" t="n">
        <v>0.271</v>
      </c>
    </row>
    <row r="658" customFormat="false" ht="15" hidden="false" customHeight="false" outlineLevel="0" collapsed="false">
      <c r="A658" s="2" t="s">
        <v>2572</v>
      </c>
      <c r="B658" s="2" t="s">
        <v>2573</v>
      </c>
      <c r="C658" s="2" t="s">
        <v>1585</v>
      </c>
      <c r="D658" s="2" t="s">
        <v>45</v>
      </c>
      <c r="E658" s="3" t="n">
        <v>33</v>
      </c>
      <c r="F658" s="2" t="s">
        <v>46</v>
      </c>
      <c r="G658" s="2" t="s">
        <v>47</v>
      </c>
      <c r="H658" s="2" t="s">
        <v>48</v>
      </c>
      <c r="I658" s="4" t="n">
        <v>205000</v>
      </c>
      <c r="J658" s="2" t="s">
        <v>49</v>
      </c>
      <c r="K658" s="3" t="n">
        <v>10</v>
      </c>
      <c r="L658" s="2" t="s">
        <v>66</v>
      </c>
      <c r="M658" s="2" t="s">
        <v>67</v>
      </c>
      <c r="N658" s="2" t="s">
        <v>81</v>
      </c>
      <c r="O658" s="3" t="n">
        <v>0</v>
      </c>
      <c r="P658" s="2" t="s">
        <v>209</v>
      </c>
      <c r="Q658" s="2" t="s">
        <v>210</v>
      </c>
      <c r="R658" s="2" t="s">
        <v>211</v>
      </c>
      <c r="S658" s="2" t="s">
        <v>147</v>
      </c>
      <c r="T658" s="2" t="s">
        <v>2574</v>
      </c>
      <c r="U658" s="2" t="s">
        <v>57</v>
      </c>
      <c r="V658" s="4" t="n">
        <v>2973000</v>
      </c>
      <c r="W658" s="5" t="n">
        <v>9.44</v>
      </c>
      <c r="X658" s="3" t="n">
        <v>66</v>
      </c>
      <c r="Y658" s="6" t="n">
        <v>46186</v>
      </c>
      <c r="Z658" s="6" t="n">
        <v>46195</v>
      </c>
      <c r="AA658" s="6" t="n">
        <v>46199</v>
      </c>
      <c r="AB658" s="4" t="n">
        <f aca="false">ROUND(PMT(W658/1200,X658,-V658),2)</f>
        <v>57919.68</v>
      </c>
      <c r="AC658" s="4" t="n">
        <v>3177000</v>
      </c>
      <c r="AD658" s="3" t="n">
        <v>1</v>
      </c>
      <c r="AE658" s="4" t="n">
        <v>370400</v>
      </c>
      <c r="AF658" s="4" t="n">
        <v>199000</v>
      </c>
      <c r="AG658" s="3" t="n">
        <v>34</v>
      </c>
      <c r="AH658" s="4" t="n">
        <v>96500</v>
      </c>
      <c r="AI658" s="3" t="n">
        <v>772</v>
      </c>
      <c r="AJ658" s="7" t="n">
        <f aca="false">ROUND(AB658/I658,4)</f>
        <v>0.2825</v>
      </c>
      <c r="AK658" s="2" t="str">
        <f aca="false">IF(AND(AI658&gt;=750,AJ658&lt;=0.35),"Low",IF(AND(AI658&gt;=600,AJ658&lt;=0.5),"Medium","High"))</f>
        <v>Low</v>
      </c>
      <c r="AL658" s="3" t="n">
        <v>0</v>
      </c>
      <c r="AM658" s="2" t="s">
        <v>58</v>
      </c>
      <c r="AN658" s="2" t="s">
        <v>119</v>
      </c>
      <c r="AO658" s="2" t="s">
        <v>60</v>
      </c>
      <c r="AP658" s="7" t="n">
        <v>0.197</v>
      </c>
    </row>
    <row r="659" customFormat="false" ht="15" hidden="false" customHeight="false" outlineLevel="0" collapsed="false">
      <c r="A659" s="2" t="s">
        <v>2575</v>
      </c>
      <c r="B659" s="2" t="s">
        <v>1750</v>
      </c>
      <c r="C659" s="2" t="s">
        <v>2576</v>
      </c>
      <c r="D659" s="2" t="s">
        <v>45</v>
      </c>
      <c r="E659" s="3" t="n">
        <v>28</v>
      </c>
      <c r="F659" s="2" t="s">
        <v>46</v>
      </c>
      <c r="G659" s="2" t="s">
        <v>246</v>
      </c>
      <c r="H659" s="2" t="s">
        <v>111</v>
      </c>
      <c r="I659" s="4" t="n">
        <v>10500</v>
      </c>
      <c r="J659" s="2" t="s">
        <v>145</v>
      </c>
      <c r="K659" s="3" t="n">
        <v>7</v>
      </c>
      <c r="L659" s="2" t="s">
        <v>380</v>
      </c>
      <c r="M659" s="2" t="s">
        <v>92</v>
      </c>
      <c r="N659" s="2" t="s">
        <v>52</v>
      </c>
      <c r="O659" s="3" t="n">
        <v>0</v>
      </c>
      <c r="P659" s="2" t="s">
        <v>169</v>
      </c>
      <c r="Q659" s="2" t="s">
        <v>170</v>
      </c>
      <c r="R659" s="2" t="s">
        <v>92</v>
      </c>
      <c r="S659" s="2" t="s">
        <v>92</v>
      </c>
      <c r="T659" s="2" t="s">
        <v>2577</v>
      </c>
      <c r="U659" s="2" t="s">
        <v>85</v>
      </c>
      <c r="V659" s="4" t="n">
        <v>50000</v>
      </c>
      <c r="W659" s="5" t="n">
        <v>9.99</v>
      </c>
      <c r="X659" s="3" t="n">
        <v>12</v>
      </c>
      <c r="Y659" s="6" t="n">
        <v>46199</v>
      </c>
      <c r="Z659" s="6"/>
      <c r="AA659" s="6"/>
      <c r="AB659" s="4" t="n">
        <f aca="false">ROUND(PMT(W659/1200,X659,-V659),2)</f>
        <v>4395.56</v>
      </c>
      <c r="AC659" s="4" t="n">
        <v>0</v>
      </c>
      <c r="AD659" s="3" t="n">
        <v>0</v>
      </c>
      <c r="AE659" s="4" t="n">
        <v>27700</v>
      </c>
      <c r="AF659" s="4" t="n">
        <v>5200</v>
      </c>
      <c r="AG659" s="3" t="n">
        <v>15</v>
      </c>
      <c r="AH659" s="4" t="n">
        <v>6300</v>
      </c>
      <c r="AI659" s="3" t="n">
        <v>828</v>
      </c>
      <c r="AJ659" s="7" t="n">
        <f aca="false">ROUND(AB659/I659,4)</f>
        <v>0.4186</v>
      </c>
      <c r="AK659" s="2" t="str">
        <f aca="false">IF(AND(AI659&gt;=750,AJ659&lt;=0.35),"Low",IF(AND(AI659&gt;=600,AJ659&lt;=0.5),"Medium","High"))</f>
        <v>Medium</v>
      </c>
      <c r="AL659" s="3" t="n">
        <v>1</v>
      </c>
      <c r="AM659" s="2" t="s">
        <v>58</v>
      </c>
      <c r="AN659" s="2"/>
      <c r="AO659" s="2" t="s">
        <v>134</v>
      </c>
      <c r="AP659" s="7" t="n">
        <v>0.175</v>
      </c>
    </row>
    <row r="660" customFormat="false" ht="15" hidden="false" customHeight="false" outlineLevel="0" collapsed="false">
      <c r="A660" s="2" t="s">
        <v>2578</v>
      </c>
      <c r="B660" s="2" t="s">
        <v>2553</v>
      </c>
      <c r="C660" s="2" t="s">
        <v>2579</v>
      </c>
      <c r="D660" s="2" t="s">
        <v>109</v>
      </c>
      <c r="E660" s="3" t="n">
        <v>21</v>
      </c>
      <c r="F660" s="2" t="s">
        <v>64</v>
      </c>
      <c r="G660" s="2" t="s">
        <v>176</v>
      </c>
      <c r="H660" s="2" t="s">
        <v>77</v>
      </c>
      <c r="I660" s="4" t="n">
        <v>41000</v>
      </c>
      <c r="J660" s="2" t="s">
        <v>177</v>
      </c>
      <c r="K660" s="3" t="n">
        <v>1</v>
      </c>
      <c r="L660" s="2" t="s">
        <v>50</v>
      </c>
      <c r="M660" s="2" t="s">
        <v>51</v>
      </c>
      <c r="N660" s="2" t="s">
        <v>52</v>
      </c>
      <c r="O660" s="3" t="n">
        <v>0</v>
      </c>
      <c r="P660" s="2" t="s">
        <v>53</v>
      </c>
      <c r="Q660" s="2" t="s">
        <v>54</v>
      </c>
      <c r="R660" s="2" t="s">
        <v>55</v>
      </c>
      <c r="S660" s="2" t="s">
        <v>51</v>
      </c>
      <c r="T660" s="2" t="s">
        <v>2580</v>
      </c>
      <c r="U660" s="2" t="s">
        <v>180</v>
      </c>
      <c r="V660" s="4" t="n">
        <v>518000</v>
      </c>
      <c r="W660" s="5" t="n">
        <v>10.4</v>
      </c>
      <c r="X660" s="3" t="n">
        <v>42</v>
      </c>
      <c r="Y660" s="6" t="n">
        <v>46184</v>
      </c>
      <c r="Z660" s="6" t="n">
        <v>46186</v>
      </c>
      <c r="AA660" s="6" t="n">
        <v>46191</v>
      </c>
      <c r="AB660" s="4" t="n">
        <f aca="false">ROUND(PMT(W660/1200,X660,-V660),2)</f>
        <v>14766.66</v>
      </c>
      <c r="AC660" s="4" t="n">
        <v>725000</v>
      </c>
      <c r="AD660" s="3" t="n">
        <v>2</v>
      </c>
      <c r="AE660" s="4" t="n">
        <v>62500</v>
      </c>
      <c r="AF660" s="4" t="n">
        <v>11700</v>
      </c>
      <c r="AG660" s="3" t="n">
        <v>18</v>
      </c>
      <c r="AH660" s="4" t="n">
        <v>38300</v>
      </c>
      <c r="AI660" s="3" t="n">
        <v>741</v>
      </c>
      <c r="AJ660" s="7" t="n">
        <f aca="false">ROUND(AB660/I660,4)</f>
        <v>0.3602</v>
      </c>
      <c r="AK660" s="2" t="str">
        <f aca="false">IF(AND(AI660&gt;=750,AJ660&lt;=0.35),"Low",IF(AND(AI660&gt;=600,AJ660&lt;=0.5),"Medium","High"))</f>
        <v>Medium</v>
      </c>
      <c r="AL660" s="3" t="n">
        <v>0</v>
      </c>
      <c r="AM660" s="2" t="s">
        <v>58</v>
      </c>
      <c r="AN660" s="2" t="s">
        <v>59</v>
      </c>
      <c r="AO660" s="2" t="s">
        <v>60</v>
      </c>
      <c r="AP660" s="7" t="n">
        <v>0.102</v>
      </c>
    </row>
    <row r="661" customFormat="false" ht="15" hidden="false" customHeight="false" outlineLevel="0" collapsed="false">
      <c r="A661" s="2" t="s">
        <v>2581</v>
      </c>
      <c r="B661" s="2" t="s">
        <v>793</v>
      </c>
      <c r="C661" s="2" t="s">
        <v>2582</v>
      </c>
      <c r="D661" s="2" t="s">
        <v>45</v>
      </c>
      <c r="E661" s="3" t="n">
        <v>36</v>
      </c>
      <c r="F661" s="2" t="s">
        <v>46</v>
      </c>
      <c r="G661" s="2" t="s">
        <v>47</v>
      </c>
      <c r="H661" s="2" t="s">
        <v>101</v>
      </c>
      <c r="I661" s="4" t="n">
        <v>139500</v>
      </c>
      <c r="J661" s="2" t="s">
        <v>49</v>
      </c>
      <c r="K661" s="3" t="n">
        <v>14</v>
      </c>
      <c r="L661" s="2" t="s">
        <v>564</v>
      </c>
      <c r="M661" s="2" t="s">
        <v>80</v>
      </c>
      <c r="N661" s="2" t="s">
        <v>52</v>
      </c>
      <c r="O661" s="3" t="n">
        <v>2</v>
      </c>
      <c r="P661" s="2" t="s">
        <v>82</v>
      </c>
      <c r="Q661" s="2" t="s">
        <v>83</v>
      </c>
      <c r="R661" s="2" t="s">
        <v>80</v>
      </c>
      <c r="S661" s="2" t="s">
        <v>80</v>
      </c>
      <c r="T661" s="2" t="s">
        <v>2583</v>
      </c>
      <c r="U661" s="2" t="s">
        <v>85</v>
      </c>
      <c r="V661" s="4" t="n">
        <v>800000</v>
      </c>
      <c r="W661" s="5" t="n">
        <v>10.03</v>
      </c>
      <c r="X661" s="3" t="n">
        <v>30</v>
      </c>
      <c r="Y661" s="6" t="n">
        <v>46188</v>
      </c>
      <c r="Z661" s="6" t="n">
        <v>46191</v>
      </c>
      <c r="AA661" s="6" t="n">
        <v>46197</v>
      </c>
      <c r="AB661" s="4" t="n">
        <f aca="false">ROUND(PMT(W661/1200,X661,-V661),2)</f>
        <v>30260.29</v>
      </c>
      <c r="AC661" s="4" t="n">
        <v>0</v>
      </c>
      <c r="AD661" s="3" t="n">
        <v>1</v>
      </c>
      <c r="AE661" s="4" t="n">
        <v>304700</v>
      </c>
      <c r="AF661" s="4" t="n">
        <v>121400</v>
      </c>
      <c r="AG661" s="3" t="n">
        <v>12</v>
      </c>
      <c r="AH661" s="4" t="n">
        <v>73900</v>
      </c>
      <c r="AI661" s="3" t="n">
        <v>669</v>
      </c>
      <c r="AJ661" s="7" t="n">
        <f aca="false">ROUND(AB661/I661,4)</f>
        <v>0.2169</v>
      </c>
      <c r="AK661" s="2" t="str">
        <f aca="false">IF(AND(AI661&gt;=750,AJ661&lt;=0.35),"Low",IF(AND(AI661&gt;=600,AJ661&lt;=0.5),"Medium","High"))</f>
        <v>Medium</v>
      </c>
      <c r="AL661" s="3" t="n">
        <v>1</v>
      </c>
      <c r="AM661" s="2" t="s">
        <v>233</v>
      </c>
      <c r="AN661" s="2" t="s">
        <v>119</v>
      </c>
      <c r="AO661" s="2" t="s">
        <v>60</v>
      </c>
      <c r="AP661" s="7" t="n">
        <v>0.336</v>
      </c>
    </row>
    <row r="662" customFormat="false" ht="15" hidden="false" customHeight="false" outlineLevel="0" collapsed="false">
      <c r="A662" s="2" t="s">
        <v>2584</v>
      </c>
      <c r="B662" s="2" t="s">
        <v>2585</v>
      </c>
      <c r="C662" s="2" t="s">
        <v>2586</v>
      </c>
      <c r="D662" s="2" t="s">
        <v>109</v>
      </c>
      <c r="E662" s="3" t="n">
        <v>21</v>
      </c>
      <c r="F662" s="2" t="s">
        <v>175</v>
      </c>
      <c r="G662" s="2" t="s">
        <v>176</v>
      </c>
      <c r="H662" s="2" t="s">
        <v>48</v>
      </c>
      <c r="I662" s="4" t="n">
        <v>86500</v>
      </c>
      <c r="J662" s="2" t="s">
        <v>177</v>
      </c>
      <c r="K662" s="3" t="n">
        <v>0</v>
      </c>
      <c r="L662" s="2" t="s">
        <v>147</v>
      </c>
      <c r="M662" s="2" t="s">
        <v>147</v>
      </c>
      <c r="N662" s="2" t="s">
        <v>140</v>
      </c>
      <c r="O662" s="3" t="n">
        <v>0</v>
      </c>
      <c r="P662" s="2" t="s">
        <v>148</v>
      </c>
      <c r="Q662" s="2" t="s">
        <v>149</v>
      </c>
      <c r="R662" s="2" t="s">
        <v>147</v>
      </c>
      <c r="S662" s="2" t="s">
        <v>147</v>
      </c>
      <c r="T662" s="2" t="s">
        <v>2587</v>
      </c>
      <c r="U662" s="2" t="s">
        <v>192</v>
      </c>
      <c r="V662" s="4" t="n">
        <v>1040000</v>
      </c>
      <c r="W662" s="5" t="n">
        <v>11.03</v>
      </c>
      <c r="X662" s="3" t="n">
        <v>48</v>
      </c>
      <c r="Y662" s="6" t="n">
        <v>46182</v>
      </c>
      <c r="Z662" s="6"/>
      <c r="AA662" s="6"/>
      <c r="AB662" s="4" t="n">
        <f aca="false">ROUND(PMT(W662/1200,X662,-V662),2)</f>
        <v>26894.5</v>
      </c>
      <c r="AC662" s="4" t="n">
        <v>1115000</v>
      </c>
      <c r="AD662" s="3" t="n">
        <v>0</v>
      </c>
      <c r="AE662" s="4" t="n">
        <v>102500</v>
      </c>
      <c r="AF662" s="4" t="n">
        <v>49400</v>
      </c>
      <c r="AG662" s="3" t="n">
        <v>30</v>
      </c>
      <c r="AH662" s="4" t="n">
        <v>27600</v>
      </c>
      <c r="AI662" s="3" t="n">
        <v>722</v>
      </c>
      <c r="AJ662" s="7" t="n">
        <f aca="false">ROUND(AB662/I662,4)</f>
        <v>0.3109</v>
      </c>
      <c r="AK662" s="2" t="str">
        <f aca="false">IF(AND(AI662&gt;=750,AJ662&lt;=0.35),"Low",IF(AND(AI662&gt;=600,AJ662&lt;=0.5),"Medium","High"))</f>
        <v>Medium</v>
      </c>
      <c r="AL662" s="3" t="n">
        <v>2</v>
      </c>
      <c r="AM662" s="2" t="s">
        <v>58</v>
      </c>
      <c r="AN662" s="2"/>
      <c r="AO662" s="2" t="s">
        <v>127</v>
      </c>
      <c r="AP662" s="7" t="n">
        <v>0.258</v>
      </c>
    </row>
    <row r="663" customFormat="false" ht="15" hidden="false" customHeight="false" outlineLevel="0" collapsed="false">
      <c r="A663" s="2" t="s">
        <v>2588</v>
      </c>
      <c r="B663" s="2" t="s">
        <v>2589</v>
      </c>
      <c r="C663" s="2" t="s">
        <v>1199</v>
      </c>
      <c r="D663" s="2" t="s">
        <v>109</v>
      </c>
      <c r="E663" s="3" t="n">
        <v>28</v>
      </c>
      <c r="F663" s="2" t="s">
        <v>64</v>
      </c>
      <c r="G663" s="2" t="s">
        <v>110</v>
      </c>
      <c r="H663" s="2" t="s">
        <v>48</v>
      </c>
      <c r="I663" s="4" t="n">
        <v>17000</v>
      </c>
      <c r="J663" s="2" t="s">
        <v>112</v>
      </c>
      <c r="K663" s="3" t="n">
        <v>4</v>
      </c>
      <c r="L663" s="2" t="s">
        <v>220</v>
      </c>
      <c r="M663" s="2" t="s">
        <v>51</v>
      </c>
      <c r="N663" s="2"/>
      <c r="O663" s="3" t="n">
        <v>1</v>
      </c>
      <c r="P663" s="2" t="s">
        <v>53</v>
      </c>
      <c r="Q663" s="2" t="s">
        <v>54</v>
      </c>
      <c r="R663" s="2" t="s">
        <v>55</v>
      </c>
      <c r="S663" s="2" t="s">
        <v>51</v>
      </c>
      <c r="T663" s="2" t="s">
        <v>2590</v>
      </c>
      <c r="U663" s="2" t="s">
        <v>118</v>
      </c>
      <c r="V663" s="4" t="n">
        <v>268000</v>
      </c>
      <c r="W663" s="5" t="n">
        <v>8.69</v>
      </c>
      <c r="X663" s="3" t="n">
        <v>72</v>
      </c>
      <c r="Y663" s="6" t="n">
        <v>46198</v>
      </c>
      <c r="Z663" s="6"/>
      <c r="AA663" s="6"/>
      <c r="AB663" s="4" t="n">
        <f aca="false">ROUND(PMT(W663/1200,X663,-V663),2)</f>
        <v>4789.71</v>
      </c>
      <c r="AC663" s="4" t="n">
        <v>0</v>
      </c>
      <c r="AD663" s="3" t="n">
        <v>0</v>
      </c>
      <c r="AE663" s="4"/>
      <c r="AF663" s="4" t="n">
        <v>5700</v>
      </c>
      <c r="AG663" s="3"/>
      <c r="AH663" s="4" t="n">
        <v>8900</v>
      </c>
      <c r="AI663" s="3" t="n">
        <v>547</v>
      </c>
      <c r="AJ663" s="7" t="n">
        <f aca="false">ROUND(AB663/I663,4)</f>
        <v>0.2817</v>
      </c>
      <c r="AK663" s="2" t="str">
        <f aca="false">IF(AND(AI663&gt;=750,AJ663&lt;=0.35),"Low",IF(AND(AI663&gt;=600,AJ663&lt;=0.5),"Medium","High"))</f>
        <v>High</v>
      </c>
      <c r="AL663" s="3"/>
      <c r="AM663" s="2" t="s">
        <v>58</v>
      </c>
      <c r="AN663" s="2"/>
      <c r="AO663" s="2" t="s">
        <v>127</v>
      </c>
      <c r="AP663" s="7" t="n">
        <v>0.35</v>
      </c>
    </row>
    <row r="664" customFormat="false" ht="15" hidden="false" customHeight="false" outlineLevel="0" collapsed="false">
      <c r="A664" s="2" t="s">
        <v>2591</v>
      </c>
      <c r="B664" s="2" t="s">
        <v>2063</v>
      </c>
      <c r="C664" s="2" t="s">
        <v>2592</v>
      </c>
      <c r="D664" s="2" t="s">
        <v>45</v>
      </c>
      <c r="E664" s="3" t="n">
        <v>38</v>
      </c>
      <c r="F664" s="2" t="s">
        <v>64</v>
      </c>
      <c r="G664" s="2" t="s">
        <v>65</v>
      </c>
      <c r="H664" s="2" t="s">
        <v>48</v>
      </c>
      <c r="I664" s="4" t="n">
        <v>34500</v>
      </c>
      <c r="J664" s="2" t="s">
        <v>49</v>
      </c>
      <c r="K664" s="3" t="n">
        <v>19</v>
      </c>
      <c r="L664" s="2" t="s">
        <v>1866</v>
      </c>
      <c r="M664" s="2" t="s">
        <v>114</v>
      </c>
      <c r="N664" s="2" t="s">
        <v>102</v>
      </c>
      <c r="O664" s="3" t="n">
        <v>1</v>
      </c>
      <c r="P664" s="2" t="s">
        <v>115</v>
      </c>
      <c r="Q664" s="2" t="s">
        <v>116</v>
      </c>
      <c r="R664" s="2" t="s">
        <v>114</v>
      </c>
      <c r="S664" s="2" t="s">
        <v>114</v>
      </c>
      <c r="T664" s="2" t="s">
        <v>2593</v>
      </c>
      <c r="U664" s="2" t="s">
        <v>57</v>
      </c>
      <c r="V664" s="4" t="n">
        <v>1073000</v>
      </c>
      <c r="W664" s="5" t="n">
        <v>9.72</v>
      </c>
      <c r="X664" s="3" t="n">
        <v>288</v>
      </c>
      <c r="Y664" s="6" t="n">
        <v>46196</v>
      </c>
      <c r="Z664" s="6"/>
      <c r="AA664" s="6"/>
      <c r="AB664" s="4" t="n">
        <f aca="false">ROUND(PMT(W664/1200,X664,-V664),2)</f>
        <v>9634.94</v>
      </c>
      <c r="AC664" s="4" t="n">
        <v>1352000</v>
      </c>
      <c r="AD664" s="3" t="n">
        <v>1</v>
      </c>
      <c r="AE664" s="4" t="n">
        <v>111300</v>
      </c>
      <c r="AF664" s="4" t="n">
        <v>30100</v>
      </c>
      <c r="AG664" s="3" t="n">
        <v>2</v>
      </c>
      <c r="AH664" s="4" t="n">
        <v>15300</v>
      </c>
      <c r="AI664" s="3" t="n">
        <v>614</v>
      </c>
      <c r="AJ664" s="7" t="n">
        <f aca="false">ROUND(AB664/I664,4)</f>
        <v>0.2793</v>
      </c>
      <c r="AK664" s="2" t="str">
        <f aca="false">IF(AND(AI664&gt;=750,AJ664&lt;=0.35),"Low",IF(AND(AI664&gt;=600,AJ664&lt;=0.5),"Medium","High"))</f>
        <v>Medium</v>
      </c>
      <c r="AL664" s="3" t="n">
        <v>3</v>
      </c>
      <c r="AM664" s="2" t="s">
        <v>58</v>
      </c>
      <c r="AN664" s="2"/>
      <c r="AO664" s="2" t="s">
        <v>134</v>
      </c>
      <c r="AP664" s="7" t="n">
        <v>0.366</v>
      </c>
    </row>
    <row r="665" customFormat="false" ht="15" hidden="false" customHeight="false" outlineLevel="0" collapsed="false">
      <c r="A665" s="2" t="s">
        <v>2594</v>
      </c>
      <c r="B665" s="2" t="s">
        <v>2595</v>
      </c>
      <c r="C665" s="2" t="s">
        <v>2596</v>
      </c>
      <c r="D665" s="2" t="s">
        <v>45</v>
      </c>
      <c r="E665" s="3" t="n">
        <v>57</v>
      </c>
      <c r="F665" s="2" t="s">
        <v>64</v>
      </c>
      <c r="G665" s="2" t="s">
        <v>90</v>
      </c>
      <c r="H665" s="2" t="s">
        <v>101</v>
      </c>
      <c r="I665" s="4" t="n">
        <v>58500</v>
      </c>
      <c r="J665" s="2" t="s">
        <v>90</v>
      </c>
      <c r="K665" s="3" t="n">
        <v>38</v>
      </c>
      <c r="L665" s="2" t="s">
        <v>138</v>
      </c>
      <c r="M665" s="2" t="s">
        <v>139</v>
      </c>
      <c r="N665" s="2" t="s">
        <v>140</v>
      </c>
      <c r="O665" s="3" t="n">
        <v>3</v>
      </c>
      <c r="P665" s="2" t="s">
        <v>197</v>
      </c>
      <c r="Q665" s="2" t="s">
        <v>198</v>
      </c>
      <c r="R665" s="2" t="s">
        <v>139</v>
      </c>
      <c r="S665" s="2" t="s">
        <v>139</v>
      </c>
      <c r="T665" s="2" t="s">
        <v>2597</v>
      </c>
      <c r="U665" s="2" t="s">
        <v>97</v>
      </c>
      <c r="V665" s="4" t="n">
        <v>939000</v>
      </c>
      <c r="W665" s="5" t="n">
        <v>12.03</v>
      </c>
      <c r="X665" s="3" t="n">
        <v>48</v>
      </c>
      <c r="Y665" s="6" t="n">
        <v>46177</v>
      </c>
      <c r="Z665" s="6" t="n">
        <v>46184</v>
      </c>
      <c r="AA665" s="6" t="n">
        <v>46185</v>
      </c>
      <c r="AB665" s="4" t="n">
        <f aca="false">ROUND(PMT(W665/1200,X665,-V665),2)</f>
        <v>24741.3</v>
      </c>
      <c r="AC665" s="4" t="n">
        <v>0</v>
      </c>
      <c r="AD665" s="3" t="n">
        <v>1</v>
      </c>
      <c r="AE665" s="4" t="n">
        <v>129300</v>
      </c>
      <c r="AF665" s="4" t="n">
        <v>20300</v>
      </c>
      <c r="AG665" s="3" t="n">
        <v>47</v>
      </c>
      <c r="AH665" s="4" t="n">
        <v>21500</v>
      </c>
      <c r="AI665" s="3" t="n">
        <v>900</v>
      </c>
      <c r="AJ665" s="7" t="n">
        <f aca="false">ROUND(AB665/I665,4)</f>
        <v>0.4229</v>
      </c>
      <c r="AK665" s="2" t="str">
        <f aca="false">IF(AND(AI665&gt;=750,AJ665&lt;=0.35),"Low",IF(AND(AI665&gt;=600,AJ665&lt;=0.5),"Medium","High"))</f>
        <v>Medium</v>
      </c>
      <c r="AL665" s="3" t="n">
        <v>0</v>
      </c>
      <c r="AM665" s="2" t="s">
        <v>58</v>
      </c>
      <c r="AN665" s="2" t="s">
        <v>119</v>
      </c>
      <c r="AO665" s="2" t="s">
        <v>60</v>
      </c>
      <c r="AP665" s="7" t="n">
        <v>0.05</v>
      </c>
    </row>
    <row r="666" customFormat="false" ht="15" hidden="false" customHeight="false" outlineLevel="0" collapsed="false">
      <c r="A666" s="2" t="s">
        <v>2598</v>
      </c>
      <c r="B666" s="2" t="s">
        <v>2599</v>
      </c>
      <c r="C666" s="2" t="s">
        <v>2600</v>
      </c>
      <c r="D666" s="2" t="s">
        <v>45</v>
      </c>
      <c r="E666" s="3" t="n">
        <v>23</v>
      </c>
      <c r="F666" s="2" t="s">
        <v>64</v>
      </c>
      <c r="G666" s="2" t="s">
        <v>246</v>
      </c>
      <c r="H666" s="2" t="s">
        <v>77</v>
      </c>
      <c r="I666" s="4" t="n">
        <v>11500</v>
      </c>
      <c r="J666" s="2" t="s">
        <v>145</v>
      </c>
      <c r="K666" s="3" t="n">
        <v>0</v>
      </c>
      <c r="L666" s="2" t="s">
        <v>288</v>
      </c>
      <c r="M666" s="2" t="s">
        <v>147</v>
      </c>
      <c r="N666" s="2" t="s">
        <v>52</v>
      </c>
      <c r="O666" s="3" t="n">
        <v>4</v>
      </c>
      <c r="P666" s="2" t="s">
        <v>197</v>
      </c>
      <c r="Q666" s="2" t="s">
        <v>198</v>
      </c>
      <c r="R666" s="2" t="s">
        <v>139</v>
      </c>
      <c r="S666" s="2" t="s">
        <v>139</v>
      </c>
      <c r="T666" s="2" t="s">
        <v>2601</v>
      </c>
      <c r="U666" s="2" t="s">
        <v>85</v>
      </c>
      <c r="V666" s="4" t="n">
        <v>50000</v>
      </c>
      <c r="W666" s="5" t="n">
        <v>10.21</v>
      </c>
      <c r="X666" s="3" t="n">
        <v>12</v>
      </c>
      <c r="Y666" s="6" t="n">
        <v>46184</v>
      </c>
      <c r="Z666" s="6"/>
      <c r="AA666" s="6"/>
      <c r="AB666" s="4" t="n">
        <f aca="false">ROUND(PMT(W666/1200,X666,-V666),2)</f>
        <v>4400.68</v>
      </c>
      <c r="AC666" s="4" t="n">
        <v>0</v>
      </c>
      <c r="AD666" s="3" t="n">
        <v>1</v>
      </c>
      <c r="AE666" s="4" t="n">
        <v>28900</v>
      </c>
      <c r="AF666" s="4" t="n">
        <v>14600</v>
      </c>
      <c r="AG666" s="3" t="n">
        <v>42</v>
      </c>
      <c r="AH666" s="4" t="n">
        <v>10700</v>
      </c>
      <c r="AI666" s="3" t="n">
        <v>681</v>
      </c>
      <c r="AJ666" s="7" t="n">
        <f aca="false">ROUND(AB666/I666,4)</f>
        <v>0.3827</v>
      </c>
      <c r="AK666" s="2" t="str">
        <f aca="false">IF(AND(AI666&gt;=750,AJ666&lt;=0.35),"Low",IF(AND(AI666&gt;=600,AJ666&lt;=0.5),"Medium","High"))</f>
        <v>Medium</v>
      </c>
      <c r="AL666" s="3" t="n">
        <v>2</v>
      </c>
      <c r="AM666" s="2" t="s">
        <v>58</v>
      </c>
      <c r="AN666" s="2"/>
      <c r="AO666" s="2" t="s">
        <v>127</v>
      </c>
      <c r="AP666" s="7" t="n">
        <v>0.28</v>
      </c>
    </row>
    <row r="667" customFormat="false" ht="15" hidden="false" customHeight="false" outlineLevel="0" collapsed="false">
      <c r="A667" s="2" t="s">
        <v>2602</v>
      </c>
      <c r="B667" s="2" t="s">
        <v>2603</v>
      </c>
      <c r="C667" s="2" t="s">
        <v>2604</v>
      </c>
      <c r="D667" s="2" t="s">
        <v>45</v>
      </c>
      <c r="E667" s="3" t="n">
        <v>39</v>
      </c>
      <c r="F667" s="2" t="s">
        <v>64</v>
      </c>
      <c r="G667" s="2" t="s">
        <v>154</v>
      </c>
      <c r="H667" s="2" t="s">
        <v>77</v>
      </c>
      <c r="I667" s="4" t="n">
        <v>43500</v>
      </c>
      <c r="J667" s="2" t="s">
        <v>145</v>
      </c>
      <c r="K667" s="3" t="n">
        <v>14</v>
      </c>
      <c r="L667" s="2" t="s">
        <v>91</v>
      </c>
      <c r="M667" s="2" t="s">
        <v>92</v>
      </c>
      <c r="N667" s="2" t="s">
        <v>52</v>
      </c>
      <c r="O667" s="3" t="n">
        <v>2</v>
      </c>
      <c r="P667" s="2" t="s">
        <v>124</v>
      </c>
      <c r="Q667" s="2" t="s">
        <v>125</v>
      </c>
      <c r="R667" s="2" t="s">
        <v>91</v>
      </c>
      <c r="S667" s="2" t="s">
        <v>92</v>
      </c>
      <c r="T667" s="2" t="s">
        <v>2605</v>
      </c>
      <c r="U667" s="2" t="s">
        <v>72</v>
      </c>
      <c r="V667" s="4" t="n">
        <v>300000</v>
      </c>
      <c r="W667" s="5" t="n">
        <v>13.62</v>
      </c>
      <c r="X667" s="3" t="n">
        <v>72</v>
      </c>
      <c r="Y667" s="6" t="n">
        <v>46184</v>
      </c>
      <c r="Z667" s="6" t="n">
        <v>46187</v>
      </c>
      <c r="AA667" s="6" t="n">
        <v>46191</v>
      </c>
      <c r="AB667" s="4" t="n">
        <f aca="false">ROUND(PMT(W667/1200,X667,-V667),2)</f>
        <v>6120.84</v>
      </c>
      <c r="AC667" s="4" t="n">
        <v>332000</v>
      </c>
      <c r="AD667" s="3" t="n">
        <v>1</v>
      </c>
      <c r="AE667" s="4" t="n">
        <v>87000</v>
      </c>
      <c r="AF667" s="4" t="n">
        <v>24300</v>
      </c>
      <c r="AG667" s="3" t="n">
        <v>26</v>
      </c>
      <c r="AH667" s="4" t="n">
        <v>28400</v>
      </c>
      <c r="AI667" s="3" t="n">
        <v>864</v>
      </c>
      <c r="AJ667" s="7" t="n">
        <f aca="false">ROUND(AB667/I667,4)</f>
        <v>0.1407</v>
      </c>
      <c r="AK667" s="2" t="str">
        <f aca="false">IF(AND(AI667&gt;=750,AJ667&lt;=0.35),"Low",IF(AND(AI667&gt;=600,AJ667&lt;=0.5),"Medium","High"))</f>
        <v>Low</v>
      </c>
      <c r="AL667" s="3" t="n">
        <v>0</v>
      </c>
      <c r="AM667" s="2" t="s">
        <v>58</v>
      </c>
      <c r="AN667" s="2" t="s">
        <v>59</v>
      </c>
      <c r="AO667" s="2" t="s">
        <v>60</v>
      </c>
      <c r="AP667" s="7" t="n">
        <v>0.1</v>
      </c>
    </row>
    <row r="668" customFormat="false" ht="15" hidden="false" customHeight="false" outlineLevel="0" collapsed="false">
      <c r="A668" s="2" t="s">
        <v>2606</v>
      </c>
      <c r="B668" s="2" t="s">
        <v>2035</v>
      </c>
      <c r="C668" s="2" t="s">
        <v>2595</v>
      </c>
      <c r="D668" s="2" t="s">
        <v>45</v>
      </c>
      <c r="E668" s="3" t="n">
        <v>63</v>
      </c>
      <c r="F668" s="2" t="s">
        <v>64</v>
      </c>
      <c r="G668" s="2" t="s">
        <v>76</v>
      </c>
      <c r="H668" s="2" t="s">
        <v>77</v>
      </c>
      <c r="I668" s="4" t="n">
        <v>50500</v>
      </c>
      <c r="J668" s="2" t="s">
        <v>78</v>
      </c>
      <c r="K668" s="3" t="n">
        <v>39</v>
      </c>
      <c r="L668" s="2" t="s">
        <v>70</v>
      </c>
      <c r="M668" s="2" t="s">
        <v>67</v>
      </c>
      <c r="N668" s="2" t="s">
        <v>81</v>
      </c>
      <c r="O668" s="3" t="n">
        <v>3</v>
      </c>
      <c r="P668" s="2" t="s">
        <v>68</v>
      </c>
      <c r="Q668" s="2" t="s">
        <v>69</v>
      </c>
      <c r="R668" s="2" t="s">
        <v>70</v>
      </c>
      <c r="S668" s="2" t="s">
        <v>67</v>
      </c>
      <c r="T668" s="2" t="s">
        <v>2607</v>
      </c>
      <c r="U668" s="2" t="s">
        <v>180</v>
      </c>
      <c r="V668" s="4" t="n">
        <v>451000</v>
      </c>
      <c r="W668" s="5" t="n">
        <v>9.34</v>
      </c>
      <c r="X668" s="3" t="n">
        <v>24</v>
      </c>
      <c r="Y668" s="6" t="n">
        <v>46196</v>
      </c>
      <c r="Z668" s="6" t="n">
        <v>46198</v>
      </c>
      <c r="AA668" s="6" t="n">
        <v>46199</v>
      </c>
      <c r="AB668" s="4" t="n">
        <f aca="false">ROUND(PMT(W668/1200,X668,-V668),2)</f>
        <v>20674.25</v>
      </c>
      <c r="AC668" s="4" t="n">
        <v>515000</v>
      </c>
      <c r="AD668" s="3" t="n">
        <v>0</v>
      </c>
      <c r="AE668" s="4"/>
      <c r="AF668" s="4" t="n">
        <v>13600</v>
      </c>
      <c r="AG668" s="3" t="n">
        <v>11</v>
      </c>
      <c r="AH668" s="4" t="n">
        <v>25900</v>
      </c>
      <c r="AI668" s="3" t="n">
        <v>856</v>
      </c>
      <c r="AJ668" s="7" t="n">
        <f aca="false">ROUND(AB668/I668,4)</f>
        <v>0.4094</v>
      </c>
      <c r="AK668" s="2" t="str">
        <f aca="false">IF(AND(AI668&gt;=750,AJ668&lt;=0.35),"Low",IF(AND(AI668&gt;=600,AJ668&lt;=0.5),"Medium","High"))</f>
        <v>Medium</v>
      </c>
      <c r="AL668" s="3" t="n">
        <v>0</v>
      </c>
      <c r="AM668" s="2" t="s">
        <v>58</v>
      </c>
      <c r="AN668" s="2" t="s">
        <v>119</v>
      </c>
      <c r="AO668" s="2" t="s">
        <v>60</v>
      </c>
      <c r="AP668" s="7" t="n">
        <v>0.119</v>
      </c>
    </row>
    <row r="669" customFormat="false" ht="15" hidden="false" customHeight="false" outlineLevel="0" collapsed="false">
      <c r="A669" s="2" t="s">
        <v>2608</v>
      </c>
      <c r="B669" s="2" t="s">
        <v>944</v>
      </c>
      <c r="C669" s="2" t="s">
        <v>2609</v>
      </c>
      <c r="D669" s="2" t="s">
        <v>45</v>
      </c>
      <c r="E669" s="3" t="n">
        <v>41</v>
      </c>
      <c r="F669" s="2" t="s">
        <v>64</v>
      </c>
      <c r="G669" s="2" t="s">
        <v>65</v>
      </c>
      <c r="H669" s="2" t="s">
        <v>101</v>
      </c>
      <c r="I669" s="4" t="n">
        <v>30500</v>
      </c>
      <c r="J669" s="2" t="s">
        <v>49</v>
      </c>
      <c r="K669" s="3" t="n">
        <v>20</v>
      </c>
      <c r="L669" s="2" t="s">
        <v>569</v>
      </c>
      <c r="M669" s="2" t="s">
        <v>67</v>
      </c>
      <c r="N669" s="2" t="s">
        <v>102</v>
      </c>
      <c r="O669" s="3" t="n">
        <v>1</v>
      </c>
      <c r="P669" s="2" t="s">
        <v>103</v>
      </c>
      <c r="Q669" s="2" t="s">
        <v>104</v>
      </c>
      <c r="R669" s="2" t="s">
        <v>67</v>
      </c>
      <c r="S669" s="2" t="s">
        <v>67</v>
      </c>
      <c r="T669" s="2" t="s">
        <v>2610</v>
      </c>
      <c r="U669" s="2" t="s">
        <v>180</v>
      </c>
      <c r="V669" s="4" t="n">
        <v>454000</v>
      </c>
      <c r="W669" s="5" t="n">
        <v>11.99</v>
      </c>
      <c r="X669" s="3" t="n">
        <v>72</v>
      </c>
      <c r="Y669" s="6" t="n">
        <v>46191</v>
      </c>
      <c r="Z669" s="6" t="n">
        <v>46196</v>
      </c>
      <c r="AA669" s="6" t="n">
        <v>46197</v>
      </c>
      <c r="AB669" s="4" t="n">
        <f aca="false">ROUND(PMT(W669/1200,X669,-V669),2)</f>
        <v>8873.43</v>
      </c>
      <c r="AC669" s="4" t="n">
        <v>657000</v>
      </c>
      <c r="AD669" s="3" t="n">
        <v>0</v>
      </c>
      <c r="AE669" s="4" t="n">
        <v>21700</v>
      </c>
      <c r="AF669" s="4" t="n">
        <v>4700</v>
      </c>
      <c r="AG669" s="3" t="n">
        <v>35</v>
      </c>
      <c r="AH669" s="4" t="n">
        <v>19500</v>
      </c>
      <c r="AI669" s="3" t="n">
        <v>834</v>
      </c>
      <c r="AJ669" s="7" t="n">
        <f aca="false">ROUND(AB669/I669,4)</f>
        <v>0.2909</v>
      </c>
      <c r="AK669" s="2" t="str">
        <f aca="false">IF(AND(AI669&gt;=750,AJ669&lt;=0.35),"Low",IF(AND(AI669&gt;=600,AJ669&lt;=0.5),"Medium","High"))</f>
        <v>Low</v>
      </c>
      <c r="AL669" s="3" t="n">
        <v>2</v>
      </c>
      <c r="AM669" s="2" t="s">
        <v>233</v>
      </c>
      <c r="AN669" s="2" t="s">
        <v>59</v>
      </c>
      <c r="AO669" s="2" t="s">
        <v>60</v>
      </c>
      <c r="AP669" s="7" t="n">
        <v>0.21</v>
      </c>
    </row>
    <row r="670" customFormat="false" ht="15" hidden="false" customHeight="false" outlineLevel="0" collapsed="false">
      <c r="A670" s="2" t="s">
        <v>2611</v>
      </c>
      <c r="B670" s="2" t="s">
        <v>680</v>
      </c>
      <c r="C670" s="2" t="s">
        <v>863</v>
      </c>
      <c r="D670" s="2" t="s">
        <v>45</v>
      </c>
      <c r="E670" s="3" t="n">
        <v>46</v>
      </c>
      <c r="F670" s="2" t="s">
        <v>64</v>
      </c>
      <c r="G670" s="2" t="s">
        <v>76</v>
      </c>
      <c r="H670" s="2" t="s">
        <v>101</v>
      </c>
      <c r="I670" s="4" t="n">
        <v>95000</v>
      </c>
      <c r="J670" s="2" t="s">
        <v>78</v>
      </c>
      <c r="K670" s="3" t="n">
        <v>18</v>
      </c>
      <c r="L670" s="2" t="s">
        <v>159</v>
      </c>
      <c r="M670" s="2" t="s">
        <v>159</v>
      </c>
      <c r="N670" s="2" t="s">
        <v>52</v>
      </c>
      <c r="O670" s="3" t="n">
        <v>1</v>
      </c>
      <c r="P670" s="2" t="s">
        <v>160</v>
      </c>
      <c r="Q670" s="2" t="s">
        <v>161</v>
      </c>
      <c r="R670" s="2" t="s">
        <v>159</v>
      </c>
      <c r="S670" s="2" t="s">
        <v>159</v>
      </c>
      <c r="T670" s="2" t="s">
        <v>2612</v>
      </c>
      <c r="U670" s="2" t="s">
        <v>180</v>
      </c>
      <c r="V670" s="4" t="n">
        <v>364000</v>
      </c>
      <c r="W670" s="5" t="n">
        <v>11.3</v>
      </c>
      <c r="X670" s="3" t="n">
        <v>18</v>
      </c>
      <c r="Y670" s="6" t="n">
        <v>46187</v>
      </c>
      <c r="Z670" s="6" t="n">
        <v>46196</v>
      </c>
      <c r="AA670" s="6" t="n">
        <v>46201</v>
      </c>
      <c r="AB670" s="4" t="n">
        <f aca="false">ROUND(PMT(W670/1200,X670,-V670),2)</f>
        <v>22079.29</v>
      </c>
      <c r="AC670" s="4" t="n">
        <v>532000</v>
      </c>
      <c r="AD670" s="3"/>
      <c r="AE670" s="4" t="n">
        <v>361700</v>
      </c>
      <c r="AF670" s="4" t="n">
        <v>37300</v>
      </c>
      <c r="AG670" s="3" t="n">
        <v>24</v>
      </c>
      <c r="AH670" s="4" t="n">
        <v>63800</v>
      </c>
      <c r="AI670" s="3" t="n">
        <v>798</v>
      </c>
      <c r="AJ670" s="7" t="n">
        <f aca="false">ROUND(AB670/I670,4)</f>
        <v>0.2324</v>
      </c>
      <c r="AK670" s="2" t="str">
        <f aca="false">IF(AND(AI670&gt;=750,AJ670&lt;=0.35),"Low",IF(AND(AI670&gt;=600,AJ670&lt;=0.5),"Medium","High"))</f>
        <v>Low</v>
      </c>
      <c r="AL670" s="3" t="n">
        <v>0</v>
      </c>
      <c r="AM670" s="2" t="s">
        <v>58</v>
      </c>
      <c r="AN670" s="2" t="s">
        <v>59</v>
      </c>
      <c r="AO670" s="2" t="s">
        <v>60</v>
      </c>
      <c r="AP670" s="7" t="n">
        <v>0.161</v>
      </c>
    </row>
    <row r="671" customFormat="false" ht="15" hidden="false" customHeight="false" outlineLevel="0" collapsed="false">
      <c r="A671" s="2" t="s">
        <v>2613</v>
      </c>
      <c r="B671" s="2" t="s">
        <v>2614</v>
      </c>
      <c r="C671" s="2" t="s">
        <v>2615</v>
      </c>
      <c r="D671" s="2" t="s">
        <v>109</v>
      </c>
      <c r="E671" s="3" t="n">
        <v>29</v>
      </c>
      <c r="F671" s="2" t="s">
        <v>64</v>
      </c>
      <c r="G671" s="2" t="s">
        <v>90</v>
      </c>
      <c r="H671" s="2" t="s">
        <v>77</v>
      </c>
      <c r="I671" s="4" t="n">
        <v>21000</v>
      </c>
      <c r="J671" s="2" t="s">
        <v>90</v>
      </c>
      <c r="K671" s="3" t="n">
        <v>4</v>
      </c>
      <c r="L671" s="2" t="s">
        <v>211</v>
      </c>
      <c r="M671" s="2" t="s">
        <v>147</v>
      </c>
      <c r="N671" s="2" t="s">
        <v>52</v>
      </c>
      <c r="O671" s="3" t="n">
        <v>0</v>
      </c>
      <c r="P671" s="2" t="s">
        <v>209</v>
      </c>
      <c r="Q671" s="2" t="s">
        <v>210</v>
      </c>
      <c r="R671" s="2" t="s">
        <v>211</v>
      </c>
      <c r="S671" s="2" t="s">
        <v>147</v>
      </c>
      <c r="T671" s="2" t="s">
        <v>2616</v>
      </c>
      <c r="U671" s="2" t="s">
        <v>192</v>
      </c>
      <c r="V671" s="4" t="n">
        <v>200000</v>
      </c>
      <c r="W671" s="5" t="n">
        <v>14.35</v>
      </c>
      <c r="X671" s="3" t="n">
        <v>12</v>
      </c>
      <c r="Y671" s="6" t="n">
        <v>46200</v>
      </c>
      <c r="Z671" s="6"/>
      <c r="AA671" s="6"/>
      <c r="AB671" s="4" t="n">
        <f aca="false">ROUND(PMT(W671/1200,X671,-V671),2)</f>
        <v>17990.38</v>
      </c>
      <c r="AC671" s="4" t="n">
        <v>295000</v>
      </c>
      <c r="AD671" s="3"/>
      <c r="AE671" s="4" t="n">
        <v>57300</v>
      </c>
      <c r="AF671" s="4" t="n">
        <v>26900</v>
      </c>
      <c r="AG671" s="3" t="n">
        <v>10</v>
      </c>
      <c r="AH671" s="4" t="n">
        <v>9300</v>
      </c>
      <c r="AI671" s="3" t="n">
        <v>718</v>
      </c>
      <c r="AJ671" s="7" t="n">
        <f aca="false">ROUND(AB671/I671,4)</f>
        <v>0.8567</v>
      </c>
      <c r="AK671" s="2" t="str">
        <f aca="false">IF(AND(AI671&gt;=750,AJ671&lt;=0.35),"Low",IF(AND(AI671&gt;=600,AJ671&lt;=0.5),"Medium","High"))</f>
        <v>High</v>
      </c>
      <c r="AL671" s="3" t="n">
        <v>2</v>
      </c>
      <c r="AM671" s="2" t="s">
        <v>58</v>
      </c>
      <c r="AN671" s="2"/>
      <c r="AO671" s="2" t="s">
        <v>134</v>
      </c>
      <c r="AP671" s="7" t="n">
        <v>0.246</v>
      </c>
    </row>
    <row r="672" customFormat="false" ht="15" hidden="false" customHeight="false" outlineLevel="0" collapsed="false">
      <c r="A672" s="2" t="s">
        <v>2617</v>
      </c>
      <c r="B672" s="2" t="s">
        <v>2618</v>
      </c>
      <c r="C672" s="2" t="s">
        <v>1683</v>
      </c>
      <c r="D672" s="2" t="s">
        <v>45</v>
      </c>
      <c r="E672" s="3" t="n">
        <v>39</v>
      </c>
      <c r="F672" s="2" t="s">
        <v>46</v>
      </c>
      <c r="G672" s="2" t="s">
        <v>176</v>
      </c>
      <c r="H672" s="2" t="s">
        <v>77</v>
      </c>
      <c r="I672" s="4" t="n">
        <v>71500</v>
      </c>
      <c r="J672" s="2" t="s">
        <v>177</v>
      </c>
      <c r="K672" s="3" t="n">
        <v>12</v>
      </c>
      <c r="L672" s="2" t="s">
        <v>653</v>
      </c>
      <c r="M672" s="2" t="s">
        <v>159</v>
      </c>
      <c r="N672" s="2" t="s">
        <v>140</v>
      </c>
      <c r="O672" s="3"/>
      <c r="P672" s="2" t="s">
        <v>131</v>
      </c>
      <c r="Q672" s="2" t="s">
        <v>132</v>
      </c>
      <c r="R672" s="2" t="s">
        <v>51</v>
      </c>
      <c r="S672" s="2" t="s">
        <v>51</v>
      </c>
      <c r="T672" s="2" t="s">
        <v>2619</v>
      </c>
      <c r="U672" s="2" t="s">
        <v>72</v>
      </c>
      <c r="V672" s="4" t="n">
        <v>561000</v>
      </c>
      <c r="W672" s="5" t="n">
        <v>11.64</v>
      </c>
      <c r="X672" s="3" t="n">
        <v>24</v>
      </c>
      <c r="Y672" s="6" t="n">
        <v>46193</v>
      </c>
      <c r="Z672" s="6" t="n">
        <v>46203</v>
      </c>
      <c r="AA672" s="6" t="n">
        <v>46207</v>
      </c>
      <c r="AB672" s="4" t="n">
        <f aca="false">ROUND(PMT(W672/1200,X672,-V672),2)</f>
        <v>26314</v>
      </c>
      <c r="AC672" s="4" t="n">
        <v>613000</v>
      </c>
      <c r="AD672" s="3" t="n">
        <v>0</v>
      </c>
      <c r="AE672" s="4"/>
      <c r="AF672" s="4" t="n">
        <v>39100</v>
      </c>
      <c r="AG672" s="3" t="n">
        <v>13</v>
      </c>
      <c r="AH672" s="4" t="n">
        <v>27100</v>
      </c>
      <c r="AI672" s="3" t="n">
        <v>724</v>
      </c>
      <c r="AJ672" s="7" t="n">
        <f aca="false">ROUND(AB672/I672,4)</f>
        <v>0.368</v>
      </c>
      <c r="AK672" s="2" t="str">
        <f aca="false">IF(AND(AI672&gt;=750,AJ672&lt;=0.35),"Low",IF(AND(AI672&gt;=600,AJ672&lt;=0.5),"Medium","High"))</f>
        <v>Medium</v>
      </c>
      <c r="AL672" s="3" t="n">
        <v>4</v>
      </c>
      <c r="AM672" s="2" t="s">
        <v>233</v>
      </c>
      <c r="AN672" s="2" t="s">
        <v>59</v>
      </c>
      <c r="AO672" s="2" t="s">
        <v>60</v>
      </c>
      <c r="AP672" s="7" t="n">
        <v>0.324</v>
      </c>
    </row>
    <row r="673" customFormat="false" ht="15" hidden="false" customHeight="false" outlineLevel="0" collapsed="false">
      <c r="A673" s="2" t="s">
        <v>2620</v>
      </c>
      <c r="B673" s="2" t="s">
        <v>2621</v>
      </c>
      <c r="C673" s="2" t="s">
        <v>2622</v>
      </c>
      <c r="D673" s="2" t="s">
        <v>109</v>
      </c>
      <c r="E673" s="3" t="n">
        <v>39</v>
      </c>
      <c r="F673" s="2" t="s">
        <v>64</v>
      </c>
      <c r="G673" s="2" t="s">
        <v>76</v>
      </c>
      <c r="H673" s="2" t="s">
        <v>101</v>
      </c>
      <c r="I673" s="4" t="n">
        <v>55500</v>
      </c>
      <c r="J673" s="2" t="s">
        <v>78</v>
      </c>
      <c r="K673" s="3" t="n">
        <v>15</v>
      </c>
      <c r="L673" s="2" t="s">
        <v>241</v>
      </c>
      <c r="M673" s="2" t="s">
        <v>92</v>
      </c>
      <c r="N673" s="2" t="s">
        <v>102</v>
      </c>
      <c r="O673" s="3" t="n">
        <v>2</v>
      </c>
      <c r="P673" s="2" t="s">
        <v>229</v>
      </c>
      <c r="Q673" s="2" t="s">
        <v>230</v>
      </c>
      <c r="R673" s="2" t="s">
        <v>231</v>
      </c>
      <c r="S673" s="2" t="s">
        <v>92</v>
      </c>
      <c r="T673" s="2" t="s">
        <v>2623</v>
      </c>
      <c r="U673" s="2" t="s">
        <v>192</v>
      </c>
      <c r="V673" s="4" t="n">
        <v>394000</v>
      </c>
      <c r="W673" s="5" t="n">
        <v>12.92</v>
      </c>
      <c r="X673" s="3" t="n">
        <v>24</v>
      </c>
      <c r="Y673" s="6" t="n">
        <v>46189</v>
      </c>
      <c r="Z673" s="6" t="n">
        <v>46192</v>
      </c>
      <c r="AA673" s="6" t="n">
        <v>46196</v>
      </c>
      <c r="AB673" s="4" t="n">
        <f aca="false">ROUND(PMT(W673/1200,X673,-V673),2)</f>
        <v>18716.68</v>
      </c>
      <c r="AC673" s="4" t="n">
        <v>504000</v>
      </c>
      <c r="AD673" s="3" t="n">
        <v>1</v>
      </c>
      <c r="AE673" s="4" t="n">
        <v>207900</v>
      </c>
      <c r="AF673" s="4" t="n">
        <v>63100</v>
      </c>
      <c r="AG673" s="3" t="n">
        <v>33</v>
      </c>
      <c r="AH673" s="4" t="n">
        <v>61000</v>
      </c>
      <c r="AI673" s="3" t="n">
        <v>765</v>
      </c>
      <c r="AJ673" s="7" t="n">
        <f aca="false">ROUND(AB673/I673,4)</f>
        <v>0.3372</v>
      </c>
      <c r="AK673" s="2" t="str">
        <f aca="false">IF(AND(AI673&gt;=750,AJ673&lt;=0.35),"Low",IF(AND(AI673&gt;=600,AJ673&lt;=0.5),"Medium","High"))</f>
        <v>Low</v>
      </c>
      <c r="AL673" s="3" t="n">
        <v>1</v>
      </c>
      <c r="AM673" s="2" t="s">
        <v>58</v>
      </c>
      <c r="AN673" s="2" t="s">
        <v>59</v>
      </c>
      <c r="AO673" s="2" t="s">
        <v>60</v>
      </c>
      <c r="AP673" s="7" t="n">
        <v>0.179</v>
      </c>
    </row>
    <row r="674" customFormat="false" ht="15" hidden="false" customHeight="false" outlineLevel="0" collapsed="false">
      <c r="A674" s="2" t="s">
        <v>2624</v>
      </c>
      <c r="B674" s="2" t="s">
        <v>2625</v>
      </c>
      <c r="C674" s="2" t="s">
        <v>295</v>
      </c>
      <c r="D674" s="2" t="s">
        <v>109</v>
      </c>
      <c r="E674" s="3" t="n">
        <v>32</v>
      </c>
      <c r="F674" s="2" t="s">
        <v>64</v>
      </c>
      <c r="G674" s="2" t="s">
        <v>166</v>
      </c>
      <c r="H674" s="2" t="s">
        <v>101</v>
      </c>
      <c r="I674" s="4" t="n">
        <v>165500</v>
      </c>
      <c r="J674" s="2" t="s">
        <v>145</v>
      </c>
      <c r="K674" s="3" t="n">
        <v>14</v>
      </c>
      <c r="L674" s="2" t="s">
        <v>2455</v>
      </c>
      <c r="M674" s="2" t="s">
        <v>139</v>
      </c>
      <c r="N674" s="2" t="s">
        <v>140</v>
      </c>
      <c r="O674" s="3" t="n">
        <v>1</v>
      </c>
      <c r="P674" s="2" t="s">
        <v>197</v>
      </c>
      <c r="Q674" s="2" t="s">
        <v>198</v>
      </c>
      <c r="R674" s="2" t="s">
        <v>139</v>
      </c>
      <c r="S674" s="2" t="s">
        <v>139</v>
      </c>
      <c r="T674" s="2" t="s">
        <v>2626</v>
      </c>
      <c r="U674" s="2" t="s">
        <v>180</v>
      </c>
      <c r="V674" s="4" t="n">
        <v>2078000</v>
      </c>
      <c r="W674" s="5" t="n">
        <v>13.44</v>
      </c>
      <c r="X674" s="3" t="n">
        <v>36</v>
      </c>
      <c r="Y674" s="6" t="n">
        <v>46176</v>
      </c>
      <c r="Z674" s="6" t="n">
        <v>46185</v>
      </c>
      <c r="AA674" s="6" t="n">
        <v>46189</v>
      </c>
      <c r="AB674" s="4" t="n">
        <f aca="false">ROUND(PMT(W674/1200,X674,-V674),2)</f>
        <v>70457.24</v>
      </c>
      <c r="AC674" s="4"/>
      <c r="AD674" s="3" t="n">
        <v>0</v>
      </c>
      <c r="AE674" s="4" t="n">
        <v>612600</v>
      </c>
      <c r="AF674" s="4" t="n">
        <v>267800</v>
      </c>
      <c r="AG674" s="3"/>
      <c r="AH674" s="4" t="n">
        <v>103100</v>
      </c>
      <c r="AI674" s="3" t="n">
        <v>681</v>
      </c>
      <c r="AJ674" s="7" t="n">
        <f aca="false">ROUND(AB674/I674,4)</f>
        <v>0.4257</v>
      </c>
      <c r="AK674" s="2" t="str">
        <f aca="false">IF(AND(AI674&gt;=750,AJ674&lt;=0.35),"Low",IF(AND(AI674&gt;=600,AJ674&lt;=0.5),"Medium","High"))</f>
        <v>Medium</v>
      </c>
      <c r="AL674" s="3" t="n">
        <v>2</v>
      </c>
      <c r="AM674" s="2" t="s">
        <v>233</v>
      </c>
      <c r="AN674" s="2" t="s">
        <v>119</v>
      </c>
      <c r="AO674" s="2" t="s">
        <v>60</v>
      </c>
      <c r="AP674" s="7" t="n">
        <v>0.415</v>
      </c>
    </row>
    <row r="675" customFormat="false" ht="15" hidden="false" customHeight="false" outlineLevel="0" collapsed="false">
      <c r="A675" s="2" t="s">
        <v>2627</v>
      </c>
      <c r="B675" s="2" t="s">
        <v>2628</v>
      </c>
      <c r="C675" s="2" t="s">
        <v>2629</v>
      </c>
      <c r="D675" s="2" t="s">
        <v>109</v>
      </c>
      <c r="E675" s="3" t="n">
        <v>35</v>
      </c>
      <c r="F675" s="2" t="s">
        <v>64</v>
      </c>
      <c r="G675" s="2" t="s">
        <v>110</v>
      </c>
      <c r="H675" s="2" t="s">
        <v>48</v>
      </c>
      <c r="I675" s="4" t="n">
        <v>21000</v>
      </c>
      <c r="J675" s="2" t="s">
        <v>112</v>
      </c>
      <c r="K675" s="3" t="n">
        <v>8</v>
      </c>
      <c r="L675" s="2" t="s">
        <v>241</v>
      </c>
      <c r="M675" s="2" t="s">
        <v>92</v>
      </c>
      <c r="N675" s="2" t="s">
        <v>52</v>
      </c>
      <c r="O675" s="3" t="n">
        <v>4</v>
      </c>
      <c r="P675" s="2" t="s">
        <v>124</v>
      </c>
      <c r="Q675" s="2" t="s">
        <v>125</v>
      </c>
      <c r="R675" s="2" t="s">
        <v>91</v>
      </c>
      <c r="S675" s="2" t="s">
        <v>92</v>
      </c>
      <c r="T675" s="2" t="s">
        <v>2630</v>
      </c>
      <c r="U675" s="2" t="s">
        <v>118</v>
      </c>
      <c r="V675" s="4" t="n">
        <v>130000</v>
      </c>
      <c r="W675" s="5" t="n">
        <v>7.52</v>
      </c>
      <c r="X675" s="3" t="n">
        <v>36</v>
      </c>
      <c r="Y675" s="6" t="n">
        <v>46179</v>
      </c>
      <c r="Z675" s="6" t="n">
        <v>46185</v>
      </c>
      <c r="AA675" s="6" t="n">
        <v>46187</v>
      </c>
      <c r="AB675" s="4" t="n">
        <f aca="false">ROUND(PMT(W675/1200,X675,-V675),2)</f>
        <v>4045</v>
      </c>
      <c r="AC675" s="4" t="n">
        <v>0</v>
      </c>
      <c r="AD675" s="3"/>
      <c r="AE675" s="4" t="n">
        <v>36700</v>
      </c>
      <c r="AF675" s="4" t="n">
        <v>6800</v>
      </c>
      <c r="AG675" s="3" t="n">
        <v>22</v>
      </c>
      <c r="AH675" s="4" t="n">
        <v>8100</v>
      </c>
      <c r="AI675" s="3" t="n">
        <v>697</v>
      </c>
      <c r="AJ675" s="7" t="n">
        <f aca="false">ROUND(AB675/I675,4)</f>
        <v>0.1926</v>
      </c>
      <c r="AK675" s="2" t="str">
        <f aca="false">IF(AND(AI675&gt;=750,AJ675&lt;=0.35),"Low",IF(AND(AI675&gt;=600,AJ675&lt;=0.5),"Medium","High"))</f>
        <v>Medium</v>
      </c>
      <c r="AL675" s="3" t="n">
        <v>1</v>
      </c>
      <c r="AM675" s="2" t="s">
        <v>58</v>
      </c>
      <c r="AN675" s="2" t="s">
        <v>119</v>
      </c>
      <c r="AO675" s="2" t="s">
        <v>60</v>
      </c>
      <c r="AP675" s="7" t="n">
        <v>0.19</v>
      </c>
    </row>
    <row r="676" customFormat="false" ht="15" hidden="false" customHeight="false" outlineLevel="0" collapsed="false">
      <c r="A676" s="2" t="s">
        <v>2631</v>
      </c>
      <c r="B676" s="2" t="s">
        <v>2632</v>
      </c>
      <c r="C676" s="2" t="s">
        <v>2633</v>
      </c>
      <c r="D676" s="2" t="s">
        <v>45</v>
      </c>
      <c r="E676" s="3" t="n">
        <v>33</v>
      </c>
      <c r="F676" s="2" t="s">
        <v>46</v>
      </c>
      <c r="G676" s="2" t="s">
        <v>76</v>
      </c>
      <c r="H676" s="2" t="s">
        <v>48</v>
      </c>
      <c r="I676" s="4" t="n">
        <v>26000</v>
      </c>
      <c r="J676" s="2" t="s">
        <v>78</v>
      </c>
      <c r="K676" s="3" t="n">
        <v>12</v>
      </c>
      <c r="L676" s="2" t="s">
        <v>67</v>
      </c>
      <c r="M676" s="2" t="s">
        <v>67</v>
      </c>
      <c r="N676" s="2" t="s">
        <v>52</v>
      </c>
      <c r="O676" s="3" t="n">
        <v>0</v>
      </c>
      <c r="P676" s="2" t="s">
        <v>103</v>
      </c>
      <c r="Q676" s="2" t="s">
        <v>104</v>
      </c>
      <c r="R676" s="2" t="s">
        <v>67</v>
      </c>
      <c r="S676" s="2" t="s">
        <v>67</v>
      </c>
      <c r="T676" s="2" t="s">
        <v>2634</v>
      </c>
      <c r="U676" s="2" t="s">
        <v>118</v>
      </c>
      <c r="V676" s="4" t="n">
        <v>388000</v>
      </c>
      <c r="W676" s="5" t="n">
        <v>10.06</v>
      </c>
      <c r="X676" s="3" t="n">
        <v>84</v>
      </c>
      <c r="Y676" s="6" t="n">
        <v>46175</v>
      </c>
      <c r="Z676" s="6" t="n">
        <v>46177</v>
      </c>
      <c r="AA676" s="6" t="n">
        <v>46179</v>
      </c>
      <c r="AB676" s="4" t="n">
        <f aca="false">ROUND(PMT(W676/1200,X676,-V676),2)</f>
        <v>6453.29</v>
      </c>
      <c r="AC676" s="4" t="n">
        <v>0</v>
      </c>
      <c r="AD676" s="3"/>
      <c r="AE676" s="4" t="n">
        <v>60800</v>
      </c>
      <c r="AF676" s="4" t="n">
        <v>8900</v>
      </c>
      <c r="AG676" s="3" t="n">
        <v>19</v>
      </c>
      <c r="AH676" s="4" t="n">
        <v>16900</v>
      </c>
      <c r="AI676" s="3" t="n">
        <v>766</v>
      </c>
      <c r="AJ676" s="7" t="n">
        <f aca="false">ROUND(AB676/I676,4)</f>
        <v>0.2482</v>
      </c>
      <c r="AK676" s="2" t="str">
        <f aca="false">IF(AND(AI676&gt;=750,AJ676&lt;=0.35),"Low",IF(AND(AI676&gt;=600,AJ676&lt;=0.5),"Medium","High"))</f>
        <v>Low</v>
      </c>
      <c r="AL676" s="3" t="n">
        <v>2</v>
      </c>
      <c r="AM676" s="2" t="s">
        <v>58</v>
      </c>
      <c r="AN676" s="2" t="s">
        <v>59</v>
      </c>
      <c r="AO676" s="2" t="s">
        <v>60</v>
      </c>
      <c r="AP676" s="7" t="n">
        <v>0.171</v>
      </c>
    </row>
    <row r="677" customFormat="false" ht="15" hidden="false" customHeight="false" outlineLevel="0" collapsed="false">
      <c r="A677" s="2" t="s">
        <v>2635</v>
      </c>
      <c r="B677" s="2" t="s">
        <v>2636</v>
      </c>
      <c r="C677" s="2" t="s">
        <v>2637</v>
      </c>
      <c r="D677" s="2" t="s">
        <v>109</v>
      </c>
      <c r="E677" s="3" t="n">
        <v>45</v>
      </c>
      <c r="F677" s="2"/>
      <c r="G677" s="2" t="s">
        <v>110</v>
      </c>
      <c r="H677" s="2" t="s">
        <v>48</v>
      </c>
      <c r="I677" s="4" t="n">
        <v>51000</v>
      </c>
      <c r="J677" s="2" t="s">
        <v>112</v>
      </c>
      <c r="K677" s="3" t="n">
        <v>24</v>
      </c>
      <c r="L677" s="2" t="s">
        <v>533</v>
      </c>
      <c r="M677" s="2" t="s">
        <v>114</v>
      </c>
      <c r="N677" s="2" t="s">
        <v>102</v>
      </c>
      <c r="O677" s="3" t="n">
        <v>0</v>
      </c>
      <c r="P677" s="2" t="s">
        <v>115</v>
      </c>
      <c r="Q677" s="2" t="s">
        <v>116</v>
      </c>
      <c r="R677" s="2" t="s">
        <v>114</v>
      </c>
      <c r="S677" s="2" t="s">
        <v>114</v>
      </c>
      <c r="T677" s="2" t="s">
        <v>2638</v>
      </c>
      <c r="U677" s="2" t="s">
        <v>97</v>
      </c>
      <c r="V677" s="4" t="n">
        <v>282000</v>
      </c>
      <c r="W677" s="5" t="n">
        <v>14.2</v>
      </c>
      <c r="X677" s="3" t="n">
        <v>18</v>
      </c>
      <c r="Y677" s="6" t="n">
        <v>46178</v>
      </c>
      <c r="Z677" s="6" t="n">
        <v>46188</v>
      </c>
      <c r="AA677" s="6" t="n">
        <v>46190</v>
      </c>
      <c r="AB677" s="4" t="n">
        <f aca="false">ROUND(PMT(W677/1200,X677,-V677),2)</f>
        <v>17486.52</v>
      </c>
      <c r="AC677" s="4" t="n">
        <v>0</v>
      </c>
      <c r="AD677" s="3" t="n">
        <v>2</v>
      </c>
      <c r="AE677" s="4" t="n">
        <v>61600</v>
      </c>
      <c r="AF677" s="4" t="n">
        <v>26700</v>
      </c>
      <c r="AG677" s="3" t="n">
        <v>35</v>
      </c>
      <c r="AH677" s="4" t="n">
        <v>22700</v>
      </c>
      <c r="AI677" s="3" t="n">
        <v>723</v>
      </c>
      <c r="AJ677" s="7" t="n">
        <f aca="false">ROUND(AB677/I677,4)</f>
        <v>0.3429</v>
      </c>
      <c r="AK677" s="2" t="str">
        <f aca="false">IF(AND(AI677&gt;=750,AJ677&lt;=0.35),"Low",IF(AND(AI677&gt;=600,AJ677&lt;=0.5),"Medium","High"))</f>
        <v>Medium</v>
      </c>
      <c r="AL677" s="3" t="n">
        <v>0</v>
      </c>
      <c r="AM677" s="2" t="s">
        <v>58</v>
      </c>
      <c r="AN677" s="2" t="s">
        <v>119</v>
      </c>
      <c r="AO677" s="2" t="s">
        <v>60</v>
      </c>
      <c r="AP677" s="7" t="n">
        <v>0.273</v>
      </c>
    </row>
    <row r="678" customFormat="false" ht="15" hidden="false" customHeight="false" outlineLevel="0" collapsed="false">
      <c r="A678" s="2" t="s">
        <v>2639</v>
      </c>
      <c r="B678" s="2" t="s">
        <v>2640</v>
      </c>
      <c r="C678" s="2" t="s">
        <v>2641</v>
      </c>
      <c r="D678" s="2" t="s">
        <v>45</v>
      </c>
      <c r="E678" s="3" t="n">
        <v>22</v>
      </c>
      <c r="F678" s="2" t="s">
        <v>64</v>
      </c>
      <c r="G678" s="2" t="s">
        <v>90</v>
      </c>
      <c r="H678" s="2" t="s">
        <v>123</v>
      </c>
      <c r="I678" s="4" t="n">
        <v>28000</v>
      </c>
      <c r="J678" s="2" t="s">
        <v>90</v>
      </c>
      <c r="K678" s="3" t="n">
        <v>0</v>
      </c>
      <c r="L678" s="2" t="s">
        <v>91</v>
      </c>
      <c r="M678" s="2" t="s">
        <v>92</v>
      </c>
      <c r="N678" s="2"/>
      <c r="O678" s="3" t="n">
        <v>3</v>
      </c>
      <c r="P678" s="2" t="s">
        <v>124</v>
      </c>
      <c r="Q678" s="2" t="s">
        <v>125</v>
      </c>
      <c r="R678" s="2" t="s">
        <v>91</v>
      </c>
      <c r="S678" s="2" t="s">
        <v>92</v>
      </c>
      <c r="T678" s="2" t="s">
        <v>2642</v>
      </c>
      <c r="U678" s="2" t="s">
        <v>118</v>
      </c>
      <c r="V678" s="4" t="n">
        <v>516000</v>
      </c>
      <c r="W678" s="5" t="n">
        <v>9.87</v>
      </c>
      <c r="X678" s="3" t="n">
        <v>78</v>
      </c>
      <c r="Y678" s="6" t="n">
        <v>46179</v>
      </c>
      <c r="Z678" s="6"/>
      <c r="AA678" s="6"/>
      <c r="AB678" s="4" t="n">
        <f aca="false">ROUND(PMT(W678/1200,X678,-V678),2)</f>
        <v>8989.05</v>
      </c>
      <c r="AC678" s="4" t="n">
        <v>0</v>
      </c>
      <c r="AD678" s="3" t="n">
        <v>1</v>
      </c>
      <c r="AE678" s="4" t="n">
        <v>88700</v>
      </c>
      <c r="AF678" s="4" t="n">
        <v>20500</v>
      </c>
      <c r="AG678" s="3" t="n">
        <v>38</v>
      </c>
      <c r="AH678" s="4" t="n">
        <v>9400</v>
      </c>
      <c r="AI678" s="3" t="n">
        <v>625</v>
      </c>
      <c r="AJ678" s="7" t="n">
        <f aca="false">ROUND(AB678/I678,4)</f>
        <v>0.321</v>
      </c>
      <c r="AK678" s="2" t="str">
        <f aca="false">IF(AND(AI678&gt;=750,AJ678&lt;=0.35),"Low",IF(AND(AI678&gt;=600,AJ678&lt;=0.5),"Medium","High"))</f>
        <v>Medium</v>
      </c>
      <c r="AL678" s="3" t="n">
        <v>0</v>
      </c>
      <c r="AM678" s="2" t="s">
        <v>58</v>
      </c>
      <c r="AN678" s="2"/>
      <c r="AO678" s="2" t="s">
        <v>134</v>
      </c>
      <c r="AP678" s="7" t="n">
        <v>0.353</v>
      </c>
    </row>
    <row r="679" customFormat="false" ht="15" hidden="false" customHeight="false" outlineLevel="0" collapsed="false">
      <c r="A679" s="2" t="s">
        <v>2643</v>
      </c>
      <c r="B679" s="2" t="s">
        <v>2644</v>
      </c>
      <c r="C679" s="2" t="s">
        <v>2645</v>
      </c>
      <c r="D679" s="2" t="s">
        <v>109</v>
      </c>
      <c r="E679" s="3" t="n">
        <v>36</v>
      </c>
      <c r="F679" s="2" t="s">
        <v>175</v>
      </c>
      <c r="G679" s="2" t="s">
        <v>76</v>
      </c>
      <c r="H679" s="2" t="s">
        <v>77</v>
      </c>
      <c r="I679" s="4" t="n">
        <v>35500</v>
      </c>
      <c r="J679" s="2" t="s">
        <v>78</v>
      </c>
      <c r="K679" s="3" t="n">
        <v>12</v>
      </c>
      <c r="L679" s="2" t="s">
        <v>429</v>
      </c>
      <c r="M679" s="2" t="s">
        <v>159</v>
      </c>
      <c r="N679" s="2" t="s">
        <v>52</v>
      </c>
      <c r="O679" s="3" t="n">
        <v>1</v>
      </c>
      <c r="P679" s="2" t="s">
        <v>93</v>
      </c>
      <c r="Q679" s="2" t="s">
        <v>94</v>
      </c>
      <c r="R679" s="2" t="s">
        <v>95</v>
      </c>
      <c r="S679" s="2" t="s">
        <v>92</v>
      </c>
      <c r="T679" s="2" t="s">
        <v>2646</v>
      </c>
      <c r="U679" s="2" t="s">
        <v>85</v>
      </c>
      <c r="V679" s="4" t="n">
        <v>145000</v>
      </c>
      <c r="W679" s="5" t="n">
        <v>8.89</v>
      </c>
      <c r="X679" s="3" t="n">
        <v>12</v>
      </c>
      <c r="Y679" s="6" t="n">
        <v>46186</v>
      </c>
      <c r="Z679" s="6" t="n">
        <v>46187</v>
      </c>
      <c r="AA679" s="6" t="n">
        <v>46191</v>
      </c>
      <c r="AB679" s="4" t="n">
        <f aca="false">ROUND(PMT(W679/1200,X679,-V679),2)</f>
        <v>12673.07</v>
      </c>
      <c r="AC679" s="4" t="n">
        <v>0</v>
      </c>
      <c r="AD679" s="3" t="n">
        <v>1</v>
      </c>
      <c r="AE679" s="4" t="n">
        <v>83900</v>
      </c>
      <c r="AF679" s="4" t="n">
        <v>26600</v>
      </c>
      <c r="AG679" s="3" t="n">
        <v>36</v>
      </c>
      <c r="AH679" s="4" t="n">
        <v>21700</v>
      </c>
      <c r="AI679" s="3" t="n">
        <v>619</v>
      </c>
      <c r="AJ679" s="7" t="n">
        <f aca="false">ROUND(AB679/I679,4)</f>
        <v>0.357</v>
      </c>
      <c r="AK679" s="2" t="str">
        <f aca="false">IF(AND(AI679&gt;=750,AJ679&lt;=0.35),"Low",IF(AND(AI679&gt;=600,AJ679&lt;=0.5),"Medium","High"))</f>
        <v>Medium</v>
      </c>
      <c r="AL679" s="3" t="n">
        <v>1</v>
      </c>
      <c r="AM679" s="2" t="s">
        <v>58</v>
      </c>
      <c r="AN679" s="2" t="s">
        <v>119</v>
      </c>
      <c r="AO679" s="2" t="s">
        <v>60</v>
      </c>
      <c r="AP679" s="7" t="n">
        <v>0.384</v>
      </c>
    </row>
    <row r="680" customFormat="false" ht="15" hidden="false" customHeight="false" outlineLevel="0" collapsed="false">
      <c r="A680" s="2" t="s">
        <v>2647</v>
      </c>
      <c r="B680" s="2" t="s">
        <v>730</v>
      </c>
      <c r="C680" s="2" t="s">
        <v>851</v>
      </c>
      <c r="D680" s="2" t="s">
        <v>45</v>
      </c>
      <c r="E680" s="3" t="n">
        <v>33</v>
      </c>
      <c r="F680" s="2" t="s">
        <v>64</v>
      </c>
      <c r="G680" s="2" t="s">
        <v>166</v>
      </c>
      <c r="H680" s="2" t="s">
        <v>101</v>
      </c>
      <c r="I680" s="4" t="n">
        <v>170500</v>
      </c>
      <c r="J680" s="2" t="s">
        <v>145</v>
      </c>
      <c r="K680" s="3" t="n">
        <v>6</v>
      </c>
      <c r="L680" s="2" t="s">
        <v>51</v>
      </c>
      <c r="M680" s="2" t="s">
        <v>51</v>
      </c>
      <c r="N680" s="2"/>
      <c r="O680" s="3" t="n">
        <v>3</v>
      </c>
      <c r="P680" s="2" t="s">
        <v>131</v>
      </c>
      <c r="Q680" s="2" t="s">
        <v>132</v>
      </c>
      <c r="R680" s="2" t="s">
        <v>51</v>
      </c>
      <c r="S680" s="2" t="s">
        <v>51</v>
      </c>
      <c r="T680" s="2" t="s">
        <v>2648</v>
      </c>
      <c r="U680" s="2" t="s">
        <v>57</v>
      </c>
      <c r="V680" s="4" t="n">
        <v>5000000</v>
      </c>
      <c r="W680" s="5" t="n">
        <v>11.25</v>
      </c>
      <c r="X680" s="3" t="n">
        <v>288</v>
      </c>
      <c r="Y680" s="6" t="n">
        <v>46183</v>
      </c>
      <c r="Z680" s="6"/>
      <c r="AA680" s="6"/>
      <c r="AB680" s="4" t="n">
        <f aca="false">ROUND(PMT(W680/1200,X680,-V680),2)</f>
        <v>50298.09</v>
      </c>
      <c r="AC680" s="4" t="n">
        <v>7397000</v>
      </c>
      <c r="AD680" s="3" t="n">
        <v>0</v>
      </c>
      <c r="AE680" s="4" t="n">
        <v>128600</v>
      </c>
      <c r="AF680" s="4" t="n">
        <v>49400</v>
      </c>
      <c r="AG680" s="3" t="n">
        <v>42</v>
      </c>
      <c r="AH680" s="4" t="n">
        <v>127400</v>
      </c>
      <c r="AI680" s="3" t="n">
        <v>721</v>
      </c>
      <c r="AJ680" s="7" t="n">
        <f aca="false">ROUND(AB680/I680,4)</f>
        <v>0.295</v>
      </c>
      <c r="AK680" s="2" t="str">
        <f aca="false">IF(AND(AI680&gt;=750,AJ680&lt;=0.35),"Low",IF(AND(AI680&gt;=600,AJ680&lt;=0.5),"Medium","High"))</f>
        <v>Medium</v>
      </c>
      <c r="AL680" s="3" t="n">
        <v>2</v>
      </c>
      <c r="AM680" s="2" t="s">
        <v>58</v>
      </c>
      <c r="AN680" s="2"/>
      <c r="AO680" s="2" t="s">
        <v>134</v>
      </c>
      <c r="AP680" s="7" t="n">
        <v>0.216</v>
      </c>
    </row>
    <row r="681" customFormat="false" ht="15" hidden="false" customHeight="false" outlineLevel="0" collapsed="false">
      <c r="A681" s="2" t="s">
        <v>2649</v>
      </c>
      <c r="B681" s="2" t="s">
        <v>2650</v>
      </c>
      <c r="C681" s="2" t="s">
        <v>2651</v>
      </c>
      <c r="D681" s="2" t="s">
        <v>45</v>
      </c>
      <c r="E681" s="3" t="n">
        <v>21</v>
      </c>
      <c r="F681" s="2" t="s">
        <v>64</v>
      </c>
      <c r="G681" s="2" t="s">
        <v>176</v>
      </c>
      <c r="H681" s="2" t="s">
        <v>77</v>
      </c>
      <c r="I681" s="4" t="n">
        <v>58500</v>
      </c>
      <c r="J681" s="2" t="s">
        <v>177</v>
      </c>
      <c r="K681" s="3" t="n">
        <v>3</v>
      </c>
      <c r="L681" s="2" t="s">
        <v>463</v>
      </c>
      <c r="M681" s="2" t="s">
        <v>51</v>
      </c>
      <c r="N681" s="2" t="s">
        <v>52</v>
      </c>
      <c r="O681" s="3" t="n">
        <v>0</v>
      </c>
      <c r="P681" s="2" t="s">
        <v>131</v>
      </c>
      <c r="Q681" s="2" t="s">
        <v>132</v>
      </c>
      <c r="R681" s="2" t="s">
        <v>51</v>
      </c>
      <c r="S681" s="2" t="s">
        <v>51</v>
      </c>
      <c r="T681" s="2" t="s">
        <v>2652</v>
      </c>
      <c r="U681" s="2" t="s">
        <v>57</v>
      </c>
      <c r="V681" s="4" t="n">
        <v>1949000</v>
      </c>
      <c r="W681" s="5" t="n">
        <v>10.75</v>
      </c>
      <c r="X681" s="3" t="n">
        <v>210</v>
      </c>
      <c r="Y681" s="6" t="n">
        <v>46197</v>
      </c>
      <c r="Z681" s="6"/>
      <c r="AA681" s="6"/>
      <c r="AB681" s="4" t="n">
        <f aca="false">ROUND(PMT(W681/1200,X681,-V681),2)</f>
        <v>20630.28</v>
      </c>
      <c r="AC681" s="4" t="n">
        <v>2768000</v>
      </c>
      <c r="AD681" s="3" t="n">
        <v>0</v>
      </c>
      <c r="AE681" s="4" t="n">
        <v>167500</v>
      </c>
      <c r="AF681" s="4" t="n">
        <v>31000</v>
      </c>
      <c r="AG681" s="3" t="n">
        <v>27</v>
      </c>
      <c r="AH681" s="4" t="n">
        <v>26400</v>
      </c>
      <c r="AI681" s="3" t="n">
        <v>900</v>
      </c>
      <c r="AJ681" s="7" t="n">
        <f aca="false">ROUND(AB681/I681,4)</f>
        <v>0.3527</v>
      </c>
      <c r="AK681" s="2" t="str">
        <f aca="false">IF(AND(AI681&gt;=750,AJ681&lt;=0.35),"Low",IF(AND(AI681&gt;=600,AJ681&lt;=0.5),"Medium","High"))</f>
        <v>Medium</v>
      </c>
      <c r="AL681" s="3" t="n">
        <v>1</v>
      </c>
      <c r="AM681" s="2" t="s">
        <v>58</v>
      </c>
      <c r="AN681" s="2"/>
      <c r="AO681" s="2" t="s">
        <v>134</v>
      </c>
      <c r="AP681" s="7" t="n">
        <v>0.055</v>
      </c>
    </row>
    <row r="682" customFormat="false" ht="15" hidden="false" customHeight="false" outlineLevel="0" collapsed="false">
      <c r="A682" s="2" t="s">
        <v>2653</v>
      </c>
      <c r="B682" s="2" t="s">
        <v>2654</v>
      </c>
      <c r="C682" s="2" t="s">
        <v>2655</v>
      </c>
      <c r="D682" s="2" t="s">
        <v>109</v>
      </c>
      <c r="E682" s="3" t="n">
        <v>21</v>
      </c>
      <c r="F682" s="2" t="s">
        <v>64</v>
      </c>
      <c r="G682" s="2" t="s">
        <v>166</v>
      </c>
      <c r="H682" s="2" t="s">
        <v>167</v>
      </c>
      <c r="I682" s="4" t="n">
        <v>152000</v>
      </c>
      <c r="J682" s="2" t="s">
        <v>145</v>
      </c>
      <c r="K682" s="3" t="n">
        <v>0</v>
      </c>
      <c r="L682" s="2" t="s">
        <v>211</v>
      </c>
      <c r="M682" s="2" t="s">
        <v>147</v>
      </c>
      <c r="N682" s="2" t="s">
        <v>140</v>
      </c>
      <c r="O682" s="3" t="n">
        <v>2</v>
      </c>
      <c r="P682" s="2" t="s">
        <v>209</v>
      </c>
      <c r="Q682" s="2" t="s">
        <v>210</v>
      </c>
      <c r="R682" s="2" t="s">
        <v>211</v>
      </c>
      <c r="S682" s="2" t="s">
        <v>147</v>
      </c>
      <c r="T682" s="2" t="s">
        <v>2656</v>
      </c>
      <c r="U682" s="2" t="s">
        <v>192</v>
      </c>
      <c r="V682" s="4" t="n">
        <v>1728000</v>
      </c>
      <c r="W682" s="5" t="n">
        <v>10.94</v>
      </c>
      <c r="X682" s="3" t="n">
        <v>30</v>
      </c>
      <c r="Y682" s="6" t="n">
        <v>46180</v>
      </c>
      <c r="Z682" s="6" t="n">
        <v>46183</v>
      </c>
      <c r="AA682" s="6" t="n">
        <v>46185</v>
      </c>
      <c r="AB682" s="4" t="n">
        <f aca="false">ROUND(PMT(W682/1200,X682,-V682),2)</f>
        <v>66095.95</v>
      </c>
      <c r="AC682" s="4" t="n">
        <v>1768000</v>
      </c>
      <c r="AD682" s="3" t="n">
        <v>0</v>
      </c>
      <c r="AE682" s="4" t="n">
        <v>89100</v>
      </c>
      <c r="AF682" s="4" t="n">
        <v>39000</v>
      </c>
      <c r="AG682" s="3" t="n">
        <v>24</v>
      </c>
      <c r="AH682" s="4"/>
      <c r="AI682" s="3" t="n">
        <v>701</v>
      </c>
      <c r="AJ682" s="7" t="n">
        <f aca="false">ROUND(AB682/I682,4)</f>
        <v>0.4348</v>
      </c>
      <c r="AK682" s="2" t="str">
        <f aca="false">IF(AND(AI682&gt;=750,AJ682&lt;=0.35),"Low",IF(AND(AI682&gt;=600,AJ682&lt;=0.5),"Medium","High"))</f>
        <v>Medium</v>
      </c>
      <c r="AL682" s="3" t="n">
        <v>2</v>
      </c>
      <c r="AM682" s="2" t="s">
        <v>233</v>
      </c>
      <c r="AN682" s="2" t="s">
        <v>119</v>
      </c>
      <c r="AO682" s="2" t="s">
        <v>60</v>
      </c>
      <c r="AP682" s="7" t="n">
        <v>0.401</v>
      </c>
    </row>
    <row r="683" customFormat="false" ht="15" hidden="false" customHeight="false" outlineLevel="0" collapsed="false">
      <c r="A683" s="2" t="s">
        <v>2657</v>
      </c>
      <c r="B683" s="2" t="s">
        <v>2658</v>
      </c>
      <c r="C683" s="2" t="s">
        <v>2659</v>
      </c>
      <c r="D683" s="2" t="s">
        <v>109</v>
      </c>
      <c r="E683" s="3" t="n">
        <v>46</v>
      </c>
      <c r="F683" s="2" t="s">
        <v>64</v>
      </c>
      <c r="G683" s="2" t="s">
        <v>90</v>
      </c>
      <c r="H683" s="2" t="s">
        <v>123</v>
      </c>
      <c r="I683" s="4" t="n">
        <v>16000</v>
      </c>
      <c r="J683" s="2" t="s">
        <v>90</v>
      </c>
      <c r="K683" s="3" t="n">
        <v>23</v>
      </c>
      <c r="L683" s="2" t="s">
        <v>95</v>
      </c>
      <c r="M683" s="2" t="s">
        <v>92</v>
      </c>
      <c r="N683" s="2" t="s">
        <v>102</v>
      </c>
      <c r="O683" s="3" t="n">
        <v>3</v>
      </c>
      <c r="P683" s="2" t="s">
        <v>93</v>
      </c>
      <c r="Q683" s="2" t="s">
        <v>94</v>
      </c>
      <c r="R683" s="2" t="s">
        <v>95</v>
      </c>
      <c r="S683" s="2" t="s">
        <v>92</v>
      </c>
      <c r="T683" s="2" t="s">
        <v>2660</v>
      </c>
      <c r="U683" s="2" t="s">
        <v>85</v>
      </c>
      <c r="V683" s="4" t="n">
        <v>148000</v>
      </c>
      <c r="W683" s="5" t="n">
        <v>7.72</v>
      </c>
      <c r="X683" s="3" t="n">
        <v>24</v>
      </c>
      <c r="Y683" s="6" t="n">
        <v>46185</v>
      </c>
      <c r="Z683" s="6"/>
      <c r="AA683" s="6"/>
      <c r="AB683" s="4" t="n">
        <f aca="false">ROUND(PMT(W683/1200,X683,-V683),2)</f>
        <v>6674.75</v>
      </c>
      <c r="AC683" s="4" t="n">
        <v>0</v>
      </c>
      <c r="AD683" s="3" t="n">
        <v>0</v>
      </c>
      <c r="AE683" s="4"/>
      <c r="AF683" s="4" t="n">
        <v>8800</v>
      </c>
      <c r="AG683" s="3" t="n">
        <v>26</v>
      </c>
      <c r="AH683" s="4"/>
      <c r="AI683" s="3" t="n">
        <v>817</v>
      </c>
      <c r="AJ683" s="7" t="n">
        <f aca="false">ROUND(AB683/I683,4)</f>
        <v>0.4172</v>
      </c>
      <c r="AK683" s="2" t="str">
        <f aca="false">IF(AND(AI683&gt;=750,AJ683&lt;=0.35),"Low",IF(AND(AI683&gt;=600,AJ683&lt;=0.5),"Medium","High"))</f>
        <v>Medium</v>
      </c>
      <c r="AL683" s="3" t="n">
        <v>1</v>
      </c>
      <c r="AM683" s="2" t="s">
        <v>58</v>
      </c>
      <c r="AN683" s="2"/>
      <c r="AO683" s="2" t="s">
        <v>134</v>
      </c>
      <c r="AP683" s="7" t="n">
        <v>0.201</v>
      </c>
    </row>
    <row r="684" customFormat="false" ht="15" hidden="false" customHeight="false" outlineLevel="0" collapsed="false">
      <c r="A684" s="2" t="s">
        <v>2661</v>
      </c>
      <c r="B684" s="2" t="s">
        <v>2662</v>
      </c>
      <c r="C684" s="2" t="s">
        <v>580</v>
      </c>
      <c r="D684" s="2" t="s">
        <v>109</v>
      </c>
      <c r="E684" s="3" t="n">
        <v>30</v>
      </c>
      <c r="F684" s="2" t="s">
        <v>46</v>
      </c>
      <c r="G684" s="2" t="s">
        <v>176</v>
      </c>
      <c r="H684" s="2" t="s">
        <v>48</v>
      </c>
      <c r="I684" s="4" t="n">
        <v>57500</v>
      </c>
      <c r="J684" s="2" t="s">
        <v>177</v>
      </c>
      <c r="K684" s="3"/>
      <c r="L684" s="2" t="s">
        <v>327</v>
      </c>
      <c r="M684" s="2" t="s">
        <v>92</v>
      </c>
      <c r="N684" s="2" t="s">
        <v>140</v>
      </c>
      <c r="O684" s="3" t="n">
        <v>0</v>
      </c>
      <c r="P684" s="2" t="s">
        <v>93</v>
      </c>
      <c r="Q684" s="2" t="s">
        <v>94</v>
      </c>
      <c r="R684" s="2" t="s">
        <v>95</v>
      </c>
      <c r="S684" s="2" t="s">
        <v>92</v>
      </c>
      <c r="T684" s="2" t="s">
        <v>2663</v>
      </c>
      <c r="U684" s="2" t="s">
        <v>192</v>
      </c>
      <c r="V684" s="4" t="n">
        <v>1467000</v>
      </c>
      <c r="W684" s="5" t="n">
        <v>13.64</v>
      </c>
      <c r="X684" s="3" t="n">
        <v>84</v>
      </c>
      <c r="Y684" s="6" t="n">
        <v>46182</v>
      </c>
      <c r="Z684" s="6"/>
      <c r="AA684" s="6"/>
      <c r="AB684" s="4" t="n">
        <f aca="false">ROUND(PMT(W684/1200,X684,-V684),2)</f>
        <v>27200.68</v>
      </c>
      <c r="AC684" s="4" t="n">
        <v>2099000</v>
      </c>
      <c r="AD684" s="3" t="n">
        <v>0</v>
      </c>
      <c r="AE684" s="4" t="n">
        <v>63500</v>
      </c>
      <c r="AF684" s="4" t="n">
        <v>25400</v>
      </c>
      <c r="AG684" s="3" t="n">
        <v>14</v>
      </c>
      <c r="AH684" s="4" t="n">
        <v>50000</v>
      </c>
      <c r="AI684" s="3" t="n">
        <v>627</v>
      </c>
      <c r="AJ684" s="7" t="n">
        <f aca="false">ROUND(AB684/I684,4)</f>
        <v>0.4731</v>
      </c>
      <c r="AK684" s="2" t="str">
        <f aca="false">IF(AND(AI684&gt;=750,AJ684&lt;=0.35),"Low",IF(AND(AI684&gt;=600,AJ684&lt;=0.5),"Medium","High"))</f>
        <v>Medium</v>
      </c>
      <c r="AL684" s="3" t="n">
        <v>4</v>
      </c>
      <c r="AM684" s="2" t="s">
        <v>58</v>
      </c>
      <c r="AN684" s="2"/>
      <c r="AO684" s="2" t="s">
        <v>127</v>
      </c>
      <c r="AP684" s="7" t="n">
        <v>0.328</v>
      </c>
    </row>
    <row r="685" customFormat="false" ht="15" hidden="false" customHeight="false" outlineLevel="0" collapsed="false">
      <c r="A685" s="2" t="s">
        <v>2664</v>
      </c>
      <c r="B685" s="2" t="s">
        <v>2665</v>
      </c>
      <c r="C685" s="2" t="s">
        <v>524</v>
      </c>
      <c r="D685" s="2" t="s">
        <v>109</v>
      </c>
      <c r="E685" s="3" t="n">
        <v>42</v>
      </c>
      <c r="F685" s="2" t="s">
        <v>64</v>
      </c>
      <c r="G685" s="2" t="s">
        <v>76</v>
      </c>
      <c r="H685" s="2" t="s">
        <v>77</v>
      </c>
      <c r="I685" s="4" t="n">
        <v>23500</v>
      </c>
      <c r="J685" s="2" t="s">
        <v>78</v>
      </c>
      <c r="K685" s="3" t="n">
        <v>22</v>
      </c>
      <c r="L685" s="2" t="s">
        <v>55</v>
      </c>
      <c r="M685" s="2" t="s">
        <v>51</v>
      </c>
      <c r="N685" s="2" t="s">
        <v>81</v>
      </c>
      <c r="O685" s="3" t="n">
        <v>3</v>
      </c>
      <c r="P685" s="2" t="s">
        <v>53</v>
      </c>
      <c r="Q685" s="2" t="s">
        <v>54</v>
      </c>
      <c r="R685" s="2" t="s">
        <v>55</v>
      </c>
      <c r="S685" s="2" t="s">
        <v>51</v>
      </c>
      <c r="T685" s="2" t="s">
        <v>2666</v>
      </c>
      <c r="U685" s="2" t="s">
        <v>180</v>
      </c>
      <c r="V685" s="4" t="n">
        <v>300000</v>
      </c>
      <c r="W685" s="5" t="n">
        <v>11.91</v>
      </c>
      <c r="X685" s="3" t="n">
        <v>18</v>
      </c>
      <c r="Y685" s="6" t="n">
        <v>46184</v>
      </c>
      <c r="Z685" s="6" t="n">
        <v>46189</v>
      </c>
      <c r="AA685" s="6" t="n">
        <v>46195</v>
      </c>
      <c r="AB685" s="4" t="n">
        <f aca="false">ROUND(PMT(W685/1200,X685,-V685),2)</f>
        <v>18282.07</v>
      </c>
      <c r="AC685" s="4" t="n">
        <v>382000</v>
      </c>
      <c r="AD685" s="3" t="n">
        <v>0</v>
      </c>
      <c r="AE685" s="4" t="n">
        <v>19400</v>
      </c>
      <c r="AF685" s="4" t="n">
        <v>7000</v>
      </c>
      <c r="AG685" s="3" t="n">
        <v>46</v>
      </c>
      <c r="AH685" s="4" t="n">
        <v>11100</v>
      </c>
      <c r="AI685" s="3" t="n">
        <v>588</v>
      </c>
      <c r="AJ685" s="7" t="n">
        <f aca="false">ROUND(AB685/I685,4)</f>
        <v>0.778</v>
      </c>
      <c r="AK685" s="2" t="str">
        <f aca="false">IF(AND(AI685&gt;=750,AJ685&lt;=0.35),"Low",IF(AND(AI685&gt;=600,AJ685&lt;=0.5),"Medium","High"))</f>
        <v>High</v>
      </c>
      <c r="AL685" s="3" t="n">
        <v>5</v>
      </c>
      <c r="AM685" s="2" t="s">
        <v>233</v>
      </c>
      <c r="AN685" s="2" t="s">
        <v>119</v>
      </c>
      <c r="AO685" s="2" t="s">
        <v>60</v>
      </c>
      <c r="AP685" s="7" t="n">
        <v>0.463</v>
      </c>
    </row>
    <row r="686" customFormat="false" ht="15" hidden="false" customHeight="false" outlineLevel="0" collapsed="false">
      <c r="A686" s="2" t="s">
        <v>2667</v>
      </c>
      <c r="B686" s="2" t="s">
        <v>1359</v>
      </c>
      <c r="C686" s="2" t="s">
        <v>2668</v>
      </c>
      <c r="D686" s="2" t="s">
        <v>109</v>
      </c>
      <c r="E686" s="3" t="n">
        <v>51</v>
      </c>
      <c r="F686" s="2" t="s">
        <v>64</v>
      </c>
      <c r="G686" s="2" t="s">
        <v>207</v>
      </c>
      <c r="H686" s="2" t="s">
        <v>77</v>
      </c>
      <c r="I686" s="4" t="n">
        <v>50000</v>
      </c>
      <c r="J686" s="2" t="s">
        <v>49</v>
      </c>
      <c r="K686" s="3" t="n">
        <v>22</v>
      </c>
      <c r="L686" s="2" t="s">
        <v>80</v>
      </c>
      <c r="M686" s="2" t="s">
        <v>80</v>
      </c>
      <c r="N686" s="2" t="s">
        <v>52</v>
      </c>
      <c r="O686" s="3" t="n">
        <v>3</v>
      </c>
      <c r="P686" s="2" t="s">
        <v>82</v>
      </c>
      <c r="Q686" s="2" t="s">
        <v>83</v>
      </c>
      <c r="R686" s="2" t="s">
        <v>80</v>
      </c>
      <c r="S686" s="2" t="s">
        <v>80</v>
      </c>
      <c r="T686" s="2" t="s">
        <v>2669</v>
      </c>
      <c r="U686" s="2" t="s">
        <v>180</v>
      </c>
      <c r="V686" s="4" t="n">
        <v>300000</v>
      </c>
      <c r="W686" s="5" t="n">
        <v>9.95</v>
      </c>
      <c r="X686" s="3" t="n">
        <v>24</v>
      </c>
      <c r="Y686" s="6" t="n">
        <v>46189</v>
      </c>
      <c r="Z686" s="6" t="n">
        <v>46193</v>
      </c>
      <c r="AA686" s="6" t="n">
        <v>46194</v>
      </c>
      <c r="AB686" s="4" t="n">
        <f aca="false">ROUND(PMT(W686/1200,X686,-V686),2)</f>
        <v>13836.56</v>
      </c>
      <c r="AC686" s="4" t="n">
        <v>372000</v>
      </c>
      <c r="AD686" s="3" t="n">
        <v>1</v>
      </c>
      <c r="AE686" s="4" t="n">
        <v>144300</v>
      </c>
      <c r="AF686" s="4" t="n">
        <v>38900</v>
      </c>
      <c r="AG686" s="3" t="n">
        <v>41</v>
      </c>
      <c r="AH686" s="4" t="n">
        <v>37900</v>
      </c>
      <c r="AI686" s="3" t="n">
        <v>685</v>
      </c>
      <c r="AJ686" s="7" t="n">
        <f aca="false">ROUND(AB686/I686,4)</f>
        <v>0.2767</v>
      </c>
      <c r="AK686" s="2" t="str">
        <f aca="false">IF(AND(AI686&gt;=750,AJ686&lt;=0.35),"Low",IF(AND(AI686&gt;=600,AJ686&lt;=0.5),"Medium","High"))</f>
        <v>Medium</v>
      </c>
      <c r="AL686" s="3" t="n">
        <v>2</v>
      </c>
      <c r="AM686" s="2" t="s">
        <v>233</v>
      </c>
      <c r="AN686" s="2" t="s">
        <v>119</v>
      </c>
      <c r="AO686" s="2" t="s">
        <v>60</v>
      </c>
      <c r="AP686" s="7" t="n">
        <v>0.372</v>
      </c>
    </row>
    <row r="687" customFormat="false" ht="15" hidden="false" customHeight="false" outlineLevel="0" collapsed="false">
      <c r="A687" s="2" t="s">
        <v>2670</v>
      </c>
      <c r="B687" s="2" t="s">
        <v>2671</v>
      </c>
      <c r="C687" s="2" t="s">
        <v>2672</v>
      </c>
      <c r="D687" s="2" t="s">
        <v>109</v>
      </c>
      <c r="E687" s="3" t="n">
        <v>59</v>
      </c>
      <c r="F687" s="2" t="s">
        <v>64</v>
      </c>
      <c r="G687" s="2" t="s">
        <v>47</v>
      </c>
      <c r="H687" s="2" t="s">
        <v>48</v>
      </c>
      <c r="I687" s="4" t="n">
        <v>96000</v>
      </c>
      <c r="J687" s="2" t="s">
        <v>49</v>
      </c>
      <c r="K687" s="3" t="n">
        <v>36</v>
      </c>
      <c r="L687" s="2" t="s">
        <v>147</v>
      </c>
      <c r="M687" s="2" t="s">
        <v>147</v>
      </c>
      <c r="N687" s="2"/>
      <c r="O687" s="3" t="n">
        <v>0</v>
      </c>
      <c r="P687" s="2" t="s">
        <v>148</v>
      </c>
      <c r="Q687" s="2" t="s">
        <v>149</v>
      </c>
      <c r="R687" s="2" t="s">
        <v>147</v>
      </c>
      <c r="S687" s="2" t="s">
        <v>147</v>
      </c>
      <c r="T687" s="2" t="s">
        <v>2673</v>
      </c>
      <c r="U687" s="2" t="s">
        <v>97</v>
      </c>
      <c r="V687" s="4" t="n">
        <v>500000</v>
      </c>
      <c r="W687" s="5" t="n">
        <v>15.98</v>
      </c>
      <c r="X687" s="3" t="n">
        <v>30</v>
      </c>
      <c r="Y687" s="6" t="n">
        <v>46201</v>
      </c>
      <c r="Z687" s="6"/>
      <c r="AA687" s="6"/>
      <c r="AB687" s="4" t="n">
        <f aca="false">ROUND(PMT(W687/1200,X687,-V687),2)</f>
        <v>20326.19</v>
      </c>
      <c r="AC687" s="4" t="n">
        <v>0</v>
      </c>
      <c r="AD687" s="3" t="n">
        <v>0</v>
      </c>
      <c r="AE687" s="4" t="n">
        <v>152200</v>
      </c>
      <c r="AF687" s="4" t="n">
        <v>45100</v>
      </c>
      <c r="AG687" s="3" t="n">
        <v>34</v>
      </c>
      <c r="AH687" s="4" t="n">
        <v>56200</v>
      </c>
      <c r="AI687" s="3" t="n">
        <v>635</v>
      </c>
      <c r="AJ687" s="7" t="n">
        <f aca="false">ROUND(AB687/I687,4)</f>
        <v>0.2117</v>
      </c>
      <c r="AK687" s="2" t="str">
        <f aca="false">IF(AND(AI687&gt;=750,AJ687&lt;=0.35),"Low",IF(AND(AI687&gt;=600,AJ687&lt;=0.5),"Medium","High"))</f>
        <v>Medium</v>
      </c>
      <c r="AL687" s="3" t="n">
        <v>3</v>
      </c>
      <c r="AM687" s="2" t="s">
        <v>233</v>
      </c>
      <c r="AN687" s="2"/>
      <c r="AO687" s="2" t="s">
        <v>134</v>
      </c>
      <c r="AP687" s="7" t="n">
        <v>0.451</v>
      </c>
    </row>
    <row r="688" customFormat="false" ht="15" hidden="false" customHeight="false" outlineLevel="0" collapsed="false">
      <c r="A688" s="2" t="s">
        <v>2674</v>
      </c>
      <c r="B688" s="2" t="s">
        <v>2675</v>
      </c>
      <c r="C688" s="2" t="s">
        <v>2676</v>
      </c>
      <c r="D688" s="2" t="s">
        <v>45</v>
      </c>
      <c r="E688" s="3" t="n">
        <v>50</v>
      </c>
      <c r="F688" s="2" t="s">
        <v>175</v>
      </c>
      <c r="G688" s="2" t="s">
        <v>166</v>
      </c>
      <c r="H688" s="2" t="s">
        <v>48</v>
      </c>
      <c r="I688" s="4" t="n">
        <v>110500</v>
      </c>
      <c r="J688" s="2" t="s">
        <v>145</v>
      </c>
      <c r="K688" s="3" t="n">
        <v>29</v>
      </c>
      <c r="L688" s="2" t="s">
        <v>327</v>
      </c>
      <c r="M688" s="2" t="s">
        <v>92</v>
      </c>
      <c r="N688" s="2" t="s">
        <v>52</v>
      </c>
      <c r="O688" s="3" t="n">
        <v>0</v>
      </c>
      <c r="P688" s="2" t="s">
        <v>148</v>
      </c>
      <c r="Q688" s="2" t="s">
        <v>149</v>
      </c>
      <c r="R688" s="2" t="s">
        <v>147</v>
      </c>
      <c r="S688" s="2" t="s">
        <v>147</v>
      </c>
      <c r="T688" s="2" t="s">
        <v>2677</v>
      </c>
      <c r="U688" s="2" t="s">
        <v>72</v>
      </c>
      <c r="V688" s="4" t="n">
        <v>1981000</v>
      </c>
      <c r="W688" s="5" t="n">
        <v>11.86</v>
      </c>
      <c r="X688" s="3" t="n">
        <v>66</v>
      </c>
      <c r="Y688" s="6" t="n">
        <v>46188</v>
      </c>
      <c r="Z688" s="6" t="n">
        <v>46192</v>
      </c>
      <c r="AA688" s="6" t="n">
        <v>46197</v>
      </c>
      <c r="AB688" s="4" t="n">
        <f aca="false">ROUND(PMT(W688/1200,X688,-V688),2)</f>
        <v>41004.36</v>
      </c>
      <c r="AC688" s="4" t="n">
        <v>2016000</v>
      </c>
      <c r="AD688" s="3" t="n">
        <v>0</v>
      </c>
      <c r="AE688" s="4" t="n">
        <v>202800</v>
      </c>
      <c r="AF688" s="4" t="n">
        <v>56400</v>
      </c>
      <c r="AG688" s="3" t="n">
        <v>15</v>
      </c>
      <c r="AH688" s="4" t="n">
        <v>66100</v>
      </c>
      <c r="AI688" s="3" t="n">
        <v>595</v>
      </c>
      <c r="AJ688" s="7" t="n">
        <f aca="false">ROUND(AB688/I688,4)</f>
        <v>0.3711</v>
      </c>
      <c r="AK688" s="2" t="str">
        <f aca="false">IF(AND(AI688&gt;=750,AJ688&lt;=0.35),"Low",IF(AND(AI688&gt;=600,AJ688&lt;=0.5),"Medium","High"))</f>
        <v>High</v>
      </c>
      <c r="AL688" s="3" t="n">
        <v>5</v>
      </c>
      <c r="AM688" s="2" t="s">
        <v>233</v>
      </c>
      <c r="AN688" s="2" t="s">
        <v>119</v>
      </c>
      <c r="AO688" s="2" t="s">
        <v>60</v>
      </c>
      <c r="AP688" s="7" t="n">
        <v>0.449</v>
      </c>
    </row>
    <row r="689" customFormat="false" ht="15" hidden="false" customHeight="false" outlineLevel="0" collapsed="false">
      <c r="A689" s="2" t="s">
        <v>2678</v>
      </c>
      <c r="B689" s="2" t="s">
        <v>1984</v>
      </c>
      <c r="C689" s="2" t="s">
        <v>1483</v>
      </c>
      <c r="D689" s="2" t="s">
        <v>45</v>
      </c>
      <c r="E689" s="3" t="n">
        <v>49</v>
      </c>
      <c r="F689" s="2" t="s">
        <v>64</v>
      </c>
      <c r="G689" s="2" t="s">
        <v>65</v>
      </c>
      <c r="H689" s="2" t="s">
        <v>101</v>
      </c>
      <c r="I689" s="4" t="n">
        <v>37000</v>
      </c>
      <c r="J689" s="2" t="s">
        <v>49</v>
      </c>
      <c r="K689" s="3" t="n">
        <v>26</v>
      </c>
      <c r="L689" s="2" t="s">
        <v>138</v>
      </c>
      <c r="M689" s="2" t="s">
        <v>139</v>
      </c>
      <c r="N689" s="2" t="s">
        <v>52</v>
      </c>
      <c r="O689" s="3" t="n">
        <v>0</v>
      </c>
      <c r="P689" s="2" t="s">
        <v>197</v>
      </c>
      <c r="Q689" s="2" t="s">
        <v>198</v>
      </c>
      <c r="R689" s="2" t="s">
        <v>139</v>
      </c>
      <c r="S689" s="2" t="s">
        <v>139</v>
      </c>
      <c r="T689" s="2" t="s">
        <v>2679</v>
      </c>
      <c r="U689" s="2" t="s">
        <v>97</v>
      </c>
      <c r="V689" s="4" t="n">
        <v>435000</v>
      </c>
      <c r="W689" s="5" t="n">
        <v>14.67</v>
      </c>
      <c r="X689" s="3" t="n">
        <v>36</v>
      </c>
      <c r="Y689" s="6" t="n">
        <v>46186</v>
      </c>
      <c r="Z689" s="6" t="n">
        <v>46187</v>
      </c>
      <c r="AA689" s="6" t="n">
        <v>46191</v>
      </c>
      <c r="AB689" s="4" t="n">
        <f aca="false">ROUND(PMT(W689/1200,X689,-V689),2)</f>
        <v>15009.22</v>
      </c>
      <c r="AC689" s="4" t="n">
        <v>0</v>
      </c>
      <c r="AD689" s="3" t="n">
        <v>2</v>
      </c>
      <c r="AE689" s="4" t="n">
        <v>144100</v>
      </c>
      <c r="AF689" s="4" t="n">
        <v>60100</v>
      </c>
      <c r="AG689" s="3" t="n">
        <v>30</v>
      </c>
      <c r="AH689" s="4" t="n">
        <v>33700</v>
      </c>
      <c r="AI689" s="3" t="n">
        <v>672</v>
      </c>
      <c r="AJ689" s="7" t="n">
        <f aca="false">ROUND(AB689/I689,4)</f>
        <v>0.4057</v>
      </c>
      <c r="AK689" s="2" t="str">
        <f aca="false">IF(AND(AI689&gt;=750,AJ689&lt;=0.35),"Low",IF(AND(AI689&gt;=600,AJ689&lt;=0.5),"Medium","High"))</f>
        <v>Medium</v>
      </c>
      <c r="AL689" s="3" t="n">
        <v>0</v>
      </c>
      <c r="AM689" s="2" t="s">
        <v>58</v>
      </c>
      <c r="AN689" s="2" t="s">
        <v>119</v>
      </c>
      <c r="AO689" s="2" t="s">
        <v>60</v>
      </c>
      <c r="AP689" s="7" t="n">
        <v>0.285</v>
      </c>
    </row>
    <row r="690" customFormat="false" ht="15" hidden="false" customHeight="false" outlineLevel="0" collapsed="false">
      <c r="A690" s="2" t="s">
        <v>2680</v>
      </c>
      <c r="B690" s="2" t="s">
        <v>2681</v>
      </c>
      <c r="C690" s="2" t="s">
        <v>2411</v>
      </c>
      <c r="D690" s="2" t="s">
        <v>109</v>
      </c>
      <c r="E690" s="3" t="n">
        <v>32</v>
      </c>
      <c r="F690" s="2" t="s">
        <v>64</v>
      </c>
      <c r="G690" s="2" t="s">
        <v>145</v>
      </c>
      <c r="H690" s="2" t="s">
        <v>48</v>
      </c>
      <c r="I690" s="4" t="n">
        <v>71500</v>
      </c>
      <c r="J690" s="2" t="s">
        <v>145</v>
      </c>
      <c r="K690" s="3" t="n">
        <v>6</v>
      </c>
      <c r="L690" s="2" t="s">
        <v>95</v>
      </c>
      <c r="M690" s="2" t="s">
        <v>92</v>
      </c>
      <c r="N690" s="2" t="s">
        <v>140</v>
      </c>
      <c r="O690" s="3" t="n">
        <v>1</v>
      </c>
      <c r="P690" s="2" t="s">
        <v>93</v>
      </c>
      <c r="Q690" s="2" t="s">
        <v>94</v>
      </c>
      <c r="R690" s="2" t="s">
        <v>95</v>
      </c>
      <c r="S690" s="2" t="s">
        <v>92</v>
      </c>
      <c r="T690" s="2" t="s">
        <v>2682</v>
      </c>
      <c r="U690" s="2" t="s">
        <v>192</v>
      </c>
      <c r="V690" s="4" t="n">
        <v>728000</v>
      </c>
      <c r="W690" s="5" t="n">
        <v>12.02</v>
      </c>
      <c r="X690" s="3" t="n">
        <v>30</v>
      </c>
      <c r="Y690" s="6" t="n">
        <v>46194</v>
      </c>
      <c r="Z690" s="6" t="n">
        <v>46197</v>
      </c>
      <c r="AA690" s="6" t="n">
        <v>46201</v>
      </c>
      <c r="AB690" s="4" t="n">
        <f aca="false">ROUND(PMT(W690/1200,X690,-V690),2)</f>
        <v>28215.5</v>
      </c>
      <c r="AC690" s="4" t="n">
        <v>1052000</v>
      </c>
      <c r="AD690" s="3" t="n">
        <v>1</v>
      </c>
      <c r="AE690" s="4" t="n">
        <v>47200</v>
      </c>
      <c r="AF690" s="4"/>
      <c r="AG690" s="3" t="n">
        <v>67</v>
      </c>
      <c r="AH690" s="4" t="n">
        <v>78000</v>
      </c>
      <c r="AI690" s="3" t="n">
        <v>619</v>
      </c>
      <c r="AJ690" s="7" t="n">
        <f aca="false">ROUND(AB690/I690,4)</f>
        <v>0.3946</v>
      </c>
      <c r="AK690" s="2" t="str">
        <f aca="false">IF(AND(AI690&gt;=750,AJ690&lt;=0.35),"Low",IF(AND(AI690&gt;=600,AJ690&lt;=0.5),"Medium","High"))</f>
        <v>Medium</v>
      </c>
      <c r="AL690" s="3" t="n">
        <v>0</v>
      </c>
      <c r="AM690" s="2" t="s">
        <v>58</v>
      </c>
      <c r="AN690" s="2" t="s">
        <v>59</v>
      </c>
      <c r="AO690" s="2" t="s">
        <v>60</v>
      </c>
      <c r="AP690" s="7" t="n">
        <v>0.254</v>
      </c>
    </row>
    <row r="691" customFormat="false" ht="15" hidden="false" customHeight="false" outlineLevel="0" collapsed="false">
      <c r="A691" s="2" t="s">
        <v>2683</v>
      </c>
      <c r="B691" s="2" t="s">
        <v>2684</v>
      </c>
      <c r="C691" s="2" t="s">
        <v>2685</v>
      </c>
      <c r="D691" s="2" t="s">
        <v>109</v>
      </c>
      <c r="E691" s="3" t="n">
        <v>24</v>
      </c>
      <c r="F691" s="2" t="s">
        <v>46</v>
      </c>
      <c r="G691" s="2" t="s">
        <v>76</v>
      </c>
      <c r="H691" s="2" t="s">
        <v>48</v>
      </c>
      <c r="I691" s="4" t="n">
        <v>65500</v>
      </c>
      <c r="J691" s="2" t="s">
        <v>78</v>
      </c>
      <c r="K691" s="3" t="n">
        <v>4</v>
      </c>
      <c r="L691" s="2" t="s">
        <v>1251</v>
      </c>
      <c r="M691" s="2" t="s">
        <v>51</v>
      </c>
      <c r="N691" s="2" t="s">
        <v>140</v>
      </c>
      <c r="O691" s="3" t="n">
        <v>0</v>
      </c>
      <c r="P691" s="2" t="s">
        <v>53</v>
      </c>
      <c r="Q691" s="2" t="s">
        <v>54</v>
      </c>
      <c r="R691" s="2" t="s">
        <v>55</v>
      </c>
      <c r="S691" s="2" t="s">
        <v>51</v>
      </c>
      <c r="T691" s="2" t="s">
        <v>2686</v>
      </c>
      <c r="U691" s="2" t="s">
        <v>118</v>
      </c>
      <c r="V691" s="4" t="n">
        <v>178000</v>
      </c>
      <c r="W691" s="5" t="n">
        <v>9.65</v>
      </c>
      <c r="X691" s="3" t="n">
        <v>18</v>
      </c>
      <c r="Y691" s="6" t="n">
        <v>46181</v>
      </c>
      <c r="Z691" s="6"/>
      <c r="AA691" s="6"/>
      <c r="AB691" s="4" t="n">
        <f aca="false">ROUND(PMT(W691/1200,X691,-V691),2)</f>
        <v>10661.5</v>
      </c>
      <c r="AC691" s="4" t="n">
        <v>0</v>
      </c>
      <c r="AD691" s="3" t="n">
        <v>0</v>
      </c>
      <c r="AE691" s="4" t="n">
        <v>252800</v>
      </c>
      <c r="AF691" s="4" t="n">
        <v>136400</v>
      </c>
      <c r="AG691" s="3" t="n">
        <v>26</v>
      </c>
      <c r="AH691" s="4" t="n">
        <v>59200</v>
      </c>
      <c r="AI691" s="3" t="n">
        <v>847</v>
      </c>
      <c r="AJ691" s="7" t="n">
        <f aca="false">ROUND(AB691/I691,4)</f>
        <v>0.1628</v>
      </c>
      <c r="AK691" s="2" t="str">
        <f aca="false">IF(AND(AI691&gt;=750,AJ691&lt;=0.35),"Low",IF(AND(AI691&gt;=600,AJ691&lt;=0.5),"Medium","High"))</f>
        <v>Low</v>
      </c>
      <c r="AL691" s="3" t="n">
        <v>1</v>
      </c>
      <c r="AM691" s="2" t="s">
        <v>58</v>
      </c>
      <c r="AN691" s="2"/>
      <c r="AO691" s="2" t="s">
        <v>134</v>
      </c>
      <c r="AP691" s="7" t="n">
        <v>0.071</v>
      </c>
    </row>
    <row r="692" customFormat="false" ht="15" hidden="false" customHeight="false" outlineLevel="0" collapsed="false">
      <c r="A692" s="2" t="s">
        <v>2687</v>
      </c>
      <c r="B692" s="2" t="s">
        <v>292</v>
      </c>
      <c r="C692" s="2" t="s">
        <v>2688</v>
      </c>
      <c r="D692" s="2" t="s">
        <v>45</v>
      </c>
      <c r="E692" s="3" t="n">
        <v>43</v>
      </c>
      <c r="F692" s="2" t="s">
        <v>64</v>
      </c>
      <c r="G692" s="2" t="s">
        <v>145</v>
      </c>
      <c r="H692" s="2" t="s">
        <v>77</v>
      </c>
      <c r="I692" s="4" t="n">
        <v>52000</v>
      </c>
      <c r="J692" s="2" t="s">
        <v>145</v>
      </c>
      <c r="K692" s="3" t="n">
        <v>18</v>
      </c>
      <c r="L692" s="2" t="s">
        <v>429</v>
      </c>
      <c r="M692" s="2" t="s">
        <v>159</v>
      </c>
      <c r="N692" s="2" t="s">
        <v>140</v>
      </c>
      <c r="O692" s="3" t="n">
        <v>3</v>
      </c>
      <c r="P692" s="2" t="s">
        <v>115</v>
      </c>
      <c r="Q692" s="2" t="s">
        <v>116</v>
      </c>
      <c r="R692" s="2" t="s">
        <v>114</v>
      </c>
      <c r="S692" s="2" t="s">
        <v>114</v>
      </c>
      <c r="T692" s="2" t="s">
        <v>2689</v>
      </c>
      <c r="U692" s="2" t="s">
        <v>180</v>
      </c>
      <c r="V692" s="4" t="n">
        <v>828000</v>
      </c>
      <c r="W692" s="5" t="n">
        <v>11.15</v>
      </c>
      <c r="X692" s="3" t="n">
        <v>72</v>
      </c>
      <c r="Y692" s="6" t="n">
        <v>46180</v>
      </c>
      <c r="Z692" s="6" t="n">
        <v>46190</v>
      </c>
      <c r="AA692" s="6" t="n">
        <v>46193</v>
      </c>
      <c r="AB692" s="4" t="n">
        <f aca="false">ROUND(PMT(W692/1200,X692,-V692),2)</f>
        <v>15823.9</v>
      </c>
      <c r="AC692" s="4" t="n">
        <v>967000</v>
      </c>
      <c r="AD692" s="3" t="n">
        <v>0</v>
      </c>
      <c r="AE692" s="4" t="n">
        <v>105300</v>
      </c>
      <c r="AF692" s="4" t="n">
        <v>30400</v>
      </c>
      <c r="AG692" s="3" t="n">
        <v>33</v>
      </c>
      <c r="AH692" s="4" t="n">
        <v>46700</v>
      </c>
      <c r="AI692" s="3" t="n">
        <v>665</v>
      </c>
      <c r="AJ692" s="7" t="n">
        <f aca="false">ROUND(AB692/I692,4)</f>
        <v>0.3043</v>
      </c>
      <c r="AK692" s="2" t="str">
        <f aca="false">IF(AND(AI692&gt;=750,AJ692&lt;=0.35),"Low",IF(AND(AI692&gt;=600,AJ692&lt;=0.5),"Medium","High"))</f>
        <v>Medium</v>
      </c>
      <c r="AL692" s="3" t="n">
        <v>2</v>
      </c>
      <c r="AM692" s="2" t="s">
        <v>58</v>
      </c>
      <c r="AN692" s="2" t="s">
        <v>119</v>
      </c>
      <c r="AO692" s="2" t="s">
        <v>60</v>
      </c>
      <c r="AP692" s="7" t="n">
        <v>0.304</v>
      </c>
    </row>
    <row r="693" customFormat="false" ht="15" hidden="false" customHeight="false" outlineLevel="0" collapsed="false">
      <c r="A693" s="2" t="s">
        <v>2690</v>
      </c>
      <c r="B693" s="2" t="s">
        <v>636</v>
      </c>
      <c r="C693" s="2" t="s">
        <v>2691</v>
      </c>
      <c r="D693" s="2" t="s">
        <v>45</v>
      </c>
      <c r="E693" s="3" t="n">
        <v>39</v>
      </c>
      <c r="F693" s="2" t="s">
        <v>46</v>
      </c>
      <c r="G693" s="2" t="s">
        <v>47</v>
      </c>
      <c r="H693" s="2" t="s">
        <v>101</v>
      </c>
      <c r="I693" s="4" t="n">
        <v>139000</v>
      </c>
      <c r="J693" s="2" t="s">
        <v>49</v>
      </c>
      <c r="K693" s="3" t="n">
        <v>20</v>
      </c>
      <c r="L693" s="2" t="s">
        <v>146</v>
      </c>
      <c r="M693" s="2" t="s">
        <v>147</v>
      </c>
      <c r="N693" s="2" t="s">
        <v>52</v>
      </c>
      <c r="O693" s="3" t="n">
        <v>0</v>
      </c>
      <c r="P693" s="2" t="s">
        <v>148</v>
      </c>
      <c r="Q693" s="2" t="s">
        <v>149</v>
      </c>
      <c r="R693" s="2" t="s">
        <v>147</v>
      </c>
      <c r="S693" s="2" t="s">
        <v>147</v>
      </c>
      <c r="T693" s="2" t="s">
        <v>2692</v>
      </c>
      <c r="U693" s="2" t="s">
        <v>118</v>
      </c>
      <c r="V693" s="4" t="n">
        <v>1500000</v>
      </c>
      <c r="W693" s="5" t="n">
        <v>9.47</v>
      </c>
      <c r="X693" s="3" t="n">
        <v>54</v>
      </c>
      <c r="Y693" s="6" t="n">
        <v>46186</v>
      </c>
      <c r="Z693" s="6"/>
      <c r="AA693" s="6"/>
      <c r="AB693" s="4" t="n">
        <f aca="false">ROUND(PMT(W693/1200,X693,-V693),2)</f>
        <v>34223.47</v>
      </c>
      <c r="AC693" s="4" t="n">
        <v>0</v>
      </c>
      <c r="AD693" s="3" t="n">
        <v>1</v>
      </c>
      <c r="AE693" s="4" t="n">
        <v>78900</v>
      </c>
      <c r="AF693" s="4" t="n">
        <v>12300</v>
      </c>
      <c r="AG693" s="3" t="n">
        <v>24</v>
      </c>
      <c r="AH693" s="4" t="n">
        <v>151900</v>
      </c>
      <c r="AI693" s="3" t="n">
        <v>855</v>
      </c>
      <c r="AJ693" s="7" t="n">
        <f aca="false">ROUND(AB693/I693,4)</f>
        <v>0.2462</v>
      </c>
      <c r="AK693" s="2" t="str">
        <f aca="false">IF(AND(AI693&gt;=750,AJ693&lt;=0.35),"Low",IF(AND(AI693&gt;=600,AJ693&lt;=0.5),"Medium","High"))</f>
        <v>Low</v>
      </c>
      <c r="AL693" s="3" t="n">
        <v>0</v>
      </c>
      <c r="AM693" s="2" t="s">
        <v>58</v>
      </c>
      <c r="AN693" s="2"/>
      <c r="AO693" s="2" t="s">
        <v>134</v>
      </c>
      <c r="AP693" s="7" t="n">
        <v>0.129</v>
      </c>
    </row>
    <row r="694" customFormat="false" ht="15" hidden="false" customHeight="false" outlineLevel="0" collapsed="false">
      <c r="A694" s="2" t="s">
        <v>2693</v>
      </c>
      <c r="B694" s="2" t="s">
        <v>839</v>
      </c>
      <c r="C694" s="2" t="s">
        <v>2694</v>
      </c>
      <c r="D694" s="2" t="s">
        <v>45</v>
      </c>
      <c r="E694" s="3" t="n">
        <v>32</v>
      </c>
      <c r="F694" s="2" t="s">
        <v>46</v>
      </c>
      <c r="G694" s="2" t="s">
        <v>246</v>
      </c>
      <c r="H694" s="2" t="s">
        <v>111</v>
      </c>
      <c r="I694" s="4" t="n">
        <v>8500</v>
      </c>
      <c r="J694" s="2" t="s">
        <v>145</v>
      </c>
      <c r="K694" s="3" t="n">
        <v>7</v>
      </c>
      <c r="L694" s="2" t="s">
        <v>556</v>
      </c>
      <c r="M694" s="2" t="s">
        <v>147</v>
      </c>
      <c r="N694" s="2" t="s">
        <v>52</v>
      </c>
      <c r="O694" s="3" t="n">
        <v>1</v>
      </c>
      <c r="P694" s="2" t="s">
        <v>209</v>
      </c>
      <c r="Q694" s="2" t="s">
        <v>210</v>
      </c>
      <c r="R694" s="2" t="s">
        <v>211</v>
      </c>
      <c r="S694" s="2" t="s">
        <v>147</v>
      </c>
      <c r="T694" s="2" t="s">
        <v>2695</v>
      </c>
      <c r="U694" s="2" t="s">
        <v>85</v>
      </c>
      <c r="V694" s="4" t="n">
        <v>50000</v>
      </c>
      <c r="W694" s="5" t="n">
        <v>9.43</v>
      </c>
      <c r="X694" s="3" t="n">
        <v>12</v>
      </c>
      <c r="Y694" s="6" t="n">
        <v>46197</v>
      </c>
      <c r="Z694" s="6" t="n">
        <v>46205</v>
      </c>
      <c r="AA694" s="6" t="n">
        <v>46208</v>
      </c>
      <c r="AB694" s="4" t="n">
        <f aca="false">ROUND(PMT(W694/1200,X694,-V694),2)</f>
        <v>4382.55</v>
      </c>
      <c r="AC694" s="4" t="n">
        <v>0</v>
      </c>
      <c r="AD694" s="3" t="n">
        <v>1</v>
      </c>
      <c r="AE694" s="4" t="n">
        <v>5000</v>
      </c>
      <c r="AF694" s="4"/>
      <c r="AG694" s="3" t="n">
        <v>2</v>
      </c>
      <c r="AH694" s="4" t="n">
        <v>7200</v>
      </c>
      <c r="AI694" s="3" t="n">
        <v>643</v>
      </c>
      <c r="AJ694" s="7" t="n">
        <f aca="false">ROUND(AB694/I694,4)</f>
        <v>0.5156</v>
      </c>
      <c r="AK694" s="2" t="str">
        <f aca="false">IF(AND(AI694&gt;=750,AJ694&lt;=0.35),"Low",IF(AND(AI694&gt;=600,AJ694&lt;=0.5),"Medium","High"))</f>
        <v>High</v>
      </c>
      <c r="AL694" s="3" t="n">
        <v>1</v>
      </c>
      <c r="AM694" s="2" t="s">
        <v>58</v>
      </c>
      <c r="AN694" s="2" t="s">
        <v>119</v>
      </c>
      <c r="AO694" s="2" t="s">
        <v>60</v>
      </c>
      <c r="AP694" s="7" t="n">
        <v>0.276</v>
      </c>
    </row>
    <row r="695" customFormat="false" ht="15" hidden="false" customHeight="false" outlineLevel="0" collapsed="false">
      <c r="A695" s="2" t="s">
        <v>2696</v>
      </c>
      <c r="B695" s="2" t="s">
        <v>1215</v>
      </c>
      <c r="C695" s="2" t="s">
        <v>2697</v>
      </c>
      <c r="D695" s="2" t="s">
        <v>45</v>
      </c>
      <c r="E695" s="3" t="n">
        <v>49</v>
      </c>
      <c r="F695" s="2" t="s">
        <v>175</v>
      </c>
      <c r="G695" s="2" t="s">
        <v>154</v>
      </c>
      <c r="H695" s="2" t="s">
        <v>48</v>
      </c>
      <c r="I695" s="4" t="n">
        <v>46000</v>
      </c>
      <c r="J695" s="2" t="s">
        <v>145</v>
      </c>
      <c r="K695" s="3" t="n">
        <v>28</v>
      </c>
      <c r="L695" s="2" t="s">
        <v>55</v>
      </c>
      <c r="M695" s="2" t="s">
        <v>51</v>
      </c>
      <c r="N695" s="2" t="s">
        <v>102</v>
      </c>
      <c r="O695" s="3" t="n">
        <v>1</v>
      </c>
      <c r="P695" s="2" t="s">
        <v>53</v>
      </c>
      <c r="Q695" s="2" t="s">
        <v>54</v>
      </c>
      <c r="R695" s="2" t="s">
        <v>55</v>
      </c>
      <c r="S695" s="2" t="s">
        <v>51</v>
      </c>
      <c r="T695" s="2" t="s">
        <v>2698</v>
      </c>
      <c r="U695" s="2" t="s">
        <v>180</v>
      </c>
      <c r="V695" s="4" t="n">
        <v>717000</v>
      </c>
      <c r="W695" s="5" t="n">
        <v>10.75</v>
      </c>
      <c r="X695" s="3" t="n">
        <v>60</v>
      </c>
      <c r="Y695" s="6" t="n">
        <v>46180</v>
      </c>
      <c r="Z695" s="6" t="n">
        <v>46182</v>
      </c>
      <c r="AA695" s="6" t="n">
        <v>46185</v>
      </c>
      <c r="AB695" s="4" t="n">
        <f aca="false">ROUND(PMT(W695/1200,X695,-V695),2)</f>
        <v>15500.07</v>
      </c>
      <c r="AC695" s="4" t="n">
        <v>777000</v>
      </c>
      <c r="AD695" s="3" t="n">
        <v>1</v>
      </c>
      <c r="AE695" s="4" t="n">
        <v>137700</v>
      </c>
      <c r="AF695" s="4"/>
      <c r="AG695" s="3" t="n">
        <v>4</v>
      </c>
      <c r="AH695" s="4" t="n">
        <v>47900</v>
      </c>
      <c r="AI695" s="3" t="n">
        <v>900</v>
      </c>
      <c r="AJ695" s="7" t="n">
        <f aca="false">ROUND(AB695/I695,4)</f>
        <v>0.337</v>
      </c>
      <c r="AK695" s="2" t="str">
        <f aca="false">IF(AND(AI695&gt;=750,AJ695&lt;=0.35),"Low",IF(AND(AI695&gt;=600,AJ695&lt;=0.5),"Medium","High"))</f>
        <v>Low</v>
      </c>
      <c r="AL695" s="3" t="n">
        <v>0</v>
      </c>
      <c r="AM695" s="2" t="s">
        <v>58</v>
      </c>
      <c r="AN695" s="2" t="s">
        <v>59</v>
      </c>
      <c r="AO695" s="2" t="s">
        <v>60</v>
      </c>
      <c r="AP695" s="7" t="n">
        <v>0.024</v>
      </c>
    </row>
    <row r="696" customFormat="false" ht="15" hidden="false" customHeight="false" outlineLevel="0" collapsed="false">
      <c r="A696" s="2" t="s">
        <v>2699</v>
      </c>
      <c r="B696" s="2" t="s">
        <v>2700</v>
      </c>
      <c r="C696" s="2" t="s">
        <v>1458</v>
      </c>
      <c r="D696" s="2" t="s">
        <v>109</v>
      </c>
      <c r="E696" s="3" t="n">
        <v>35</v>
      </c>
      <c r="F696" s="2" t="s">
        <v>64</v>
      </c>
      <c r="G696" s="2" t="s">
        <v>207</v>
      </c>
      <c r="H696" s="2" t="s">
        <v>77</v>
      </c>
      <c r="I696" s="4" t="n">
        <v>31000</v>
      </c>
      <c r="J696" s="2" t="s">
        <v>49</v>
      </c>
      <c r="K696" s="3" t="n">
        <v>6</v>
      </c>
      <c r="L696" s="2" t="s">
        <v>211</v>
      </c>
      <c r="M696" s="2" t="s">
        <v>147</v>
      </c>
      <c r="N696" s="2" t="s">
        <v>52</v>
      </c>
      <c r="O696" s="3" t="n">
        <v>1</v>
      </c>
      <c r="P696" s="2" t="s">
        <v>209</v>
      </c>
      <c r="Q696" s="2" t="s">
        <v>210</v>
      </c>
      <c r="R696" s="2" t="s">
        <v>211</v>
      </c>
      <c r="S696" s="2" t="s">
        <v>147</v>
      </c>
      <c r="T696" s="2" t="s">
        <v>2701</v>
      </c>
      <c r="U696" s="2" t="s">
        <v>180</v>
      </c>
      <c r="V696" s="4" t="n">
        <v>629000</v>
      </c>
      <c r="W696" s="5" t="n">
        <v>11.47</v>
      </c>
      <c r="X696" s="3" t="n">
        <v>66</v>
      </c>
      <c r="Y696" s="6" t="n">
        <v>46182</v>
      </c>
      <c r="Z696" s="6" t="n">
        <v>46186</v>
      </c>
      <c r="AA696" s="6" t="n">
        <v>46187</v>
      </c>
      <c r="AB696" s="4" t="n">
        <f aca="false">ROUND(PMT(W696/1200,X696,-V696),2)</f>
        <v>12894.39</v>
      </c>
      <c r="AC696" s="4" t="n">
        <v>864000</v>
      </c>
      <c r="AD696" s="3" t="n">
        <v>1</v>
      </c>
      <c r="AE696" s="4" t="n">
        <v>116200</v>
      </c>
      <c r="AF696" s="4" t="n">
        <v>26600</v>
      </c>
      <c r="AG696" s="3" t="n">
        <v>62</v>
      </c>
      <c r="AH696" s="4" t="n">
        <v>16000</v>
      </c>
      <c r="AI696" s="3" t="n">
        <v>702</v>
      </c>
      <c r="AJ696" s="7" t="n">
        <f aca="false">ROUND(AB696/I696,4)</f>
        <v>0.4159</v>
      </c>
      <c r="AK696" s="2" t="str">
        <f aca="false">IF(AND(AI696&gt;=750,AJ696&lt;=0.35),"Low",IF(AND(AI696&gt;=600,AJ696&lt;=0.5),"Medium","High"))</f>
        <v>Medium</v>
      </c>
      <c r="AL696" s="3" t="n">
        <v>2</v>
      </c>
      <c r="AM696" s="2" t="s">
        <v>58</v>
      </c>
      <c r="AN696" s="2" t="s">
        <v>59</v>
      </c>
      <c r="AO696" s="2" t="s">
        <v>86</v>
      </c>
      <c r="AP696" s="7" t="n">
        <v>0.186</v>
      </c>
    </row>
    <row r="697" customFormat="false" ht="15" hidden="false" customHeight="false" outlineLevel="0" collapsed="false">
      <c r="A697" s="2" t="s">
        <v>2702</v>
      </c>
      <c r="B697" s="2" t="s">
        <v>423</v>
      </c>
      <c r="C697" s="2" t="s">
        <v>1585</v>
      </c>
      <c r="D697" s="2" t="s">
        <v>45</v>
      </c>
      <c r="E697" s="3" t="n">
        <v>21</v>
      </c>
      <c r="F697" s="2"/>
      <c r="G697" s="2" t="s">
        <v>246</v>
      </c>
      <c r="H697" s="2" t="s">
        <v>123</v>
      </c>
      <c r="I697" s="4" t="n">
        <v>11500</v>
      </c>
      <c r="J697" s="2" t="s">
        <v>145</v>
      </c>
      <c r="K697" s="3" t="n">
        <v>0</v>
      </c>
      <c r="L697" s="2" t="s">
        <v>429</v>
      </c>
      <c r="M697" s="2" t="s">
        <v>159</v>
      </c>
      <c r="N697" s="2" t="s">
        <v>140</v>
      </c>
      <c r="O697" s="3" t="n">
        <v>0</v>
      </c>
      <c r="P697" s="2" t="s">
        <v>103</v>
      </c>
      <c r="Q697" s="2" t="s">
        <v>104</v>
      </c>
      <c r="R697" s="2" t="s">
        <v>67</v>
      </c>
      <c r="S697" s="2" t="s">
        <v>67</v>
      </c>
      <c r="T697" s="2" t="s">
        <v>2703</v>
      </c>
      <c r="U697" s="2" t="s">
        <v>97</v>
      </c>
      <c r="V697" s="4" t="n">
        <v>171000</v>
      </c>
      <c r="W697" s="5" t="n">
        <v>11.91</v>
      </c>
      <c r="X697" s="3" t="n">
        <v>54</v>
      </c>
      <c r="Y697" s="6" t="n">
        <v>46195</v>
      </c>
      <c r="Z697" s="6" t="n">
        <v>46201</v>
      </c>
      <c r="AA697" s="6" t="n">
        <v>46202</v>
      </c>
      <c r="AB697" s="4" t="n">
        <f aca="false">ROUND(PMT(W697/1200,X697,-V697),2)</f>
        <v>4106.01</v>
      </c>
      <c r="AC697" s="4" t="n">
        <v>0</v>
      </c>
      <c r="AD697" s="3" t="n">
        <v>1</v>
      </c>
      <c r="AE697" s="4" t="n">
        <v>17900</v>
      </c>
      <c r="AF697" s="4" t="n">
        <v>5900</v>
      </c>
      <c r="AG697" s="3" t="n">
        <v>7</v>
      </c>
      <c r="AH697" s="4" t="n">
        <v>5800</v>
      </c>
      <c r="AI697" s="3" t="n">
        <v>701</v>
      </c>
      <c r="AJ697" s="7" t="n">
        <f aca="false">ROUND(AB697/I697,4)</f>
        <v>0.357</v>
      </c>
      <c r="AK697" s="2" t="str">
        <f aca="false">IF(AND(AI697&gt;=750,AJ697&lt;=0.35),"Low",IF(AND(AI697&gt;=600,AJ697&lt;=0.5),"Medium","High"))</f>
        <v>Medium</v>
      </c>
      <c r="AL697" s="3" t="n">
        <v>1</v>
      </c>
      <c r="AM697" s="2" t="s">
        <v>58</v>
      </c>
      <c r="AN697" s="2" t="s">
        <v>119</v>
      </c>
      <c r="AO697" s="2" t="s">
        <v>60</v>
      </c>
      <c r="AP697" s="7" t="n">
        <v>0.17</v>
      </c>
    </row>
    <row r="698" customFormat="false" ht="15" hidden="false" customHeight="false" outlineLevel="0" collapsed="false">
      <c r="A698" s="2" t="s">
        <v>2704</v>
      </c>
      <c r="B698" s="2" t="s">
        <v>1672</v>
      </c>
      <c r="C698" s="2" t="s">
        <v>1063</v>
      </c>
      <c r="D698" s="2" t="s">
        <v>109</v>
      </c>
      <c r="E698" s="3" t="n">
        <v>51</v>
      </c>
      <c r="F698" s="2" t="s">
        <v>46</v>
      </c>
      <c r="G698" s="2" t="s">
        <v>90</v>
      </c>
      <c r="H698" s="2" t="s">
        <v>48</v>
      </c>
      <c r="I698" s="4" t="n">
        <v>31000</v>
      </c>
      <c r="J698" s="2" t="s">
        <v>90</v>
      </c>
      <c r="K698" s="3" t="n">
        <v>29</v>
      </c>
      <c r="L698" s="2" t="s">
        <v>55</v>
      </c>
      <c r="M698" s="2" t="s">
        <v>51</v>
      </c>
      <c r="N698" s="2" t="s">
        <v>52</v>
      </c>
      <c r="O698" s="3" t="n">
        <v>1</v>
      </c>
      <c r="P698" s="2" t="s">
        <v>53</v>
      </c>
      <c r="Q698" s="2" t="s">
        <v>54</v>
      </c>
      <c r="R698" s="2" t="s">
        <v>55</v>
      </c>
      <c r="S698" s="2" t="s">
        <v>51</v>
      </c>
      <c r="T698" s="2" t="s">
        <v>2705</v>
      </c>
      <c r="U698" s="2" t="s">
        <v>85</v>
      </c>
      <c r="V698" s="4" t="n">
        <v>130000</v>
      </c>
      <c r="W698" s="5" t="n">
        <v>10.05</v>
      </c>
      <c r="X698" s="3" t="n">
        <v>12</v>
      </c>
      <c r="Y698" s="6" t="n">
        <v>46193</v>
      </c>
      <c r="Z698" s="6"/>
      <c r="AA698" s="6"/>
      <c r="AB698" s="4" t="n">
        <f aca="false">ROUND(PMT(W698/1200,X698,-V698),2)</f>
        <v>11432.09</v>
      </c>
      <c r="AC698" s="4" t="n">
        <v>0</v>
      </c>
      <c r="AD698" s="3" t="n">
        <v>0</v>
      </c>
      <c r="AE698" s="4" t="n">
        <v>103500</v>
      </c>
      <c r="AF698" s="4" t="n">
        <v>21600</v>
      </c>
      <c r="AG698" s="3" t="n">
        <v>2</v>
      </c>
      <c r="AH698" s="4" t="n">
        <v>29200</v>
      </c>
      <c r="AI698" s="3" t="n">
        <v>711</v>
      </c>
      <c r="AJ698" s="7" t="n">
        <f aca="false">ROUND(AB698/I698,4)</f>
        <v>0.3688</v>
      </c>
      <c r="AK698" s="2" t="str">
        <f aca="false">IF(AND(AI698&gt;=750,AJ698&lt;=0.35),"Low",IF(AND(AI698&gt;=600,AJ698&lt;=0.5),"Medium","High"))</f>
        <v>Medium</v>
      </c>
      <c r="AL698" s="3" t="n">
        <v>2</v>
      </c>
      <c r="AM698" s="2" t="s">
        <v>58</v>
      </c>
      <c r="AN698" s="2"/>
      <c r="AO698" s="2" t="s">
        <v>134</v>
      </c>
      <c r="AP698" s="7" t="n">
        <v>0.263</v>
      </c>
    </row>
    <row r="699" customFormat="false" ht="15" hidden="false" customHeight="false" outlineLevel="0" collapsed="false">
      <c r="A699" s="2" t="s">
        <v>2706</v>
      </c>
      <c r="B699" s="2" t="s">
        <v>2707</v>
      </c>
      <c r="C699" s="2" t="s">
        <v>1472</v>
      </c>
      <c r="D699" s="2" t="s">
        <v>45</v>
      </c>
      <c r="E699" s="3" t="n">
        <v>24</v>
      </c>
      <c r="F699" s="2" t="s">
        <v>175</v>
      </c>
      <c r="G699" s="2" t="s">
        <v>76</v>
      </c>
      <c r="H699" s="2" t="s">
        <v>77</v>
      </c>
      <c r="I699" s="4" t="n">
        <v>28000</v>
      </c>
      <c r="J699" s="2" t="s">
        <v>78</v>
      </c>
      <c r="K699" s="3" t="n">
        <v>0</v>
      </c>
      <c r="L699" s="2" t="s">
        <v>147</v>
      </c>
      <c r="M699" s="2" t="s">
        <v>147</v>
      </c>
      <c r="N699" s="2" t="s">
        <v>140</v>
      </c>
      <c r="O699" s="3" t="n">
        <v>1</v>
      </c>
      <c r="P699" s="2" t="s">
        <v>148</v>
      </c>
      <c r="Q699" s="2" t="s">
        <v>149</v>
      </c>
      <c r="R699" s="2" t="s">
        <v>147</v>
      </c>
      <c r="S699" s="2" t="s">
        <v>147</v>
      </c>
      <c r="T699" s="2" t="s">
        <v>2708</v>
      </c>
      <c r="U699" s="2" t="s">
        <v>118</v>
      </c>
      <c r="V699" s="4" t="n">
        <v>136000</v>
      </c>
      <c r="W699" s="5" t="n">
        <v>7.94</v>
      </c>
      <c r="X699" s="3" t="n">
        <v>42</v>
      </c>
      <c r="Y699" s="6" t="n">
        <v>46197</v>
      </c>
      <c r="Z699" s="6"/>
      <c r="AA699" s="6"/>
      <c r="AB699" s="4" t="n">
        <f aca="false">ROUND(PMT(W699/1200,X699,-V699),2)</f>
        <v>3719.47</v>
      </c>
      <c r="AC699" s="4" t="n">
        <v>0</v>
      </c>
      <c r="AD699" s="3" t="n">
        <v>1</v>
      </c>
      <c r="AE699" s="4" t="n">
        <v>66700</v>
      </c>
      <c r="AF699" s="4" t="n">
        <v>32700</v>
      </c>
      <c r="AG699" s="3" t="n">
        <v>38</v>
      </c>
      <c r="AH699" s="4" t="n">
        <v>15400</v>
      </c>
      <c r="AI699" s="3" t="n">
        <v>798</v>
      </c>
      <c r="AJ699" s="7" t="n">
        <f aca="false">ROUND(AB699/I699,4)</f>
        <v>0.1328</v>
      </c>
      <c r="AK699" s="2" t="str">
        <f aca="false">IF(AND(AI699&gt;=750,AJ699&lt;=0.35),"Low",IF(AND(AI699&gt;=600,AJ699&lt;=0.5),"Medium","High"))</f>
        <v>Low</v>
      </c>
      <c r="AL699" s="3" t="n">
        <v>2</v>
      </c>
      <c r="AM699" s="2" t="s">
        <v>233</v>
      </c>
      <c r="AN699" s="2"/>
      <c r="AO699" s="2" t="s">
        <v>134</v>
      </c>
      <c r="AP699" s="7" t="n">
        <v>0.264</v>
      </c>
    </row>
    <row r="700" customFormat="false" ht="15" hidden="false" customHeight="false" outlineLevel="0" collapsed="false">
      <c r="A700" s="2" t="s">
        <v>2709</v>
      </c>
      <c r="B700" s="2" t="s">
        <v>2710</v>
      </c>
      <c r="C700" s="2" t="s">
        <v>552</v>
      </c>
      <c r="D700" s="2" t="s">
        <v>109</v>
      </c>
      <c r="E700" s="3" t="n">
        <v>43</v>
      </c>
      <c r="F700" s="2"/>
      <c r="G700" s="2" t="s">
        <v>76</v>
      </c>
      <c r="H700" s="2" t="s">
        <v>48</v>
      </c>
      <c r="I700" s="4" t="n">
        <v>51500</v>
      </c>
      <c r="J700" s="2" t="s">
        <v>78</v>
      </c>
      <c r="K700" s="3" t="n">
        <v>19</v>
      </c>
      <c r="L700" s="2" t="s">
        <v>139</v>
      </c>
      <c r="M700" s="2" t="s">
        <v>139</v>
      </c>
      <c r="N700" s="2" t="s">
        <v>52</v>
      </c>
      <c r="O700" s="3" t="n">
        <v>1</v>
      </c>
      <c r="P700" s="2" t="s">
        <v>197</v>
      </c>
      <c r="Q700" s="2" t="s">
        <v>198</v>
      </c>
      <c r="R700" s="2" t="s">
        <v>139</v>
      </c>
      <c r="S700" s="2" t="s">
        <v>139</v>
      </c>
      <c r="T700" s="2" t="s">
        <v>2711</v>
      </c>
      <c r="U700" s="2" t="s">
        <v>97</v>
      </c>
      <c r="V700" s="4" t="n">
        <v>563000</v>
      </c>
      <c r="W700" s="5" t="n">
        <v>11.37</v>
      </c>
      <c r="X700" s="3" t="n">
        <v>60</v>
      </c>
      <c r="Y700" s="6" t="n">
        <v>46196</v>
      </c>
      <c r="Z700" s="6" t="n">
        <v>46202</v>
      </c>
      <c r="AA700" s="6" t="n">
        <v>46207</v>
      </c>
      <c r="AB700" s="4" t="n">
        <f aca="false">ROUND(PMT(W700/1200,X700,-V700),2)</f>
        <v>12345.13</v>
      </c>
      <c r="AC700" s="4" t="n">
        <v>0</v>
      </c>
      <c r="AD700" s="3" t="n">
        <v>0</v>
      </c>
      <c r="AE700" s="4" t="n">
        <v>101800</v>
      </c>
      <c r="AF700" s="4" t="n">
        <v>57000</v>
      </c>
      <c r="AG700" s="3" t="n">
        <v>17</v>
      </c>
      <c r="AH700" s="4"/>
      <c r="AI700" s="3" t="n">
        <v>795</v>
      </c>
      <c r="AJ700" s="7" t="n">
        <f aca="false">ROUND(AB700/I700,4)</f>
        <v>0.2397</v>
      </c>
      <c r="AK700" s="2" t="str">
        <f aca="false">IF(AND(AI700&gt;=750,AJ700&lt;=0.35),"Low",IF(AND(AI700&gt;=600,AJ700&lt;=0.5),"Medium","High"))</f>
        <v>Low</v>
      </c>
      <c r="AL700" s="3" t="n">
        <v>0</v>
      </c>
      <c r="AM700" s="2" t="s">
        <v>58</v>
      </c>
      <c r="AN700" s="2" t="s">
        <v>119</v>
      </c>
      <c r="AO700" s="2" t="s">
        <v>60</v>
      </c>
      <c r="AP700" s="7" t="n">
        <v>0.106</v>
      </c>
    </row>
    <row r="701" customFormat="false" ht="15" hidden="false" customHeight="false" outlineLevel="0" collapsed="false">
      <c r="A701" s="2" t="s">
        <v>2712</v>
      </c>
      <c r="B701" s="2" t="s">
        <v>2713</v>
      </c>
      <c r="C701" s="2" t="s">
        <v>423</v>
      </c>
      <c r="D701" s="2" t="s">
        <v>45</v>
      </c>
      <c r="E701" s="3" t="n">
        <v>21</v>
      </c>
      <c r="F701" s="2" t="s">
        <v>64</v>
      </c>
      <c r="G701" s="2" t="s">
        <v>154</v>
      </c>
      <c r="H701" s="2" t="s">
        <v>101</v>
      </c>
      <c r="I701" s="4" t="n">
        <v>30000</v>
      </c>
      <c r="J701" s="2" t="s">
        <v>145</v>
      </c>
      <c r="K701" s="3" t="n">
        <v>0</v>
      </c>
      <c r="L701" s="2" t="s">
        <v>247</v>
      </c>
      <c r="M701" s="2" t="s">
        <v>80</v>
      </c>
      <c r="N701" s="2" t="s">
        <v>81</v>
      </c>
      <c r="O701" s="3" t="n">
        <v>1</v>
      </c>
      <c r="P701" s="2" t="s">
        <v>103</v>
      </c>
      <c r="Q701" s="2" t="s">
        <v>104</v>
      </c>
      <c r="R701" s="2" t="s">
        <v>67</v>
      </c>
      <c r="S701" s="2" t="s">
        <v>67</v>
      </c>
      <c r="T701" s="2" t="s">
        <v>2714</v>
      </c>
      <c r="U701" s="2" t="s">
        <v>85</v>
      </c>
      <c r="V701" s="4" t="n">
        <v>92000</v>
      </c>
      <c r="W701" s="5" t="n">
        <v>7.98</v>
      </c>
      <c r="X701" s="3" t="n">
        <v>18</v>
      </c>
      <c r="Y701" s="6" t="n">
        <v>46178</v>
      </c>
      <c r="Z701" s="6"/>
      <c r="AA701" s="6"/>
      <c r="AB701" s="4" t="n">
        <f aca="false">ROUND(PMT(W701/1200,X701,-V701),2)</f>
        <v>5440.07</v>
      </c>
      <c r="AC701" s="4" t="n">
        <v>0</v>
      </c>
      <c r="AD701" s="3" t="n">
        <v>0</v>
      </c>
      <c r="AE701" s="4" t="n">
        <v>59400</v>
      </c>
      <c r="AF701" s="4" t="n">
        <v>22500</v>
      </c>
      <c r="AG701" s="3" t="n">
        <v>38</v>
      </c>
      <c r="AH701" s="4" t="n">
        <v>30300</v>
      </c>
      <c r="AI701" s="3" t="n">
        <v>687</v>
      </c>
      <c r="AJ701" s="7" t="n">
        <f aca="false">ROUND(AB701/I701,4)</f>
        <v>0.1813</v>
      </c>
      <c r="AK701" s="2" t="str">
        <f aca="false">IF(AND(AI701&gt;=750,AJ701&lt;=0.35),"Low",IF(AND(AI701&gt;=600,AJ701&lt;=0.5),"Medium","High"))</f>
        <v>Medium</v>
      </c>
      <c r="AL701" s="3"/>
      <c r="AM701" s="2" t="s">
        <v>233</v>
      </c>
      <c r="AN701" s="2"/>
      <c r="AO701" s="2" t="s">
        <v>127</v>
      </c>
      <c r="AP701" s="7" t="n">
        <v>0.306</v>
      </c>
    </row>
    <row r="702" customFormat="false" ht="15" hidden="false" customHeight="false" outlineLevel="0" collapsed="false">
      <c r="A702" s="2" t="s">
        <v>2715</v>
      </c>
      <c r="B702" s="2" t="s">
        <v>2716</v>
      </c>
      <c r="C702" s="2" t="s">
        <v>2717</v>
      </c>
      <c r="D702" s="2" t="s">
        <v>109</v>
      </c>
      <c r="E702" s="3" t="n">
        <v>28</v>
      </c>
      <c r="F702" s="2" t="s">
        <v>46</v>
      </c>
      <c r="G702" s="2" t="s">
        <v>110</v>
      </c>
      <c r="H702" s="2" t="s">
        <v>111</v>
      </c>
      <c r="I702" s="4" t="n">
        <v>8500</v>
      </c>
      <c r="J702" s="2" t="s">
        <v>112</v>
      </c>
      <c r="K702" s="3" t="n">
        <v>5</v>
      </c>
      <c r="L702" s="2" t="s">
        <v>262</v>
      </c>
      <c r="M702" s="2" t="s">
        <v>139</v>
      </c>
      <c r="N702" s="2" t="s">
        <v>52</v>
      </c>
      <c r="O702" s="3" t="n">
        <v>0</v>
      </c>
      <c r="P702" s="2" t="s">
        <v>197</v>
      </c>
      <c r="Q702" s="2" t="s">
        <v>198</v>
      </c>
      <c r="R702" s="2" t="s">
        <v>139</v>
      </c>
      <c r="S702" s="2" t="s">
        <v>139</v>
      </c>
      <c r="T702" s="2" t="s">
        <v>2718</v>
      </c>
      <c r="U702" s="2" t="s">
        <v>192</v>
      </c>
      <c r="V702" s="4" t="n">
        <v>200000</v>
      </c>
      <c r="W702" s="5" t="n">
        <v>12.54</v>
      </c>
      <c r="X702" s="3" t="n">
        <v>36</v>
      </c>
      <c r="Y702" s="6" t="n">
        <v>46188</v>
      </c>
      <c r="Z702" s="6"/>
      <c r="AA702" s="6"/>
      <c r="AB702" s="4" t="n">
        <f aca="false">ROUND(PMT(W702/1200,X702,-V702),2)</f>
        <v>6694.56</v>
      </c>
      <c r="AC702" s="4" t="n">
        <v>285000</v>
      </c>
      <c r="AD702" s="3" t="n">
        <v>1</v>
      </c>
      <c r="AE702" s="4" t="n">
        <v>16400</v>
      </c>
      <c r="AF702" s="4" t="n">
        <v>5700</v>
      </c>
      <c r="AG702" s="3" t="n">
        <v>59</v>
      </c>
      <c r="AH702" s="4" t="n">
        <v>2800</v>
      </c>
      <c r="AI702" s="3" t="n">
        <v>657</v>
      </c>
      <c r="AJ702" s="7" t="n">
        <f aca="false">ROUND(AB702/I702,4)</f>
        <v>0.7876</v>
      </c>
      <c r="AK702" s="2" t="str">
        <f aca="false">IF(AND(AI702&gt;=750,AJ702&lt;=0.35),"Low",IF(AND(AI702&gt;=600,AJ702&lt;=0.5),"Medium","High"))</f>
        <v>High</v>
      </c>
      <c r="AL702" s="3" t="n">
        <v>0</v>
      </c>
      <c r="AM702" s="2" t="s">
        <v>58</v>
      </c>
      <c r="AN702" s="2"/>
      <c r="AO702" s="2" t="s">
        <v>127</v>
      </c>
      <c r="AP702" s="7" t="n">
        <v>0.223</v>
      </c>
    </row>
    <row r="703" customFormat="false" ht="15" hidden="false" customHeight="false" outlineLevel="0" collapsed="false">
      <c r="A703" s="2" t="s">
        <v>2719</v>
      </c>
      <c r="B703" s="2" t="s">
        <v>2662</v>
      </c>
      <c r="C703" s="2" t="s">
        <v>2720</v>
      </c>
      <c r="D703" s="2" t="s">
        <v>109</v>
      </c>
      <c r="E703" s="3" t="n">
        <v>36</v>
      </c>
      <c r="F703" s="2" t="s">
        <v>64</v>
      </c>
      <c r="G703" s="2" t="s">
        <v>110</v>
      </c>
      <c r="H703" s="2" t="s">
        <v>111</v>
      </c>
      <c r="I703" s="4" t="n">
        <v>10500</v>
      </c>
      <c r="J703" s="2" t="s">
        <v>112</v>
      </c>
      <c r="K703" s="3" t="n">
        <v>15</v>
      </c>
      <c r="L703" s="2" t="s">
        <v>92</v>
      </c>
      <c r="M703" s="2" t="s">
        <v>92</v>
      </c>
      <c r="N703" s="2" t="s">
        <v>81</v>
      </c>
      <c r="O703" s="3" t="n">
        <v>0</v>
      </c>
      <c r="P703" s="2" t="s">
        <v>169</v>
      </c>
      <c r="Q703" s="2" t="s">
        <v>170</v>
      </c>
      <c r="R703" s="2" t="s">
        <v>92</v>
      </c>
      <c r="S703" s="2" t="s">
        <v>92</v>
      </c>
      <c r="T703" s="2" t="s">
        <v>2721</v>
      </c>
      <c r="U703" s="2" t="s">
        <v>57</v>
      </c>
      <c r="V703" s="4" t="n">
        <v>800000</v>
      </c>
      <c r="W703" s="5" t="n">
        <v>10.32</v>
      </c>
      <c r="X703" s="3" t="n">
        <v>192</v>
      </c>
      <c r="Y703" s="6" t="n">
        <v>46176</v>
      </c>
      <c r="Z703" s="6" t="n">
        <v>46185</v>
      </c>
      <c r="AA703" s="6" t="n">
        <v>46187</v>
      </c>
      <c r="AB703" s="4" t="n">
        <f aca="false">ROUND(PMT(W703/1200,X703,-V703),2)</f>
        <v>8527.29</v>
      </c>
      <c r="AC703" s="4" t="n">
        <v>1058000</v>
      </c>
      <c r="AD703" s="3" t="n">
        <v>1</v>
      </c>
      <c r="AE703" s="4" t="n">
        <v>28900</v>
      </c>
      <c r="AF703" s="4" t="n">
        <v>10400</v>
      </c>
      <c r="AG703" s="3" t="n">
        <v>38</v>
      </c>
      <c r="AH703" s="4" t="n">
        <v>8900</v>
      </c>
      <c r="AI703" s="3" t="n">
        <v>745</v>
      </c>
      <c r="AJ703" s="7" t="n">
        <f aca="false">ROUND(AB703/I703,4)</f>
        <v>0.8121</v>
      </c>
      <c r="AK703" s="2" t="str">
        <f aca="false">IF(AND(AI703&gt;=750,AJ703&lt;=0.35),"Low",IF(AND(AI703&gt;=600,AJ703&lt;=0.5),"Medium","High"))</f>
        <v>High</v>
      </c>
      <c r="AL703" s="3" t="n">
        <v>4</v>
      </c>
      <c r="AM703" s="2" t="s">
        <v>233</v>
      </c>
      <c r="AN703" s="2" t="s">
        <v>119</v>
      </c>
      <c r="AO703" s="2" t="s">
        <v>60</v>
      </c>
      <c r="AP703" s="7" t="n">
        <v>0.399</v>
      </c>
    </row>
    <row r="704" customFormat="false" ht="15" hidden="false" customHeight="false" outlineLevel="0" collapsed="false">
      <c r="A704" s="2" t="s">
        <v>2722</v>
      </c>
      <c r="B704" s="2" t="s">
        <v>980</v>
      </c>
      <c r="C704" s="2" t="s">
        <v>2723</v>
      </c>
      <c r="D704" s="2" t="s">
        <v>45</v>
      </c>
      <c r="E704" s="3" t="n">
        <v>21</v>
      </c>
      <c r="F704" s="2" t="s">
        <v>64</v>
      </c>
      <c r="G704" s="2" t="s">
        <v>76</v>
      </c>
      <c r="H704" s="2" t="s">
        <v>77</v>
      </c>
      <c r="I704" s="4" t="n">
        <v>28500</v>
      </c>
      <c r="J704" s="2" t="s">
        <v>78</v>
      </c>
      <c r="K704" s="3" t="n">
        <v>0</v>
      </c>
      <c r="L704" s="2" t="s">
        <v>159</v>
      </c>
      <c r="M704" s="2" t="s">
        <v>159</v>
      </c>
      <c r="N704" s="2" t="s">
        <v>81</v>
      </c>
      <c r="O704" s="3" t="n">
        <v>0</v>
      </c>
      <c r="P704" s="2" t="s">
        <v>160</v>
      </c>
      <c r="Q704" s="2" t="s">
        <v>161</v>
      </c>
      <c r="R704" s="2" t="s">
        <v>159</v>
      </c>
      <c r="S704" s="2" t="s">
        <v>159</v>
      </c>
      <c r="T704" s="2" t="s">
        <v>2724</v>
      </c>
      <c r="U704" s="2" t="s">
        <v>118</v>
      </c>
      <c r="V704" s="4" t="n">
        <v>555000</v>
      </c>
      <c r="W704" s="5" t="n">
        <v>7.76</v>
      </c>
      <c r="X704" s="3" t="n">
        <v>66</v>
      </c>
      <c r="Y704" s="6" t="n">
        <v>46177</v>
      </c>
      <c r="Z704" s="6"/>
      <c r="AA704" s="6"/>
      <c r="AB704" s="4" t="n">
        <f aca="false">ROUND(PMT(W704/1200,X704,-V704),2)</f>
        <v>10357.61</v>
      </c>
      <c r="AC704" s="4" t="n">
        <v>0</v>
      </c>
      <c r="AD704" s="3" t="n">
        <v>1</v>
      </c>
      <c r="AE704" s="4" t="n">
        <v>82900</v>
      </c>
      <c r="AF704" s="4" t="n">
        <v>27800</v>
      </c>
      <c r="AG704" s="3" t="n">
        <v>8</v>
      </c>
      <c r="AH704" s="4" t="n">
        <v>28500</v>
      </c>
      <c r="AI704" s="3" t="n">
        <v>680</v>
      </c>
      <c r="AJ704" s="7" t="n">
        <f aca="false">ROUND(AB704/I704,4)</f>
        <v>0.3634</v>
      </c>
      <c r="AK704" s="2" t="str">
        <f aca="false">IF(AND(AI704&gt;=750,AJ704&lt;=0.35),"Low",IF(AND(AI704&gt;=600,AJ704&lt;=0.5),"Medium","High"))</f>
        <v>Medium</v>
      </c>
      <c r="AL704" s="3" t="n">
        <v>1</v>
      </c>
      <c r="AM704" s="2" t="s">
        <v>58</v>
      </c>
      <c r="AN704" s="2"/>
      <c r="AO704" s="2" t="s">
        <v>127</v>
      </c>
      <c r="AP704" s="7" t="n">
        <v>0.281</v>
      </c>
    </row>
    <row r="705" customFormat="false" ht="15" hidden="false" customHeight="false" outlineLevel="0" collapsed="false">
      <c r="A705" s="2" t="s">
        <v>2725</v>
      </c>
      <c r="B705" s="2" t="s">
        <v>2726</v>
      </c>
      <c r="C705" s="2" t="s">
        <v>2018</v>
      </c>
      <c r="D705" s="2" t="s">
        <v>109</v>
      </c>
      <c r="E705" s="3" t="n">
        <v>21</v>
      </c>
      <c r="F705" s="2" t="s">
        <v>64</v>
      </c>
      <c r="G705" s="2" t="s">
        <v>47</v>
      </c>
      <c r="H705" s="2" t="s">
        <v>48</v>
      </c>
      <c r="I705" s="4" t="n">
        <v>70000</v>
      </c>
      <c r="J705" s="2" t="s">
        <v>49</v>
      </c>
      <c r="K705" s="3" t="n">
        <v>0</v>
      </c>
      <c r="L705" s="2" t="s">
        <v>70</v>
      </c>
      <c r="M705" s="2" t="s">
        <v>67</v>
      </c>
      <c r="N705" s="2" t="s">
        <v>81</v>
      </c>
      <c r="O705" s="3" t="n">
        <v>2</v>
      </c>
      <c r="P705" s="2" t="s">
        <v>68</v>
      </c>
      <c r="Q705" s="2" t="s">
        <v>69</v>
      </c>
      <c r="R705" s="2" t="s">
        <v>70</v>
      </c>
      <c r="S705" s="2" t="s">
        <v>67</v>
      </c>
      <c r="T705" s="2" t="s">
        <v>2727</v>
      </c>
      <c r="U705" s="2" t="s">
        <v>118</v>
      </c>
      <c r="V705" s="4" t="n">
        <v>696000</v>
      </c>
      <c r="W705" s="5" t="n">
        <v>10.23</v>
      </c>
      <c r="X705" s="3" t="n">
        <v>42</v>
      </c>
      <c r="Y705" s="6" t="n">
        <v>46194</v>
      </c>
      <c r="Z705" s="6"/>
      <c r="AA705" s="6"/>
      <c r="AB705" s="4" t="n">
        <f aca="false">ROUND(PMT(W705/1200,X705,-V705),2)</f>
        <v>19784.58</v>
      </c>
      <c r="AC705" s="4" t="n">
        <v>0</v>
      </c>
      <c r="AD705" s="3" t="n">
        <v>0</v>
      </c>
      <c r="AE705" s="4" t="n">
        <v>243100</v>
      </c>
      <c r="AF705" s="4" t="n">
        <v>126900</v>
      </c>
      <c r="AG705" s="3" t="n">
        <v>25</v>
      </c>
      <c r="AH705" s="4" t="n">
        <v>49700</v>
      </c>
      <c r="AI705" s="3" t="n">
        <v>675</v>
      </c>
      <c r="AJ705" s="7" t="n">
        <f aca="false">ROUND(AB705/I705,4)</f>
        <v>0.2826</v>
      </c>
      <c r="AK705" s="2" t="str">
        <f aca="false">IF(AND(AI705&gt;=750,AJ705&lt;=0.35),"Low",IF(AND(AI705&gt;=600,AJ705&lt;=0.5),"Medium","High"))</f>
        <v>Medium</v>
      </c>
      <c r="AL705" s="3" t="n">
        <v>2</v>
      </c>
      <c r="AM705" s="2" t="s">
        <v>58</v>
      </c>
      <c r="AN705" s="2"/>
      <c r="AO705" s="2" t="s">
        <v>134</v>
      </c>
      <c r="AP705" s="7" t="n">
        <v>0.29</v>
      </c>
    </row>
    <row r="706" customFormat="false" ht="15" hidden="false" customHeight="false" outlineLevel="0" collapsed="false">
      <c r="A706" s="2" t="s">
        <v>2728</v>
      </c>
      <c r="B706" s="2" t="s">
        <v>2729</v>
      </c>
      <c r="C706" s="2" t="s">
        <v>2730</v>
      </c>
      <c r="D706" s="2" t="s">
        <v>109</v>
      </c>
      <c r="E706" s="3" t="n">
        <v>31</v>
      </c>
      <c r="F706" s="2" t="s">
        <v>46</v>
      </c>
      <c r="G706" s="2" t="s">
        <v>110</v>
      </c>
      <c r="H706" s="2" t="s">
        <v>48</v>
      </c>
      <c r="I706" s="4" t="n">
        <v>24000</v>
      </c>
      <c r="J706" s="2" t="s">
        <v>112</v>
      </c>
      <c r="K706" s="3" t="n">
        <v>13</v>
      </c>
      <c r="L706" s="2" t="s">
        <v>51</v>
      </c>
      <c r="M706" s="2" t="s">
        <v>51</v>
      </c>
      <c r="N706" s="2" t="s">
        <v>52</v>
      </c>
      <c r="O706" s="3" t="n">
        <v>0</v>
      </c>
      <c r="P706" s="2" t="s">
        <v>131</v>
      </c>
      <c r="Q706" s="2" t="s">
        <v>132</v>
      </c>
      <c r="R706" s="2" t="s">
        <v>51</v>
      </c>
      <c r="S706" s="2" t="s">
        <v>51</v>
      </c>
      <c r="T706" s="2" t="s">
        <v>2731</v>
      </c>
      <c r="U706" s="2" t="s">
        <v>72</v>
      </c>
      <c r="V706" s="4" t="n">
        <v>300000</v>
      </c>
      <c r="W706" s="5" t="n">
        <v>15.27</v>
      </c>
      <c r="X706" s="3" t="n">
        <v>24</v>
      </c>
      <c r="Y706" s="6" t="n">
        <v>46196</v>
      </c>
      <c r="Z706" s="6"/>
      <c r="AA706" s="6"/>
      <c r="AB706" s="4" t="n">
        <f aca="false">ROUND(PMT(W706/1200,X706,-V706),2)</f>
        <v>14584.51</v>
      </c>
      <c r="AC706" s="4" t="n">
        <v>395000</v>
      </c>
      <c r="AD706" s="3" t="n">
        <v>1</v>
      </c>
      <c r="AE706" s="4" t="n">
        <v>22800</v>
      </c>
      <c r="AF706" s="4" t="n">
        <v>13100</v>
      </c>
      <c r="AG706" s="3" t="n">
        <v>17</v>
      </c>
      <c r="AH706" s="4" t="n">
        <v>20900</v>
      </c>
      <c r="AI706" s="3" t="n">
        <v>718</v>
      </c>
      <c r="AJ706" s="7" t="n">
        <f aca="false">ROUND(AB706/I706,4)</f>
        <v>0.6077</v>
      </c>
      <c r="AK706" s="2" t="str">
        <f aca="false">IF(AND(AI706&gt;=750,AJ706&lt;=0.35),"Low",IF(AND(AI706&gt;=600,AJ706&lt;=0.5),"Medium","High"))</f>
        <v>High</v>
      </c>
      <c r="AL706" s="3" t="n">
        <v>0</v>
      </c>
      <c r="AM706" s="2" t="s">
        <v>58</v>
      </c>
      <c r="AN706" s="2"/>
      <c r="AO706" s="2" t="s">
        <v>127</v>
      </c>
      <c r="AP706" s="7" t="n">
        <v>0.168</v>
      </c>
    </row>
    <row r="707" customFormat="false" ht="15" hidden="false" customHeight="false" outlineLevel="0" collapsed="false">
      <c r="A707" s="2" t="s">
        <v>2732</v>
      </c>
      <c r="B707" s="2" t="s">
        <v>2733</v>
      </c>
      <c r="C707" s="2" t="s">
        <v>2734</v>
      </c>
      <c r="D707" s="2" t="s">
        <v>45</v>
      </c>
      <c r="E707" s="3" t="n">
        <v>37</v>
      </c>
      <c r="F707" s="2" t="s">
        <v>64</v>
      </c>
      <c r="G707" s="2" t="s">
        <v>246</v>
      </c>
      <c r="H707" s="2" t="s">
        <v>77</v>
      </c>
      <c r="I707" s="4" t="n">
        <v>33000</v>
      </c>
      <c r="J707" s="2" t="s">
        <v>145</v>
      </c>
      <c r="K707" s="3" t="n">
        <v>15</v>
      </c>
      <c r="L707" s="2" t="s">
        <v>146</v>
      </c>
      <c r="M707" s="2" t="s">
        <v>147</v>
      </c>
      <c r="N707" s="2" t="s">
        <v>140</v>
      </c>
      <c r="O707" s="3" t="n">
        <v>1</v>
      </c>
      <c r="P707" s="2" t="s">
        <v>209</v>
      </c>
      <c r="Q707" s="2" t="s">
        <v>210</v>
      </c>
      <c r="R707" s="2" t="s">
        <v>211</v>
      </c>
      <c r="S707" s="2" t="s">
        <v>147</v>
      </c>
      <c r="T707" s="2" t="s">
        <v>2735</v>
      </c>
      <c r="U707" s="2" t="s">
        <v>57</v>
      </c>
      <c r="V707" s="4" t="n">
        <v>800000</v>
      </c>
      <c r="W707" s="5" t="n">
        <v>9.26</v>
      </c>
      <c r="X707" s="3" t="n">
        <v>108</v>
      </c>
      <c r="Y707" s="6" t="n">
        <v>46188</v>
      </c>
      <c r="Z707" s="6"/>
      <c r="AA707" s="6"/>
      <c r="AB707" s="4" t="n">
        <f aca="false">ROUND(PMT(W707/1200,X707,-V707),2)</f>
        <v>10944.88</v>
      </c>
      <c r="AC707" s="4" t="n">
        <v>1023000</v>
      </c>
      <c r="AD707" s="3" t="n">
        <v>1</v>
      </c>
      <c r="AE707" s="4" t="n">
        <v>26300</v>
      </c>
      <c r="AF707" s="4" t="n">
        <v>8700</v>
      </c>
      <c r="AG707" s="3" t="n">
        <v>42</v>
      </c>
      <c r="AH707" s="4" t="n">
        <v>29700</v>
      </c>
      <c r="AI707" s="3" t="n">
        <v>624</v>
      </c>
      <c r="AJ707" s="7" t="n">
        <f aca="false">ROUND(AB707/I707,4)</f>
        <v>0.3317</v>
      </c>
      <c r="AK707" s="2" t="str">
        <f aca="false">IF(AND(AI707&gt;=750,AJ707&lt;=0.35),"Low",IF(AND(AI707&gt;=600,AJ707&lt;=0.5),"Medium","High"))</f>
        <v>Medium</v>
      </c>
      <c r="AL707" s="3" t="n">
        <v>1</v>
      </c>
      <c r="AM707" s="2" t="s">
        <v>58</v>
      </c>
      <c r="AN707" s="2"/>
      <c r="AO707" s="2" t="s">
        <v>134</v>
      </c>
      <c r="AP707" s="7" t="n">
        <v>0.28</v>
      </c>
    </row>
    <row r="708" customFormat="false" ht="15" hidden="false" customHeight="false" outlineLevel="0" collapsed="false">
      <c r="A708" s="2" t="s">
        <v>2736</v>
      </c>
      <c r="B708" s="2" t="s">
        <v>2737</v>
      </c>
      <c r="C708" s="2" t="s">
        <v>2738</v>
      </c>
      <c r="D708" s="2" t="s">
        <v>45</v>
      </c>
      <c r="E708" s="3" t="n">
        <v>30</v>
      </c>
      <c r="F708" s="2" t="s">
        <v>64</v>
      </c>
      <c r="G708" s="2" t="s">
        <v>207</v>
      </c>
      <c r="H708" s="2" t="s">
        <v>48</v>
      </c>
      <c r="I708" s="4" t="n">
        <v>40500</v>
      </c>
      <c r="J708" s="2" t="s">
        <v>49</v>
      </c>
      <c r="K708" s="3" t="n">
        <v>5</v>
      </c>
      <c r="L708" s="2" t="s">
        <v>429</v>
      </c>
      <c r="M708" s="2" t="s">
        <v>159</v>
      </c>
      <c r="N708" s="2" t="s">
        <v>52</v>
      </c>
      <c r="O708" s="3" t="n">
        <v>4</v>
      </c>
      <c r="P708" s="2" t="s">
        <v>160</v>
      </c>
      <c r="Q708" s="2" t="s">
        <v>161</v>
      </c>
      <c r="R708" s="2" t="s">
        <v>159</v>
      </c>
      <c r="S708" s="2" t="s">
        <v>159</v>
      </c>
      <c r="T708" s="2" t="s">
        <v>2739</v>
      </c>
      <c r="U708" s="2" t="s">
        <v>97</v>
      </c>
      <c r="V708" s="4" t="n">
        <v>325000</v>
      </c>
      <c r="W708" s="5" t="n">
        <v>16.34</v>
      </c>
      <c r="X708" s="3" t="n">
        <v>48</v>
      </c>
      <c r="Y708" s="6" t="n">
        <v>46195</v>
      </c>
      <c r="Z708" s="6"/>
      <c r="AA708" s="6"/>
      <c r="AB708" s="4" t="n">
        <f aca="false">ROUND(PMT(W708/1200,X708,-V708),2)</f>
        <v>9267.28</v>
      </c>
      <c r="AC708" s="4" t="n">
        <v>0</v>
      </c>
      <c r="AD708" s="3" t="n">
        <v>0</v>
      </c>
      <c r="AE708" s="4" t="n">
        <v>113400</v>
      </c>
      <c r="AF708" s="4" t="n">
        <v>48400</v>
      </c>
      <c r="AG708" s="3" t="n">
        <v>25</v>
      </c>
      <c r="AH708" s="4" t="n">
        <v>15200</v>
      </c>
      <c r="AI708" s="3" t="n">
        <v>584</v>
      </c>
      <c r="AJ708" s="7" t="n">
        <f aca="false">ROUND(AB708/I708,4)</f>
        <v>0.2288</v>
      </c>
      <c r="AK708" s="2" t="str">
        <f aca="false">IF(AND(AI708&gt;=750,AJ708&lt;=0.35),"Low",IF(AND(AI708&gt;=600,AJ708&lt;=0.5),"Medium","High"))</f>
        <v>High</v>
      </c>
      <c r="AL708" s="3" t="n">
        <v>3</v>
      </c>
      <c r="AM708" s="2" t="s">
        <v>58</v>
      </c>
      <c r="AN708" s="2"/>
      <c r="AO708" s="2" t="s">
        <v>134</v>
      </c>
      <c r="AP708" s="7" t="n">
        <v>0.357</v>
      </c>
    </row>
    <row r="709" customFormat="false" ht="15" hidden="false" customHeight="false" outlineLevel="0" collapsed="false">
      <c r="A709" s="2" t="s">
        <v>2740</v>
      </c>
      <c r="B709" s="2" t="s">
        <v>2741</v>
      </c>
      <c r="C709" s="2" t="s">
        <v>2742</v>
      </c>
      <c r="D709" s="2" t="s">
        <v>45</v>
      </c>
      <c r="E709" s="3" t="n">
        <v>50</v>
      </c>
      <c r="F709" s="2" t="s">
        <v>64</v>
      </c>
      <c r="G709" s="2" t="s">
        <v>145</v>
      </c>
      <c r="H709" s="2" t="s">
        <v>77</v>
      </c>
      <c r="I709" s="4" t="n">
        <v>55000</v>
      </c>
      <c r="J709" s="2" t="s">
        <v>145</v>
      </c>
      <c r="K709" s="3" t="n">
        <v>22</v>
      </c>
      <c r="L709" s="2" t="s">
        <v>92</v>
      </c>
      <c r="M709" s="2" t="s">
        <v>92</v>
      </c>
      <c r="N709" s="2" t="s">
        <v>52</v>
      </c>
      <c r="O709" s="3" t="n">
        <v>1</v>
      </c>
      <c r="P709" s="2" t="s">
        <v>169</v>
      </c>
      <c r="Q709" s="2" t="s">
        <v>170</v>
      </c>
      <c r="R709" s="2" t="s">
        <v>92</v>
      </c>
      <c r="S709" s="2" t="s">
        <v>92</v>
      </c>
      <c r="T709" s="2" t="s">
        <v>2743</v>
      </c>
      <c r="U709" s="2" t="s">
        <v>192</v>
      </c>
      <c r="V709" s="4" t="n">
        <v>417000</v>
      </c>
      <c r="W709" s="5" t="n">
        <v>12.9</v>
      </c>
      <c r="X709" s="3" t="n">
        <v>36</v>
      </c>
      <c r="Y709" s="6" t="n">
        <v>46187</v>
      </c>
      <c r="Z709" s="6" t="n">
        <v>46190</v>
      </c>
      <c r="AA709" s="6" t="n">
        <v>46194</v>
      </c>
      <c r="AB709" s="4" t="n">
        <f aca="false">ROUND(PMT(W709/1200,X709,-V709),2)</f>
        <v>14030.3</v>
      </c>
      <c r="AC709" s="4" t="n">
        <v>588000</v>
      </c>
      <c r="AD709" s="3" t="n">
        <v>0</v>
      </c>
      <c r="AE709" s="4" t="n">
        <v>30100</v>
      </c>
      <c r="AF709" s="4"/>
      <c r="AG709" s="3" t="n">
        <v>9</v>
      </c>
      <c r="AH709" s="4" t="n">
        <v>19000</v>
      </c>
      <c r="AI709" s="3" t="n">
        <v>660</v>
      </c>
      <c r="AJ709" s="7" t="n">
        <f aca="false">ROUND(AB709/I709,4)</f>
        <v>0.2551</v>
      </c>
      <c r="AK709" s="2" t="str">
        <f aca="false">IF(AND(AI709&gt;=750,AJ709&lt;=0.35),"Low",IF(AND(AI709&gt;=600,AJ709&lt;=0.5),"Medium","High"))</f>
        <v>Medium</v>
      </c>
      <c r="AL709" s="3" t="n">
        <v>0</v>
      </c>
      <c r="AM709" s="2" t="s">
        <v>58</v>
      </c>
      <c r="AN709" s="2" t="s">
        <v>258</v>
      </c>
      <c r="AO709" s="2" t="s">
        <v>60</v>
      </c>
      <c r="AP709" s="7" t="n">
        <v>0.254</v>
      </c>
    </row>
    <row r="710" customFormat="false" ht="15" hidden="false" customHeight="false" outlineLevel="0" collapsed="false">
      <c r="A710" s="2" t="s">
        <v>2744</v>
      </c>
      <c r="B710" s="2" t="s">
        <v>2745</v>
      </c>
      <c r="C710" s="2" t="s">
        <v>2746</v>
      </c>
      <c r="D710" s="2" t="s">
        <v>45</v>
      </c>
      <c r="E710" s="3" t="n">
        <v>28</v>
      </c>
      <c r="F710" s="2" t="s">
        <v>175</v>
      </c>
      <c r="G710" s="2" t="s">
        <v>65</v>
      </c>
      <c r="H710" s="2" t="s">
        <v>101</v>
      </c>
      <c r="I710" s="4" t="n">
        <v>43500</v>
      </c>
      <c r="J710" s="2" t="s">
        <v>49</v>
      </c>
      <c r="K710" s="3" t="n">
        <v>3</v>
      </c>
      <c r="L710" s="2" t="s">
        <v>262</v>
      </c>
      <c r="M710" s="2" t="s">
        <v>139</v>
      </c>
      <c r="N710" s="2" t="s">
        <v>102</v>
      </c>
      <c r="O710" s="3" t="n">
        <v>0</v>
      </c>
      <c r="P710" s="2" t="s">
        <v>197</v>
      </c>
      <c r="Q710" s="2" t="s">
        <v>198</v>
      </c>
      <c r="R710" s="2" t="s">
        <v>139</v>
      </c>
      <c r="S710" s="2" t="s">
        <v>139</v>
      </c>
      <c r="T710" s="2" t="s">
        <v>2747</v>
      </c>
      <c r="U710" s="2" t="s">
        <v>192</v>
      </c>
      <c r="V710" s="4" t="n">
        <v>493000</v>
      </c>
      <c r="W710" s="5" t="n">
        <v>13.93</v>
      </c>
      <c r="X710" s="3" t="n">
        <v>42</v>
      </c>
      <c r="Y710" s="6" t="n">
        <v>46183</v>
      </c>
      <c r="Z710" s="6" t="n">
        <v>46190</v>
      </c>
      <c r="AA710" s="6" t="n">
        <v>46195</v>
      </c>
      <c r="AB710" s="4" t="n">
        <f aca="false">ROUND(PMT(W710/1200,X710,-V710),2)</f>
        <v>14897.83</v>
      </c>
      <c r="AC710" s="4" t="n">
        <v>633000</v>
      </c>
      <c r="AD710" s="3" t="n">
        <v>1</v>
      </c>
      <c r="AE710" s="4" t="n">
        <v>173300</v>
      </c>
      <c r="AF710" s="4"/>
      <c r="AG710" s="3" t="n">
        <v>41</v>
      </c>
      <c r="AH710" s="4" t="n">
        <v>25400</v>
      </c>
      <c r="AI710" s="3" t="n">
        <v>830</v>
      </c>
      <c r="AJ710" s="7" t="n">
        <f aca="false">ROUND(AB710/I710,4)</f>
        <v>0.3425</v>
      </c>
      <c r="AK710" s="2" t="str">
        <f aca="false">IF(AND(AI710&gt;=750,AJ710&lt;=0.35),"Low",IF(AND(AI710&gt;=600,AJ710&lt;=0.5),"Medium","High"))</f>
        <v>Low</v>
      </c>
      <c r="AL710" s="3" t="n">
        <v>2</v>
      </c>
      <c r="AM710" s="2" t="s">
        <v>58</v>
      </c>
      <c r="AN710" s="2" t="s">
        <v>59</v>
      </c>
      <c r="AO710" s="2" t="s">
        <v>60</v>
      </c>
      <c r="AP710" s="7" t="n">
        <v>0.159</v>
      </c>
    </row>
    <row r="711" customFormat="false" ht="15" hidden="false" customHeight="false" outlineLevel="0" collapsed="false">
      <c r="A711" s="2" t="s">
        <v>2748</v>
      </c>
      <c r="B711" s="2" t="s">
        <v>2749</v>
      </c>
      <c r="C711" s="2" t="s">
        <v>2750</v>
      </c>
      <c r="D711" s="2" t="s">
        <v>45</v>
      </c>
      <c r="E711" s="3" t="n">
        <v>27</v>
      </c>
      <c r="F711" s="2" t="s">
        <v>434</v>
      </c>
      <c r="G711" s="2" t="s">
        <v>76</v>
      </c>
      <c r="H711" s="2" t="s">
        <v>48</v>
      </c>
      <c r="I711" s="4" t="n">
        <v>31000</v>
      </c>
      <c r="J711" s="2" t="s">
        <v>78</v>
      </c>
      <c r="K711" s="3" t="n">
        <v>1</v>
      </c>
      <c r="L711" s="2" t="s">
        <v>556</v>
      </c>
      <c r="M711" s="2" t="s">
        <v>147</v>
      </c>
      <c r="N711" s="2" t="s">
        <v>52</v>
      </c>
      <c r="O711" s="3" t="n">
        <v>0</v>
      </c>
      <c r="P711" s="2" t="s">
        <v>209</v>
      </c>
      <c r="Q711" s="2" t="s">
        <v>210</v>
      </c>
      <c r="R711" s="2" t="s">
        <v>211</v>
      </c>
      <c r="S711" s="2" t="s">
        <v>147</v>
      </c>
      <c r="T711" s="2" t="s">
        <v>2751</v>
      </c>
      <c r="U711" s="2" t="s">
        <v>85</v>
      </c>
      <c r="V711" s="4" t="n">
        <v>302000</v>
      </c>
      <c r="W711" s="5" t="n">
        <v>8.08</v>
      </c>
      <c r="X711" s="3" t="n">
        <v>24</v>
      </c>
      <c r="Y711" s="6" t="n">
        <v>46203</v>
      </c>
      <c r="Z711" s="6"/>
      <c r="AA711" s="6"/>
      <c r="AB711" s="4" t="n">
        <f aca="false">ROUND(PMT(W711/1200,X711,-V711),2)</f>
        <v>13669.66</v>
      </c>
      <c r="AC711" s="4" t="n">
        <v>0</v>
      </c>
      <c r="AD711" s="3" t="n">
        <v>1</v>
      </c>
      <c r="AE711" s="4" t="n">
        <v>108000</v>
      </c>
      <c r="AF711" s="4" t="n">
        <v>62900</v>
      </c>
      <c r="AG711" s="3" t="n">
        <v>32</v>
      </c>
      <c r="AH711" s="4" t="n">
        <v>23700</v>
      </c>
      <c r="AI711" s="3" t="n">
        <v>772</v>
      </c>
      <c r="AJ711" s="7" t="n">
        <f aca="false">ROUND(AB711/I711,4)</f>
        <v>0.441</v>
      </c>
      <c r="AK711" s="2" t="str">
        <f aca="false">IF(AND(AI711&gt;=750,AJ711&lt;=0.35),"Low",IF(AND(AI711&gt;=600,AJ711&lt;=0.5),"Medium","High"))</f>
        <v>Medium</v>
      </c>
      <c r="AL711" s="3" t="n">
        <v>0</v>
      </c>
      <c r="AM711" s="2" t="s">
        <v>58</v>
      </c>
      <c r="AN711" s="2"/>
      <c r="AO711" s="2" t="s">
        <v>134</v>
      </c>
      <c r="AP711" s="7" t="n">
        <v>0.177</v>
      </c>
    </row>
    <row r="712" customFormat="false" ht="15" hidden="false" customHeight="false" outlineLevel="0" collapsed="false">
      <c r="A712" s="2" t="s">
        <v>2752</v>
      </c>
      <c r="B712" s="2" t="s">
        <v>2753</v>
      </c>
      <c r="C712" s="2" t="s">
        <v>2546</v>
      </c>
      <c r="D712" s="2" t="s">
        <v>109</v>
      </c>
      <c r="E712" s="3" t="n">
        <v>37</v>
      </c>
      <c r="F712" s="2" t="s">
        <v>434</v>
      </c>
      <c r="G712" s="2"/>
      <c r="H712" s="2" t="s">
        <v>48</v>
      </c>
      <c r="I712" s="4" t="n">
        <v>115500</v>
      </c>
      <c r="J712" s="2" t="s">
        <v>49</v>
      </c>
      <c r="K712" s="3" t="n">
        <v>15</v>
      </c>
      <c r="L712" s="2" t="s">
        <v>91</v>
      </c>
      <c r="M712" s="2" t="s">
        <v>92</v>
      </c>
      <c r="N712" s="2" t="s">
        <v>140</v>
      </c>
      <c r="O712" s="3" t="n">
        <v>1</v>
      </c>
      <c r="P712" s="2" t="s">
        <v>229</v>
      </c>
      <c r="Q712" s="2" t="s">
        <v>230</v>
      </c>
      <c r="R712" s="2" t="s">
        <v>231</v>
      </c>
      <c r="S712" s="2" t="s">
        <v>92</v>
      </c>
      <c r="T712" s="2" t="s">
        <v>2754</v>
      </c>
      <c r="U712" s="2" t="s">
        <v>180</v>
      </c>
      <c r="V712" s="4" t="n">
        <v>570000</v>
      </c>
      <c r="W712" s="5" t="n">
        <v>10.89</v>
      </c>
      <c r="X712" s="3" t="n">
        <v>24</v>
      </c>
      <c r="Y712" s="6" t="n">
        <v>46190</v>
      </c>
      <c r="Z712" s="6"/>
      <c r="AA712" s="6"/>
      <c r="AB712" s="4" t="n">
        <f aca="false">ROUND(PMT(W712/1200,X712,-V712),2)</f>
        <v>26537.37</v>
      </c>
      <c r="AC712" s="4" t="n">
        <v>738000</v>
      </c>
      <c r="AD712" s="3" t="n">
        <v>0</v>
      </c>
      <c r="AE712" s="4" t="n">
        <v>255200</v>
      </c>
      <c r="AF712" s="4" t="n">
        <v>108800</v>
      </c>
      <c r="AG712" s="3" t="n">
        <v>15</v>
      </c>
      <c r="AH712" s="4" t="n">
        <v>45900</v>
      </c>
      <c r="AI712" s="3" t="n">
        <v>645</v>
      </c>
      <c r="AJ712" s="7" t="n">
        <f aca="false">ROUND(AB712/I712,4)</f>
        <v>0.2298</v>
      </c>
      <c r="AK712" s="2" t="str">
        <f aca="false">IF(AND(AI712&gt;=750,AJ712&lt;=0.35),"Low",IF(AND(AI712&gt;=600,AJ712&lt;=0.5),"Medium","High"))</f>
        <v>Medium</v>
      </c>
      <c r="AL712" s="3" t="n">
        <v>2</v>
      </c>
      <c r="AM712" s="2" t="s">
        <v>233</v>
      </c>
      <c r="AN712" s="2"/>
      <c r="AO712" s="2" t="s">
        <v>134</v>
      </c>
      <c r="AP712" s="7" t="n">
        <v>0.368</v>
      </c>
    </row>
    <row r="713" customFormat="false" ht="15" hidden="false" customHeight="false" outlineLevel="0" collapsed="false">
      <c r="A713" s="2" t="s">
        <v>2755</v>
      </c>
      <c r="B713" s="2" t="s">
        <v>2756</v>
      </c>
      <c r="C713" s="2" t="s">
        <v>981</v>
      </c>
      <c r="D713" s="2" t="s">
        <v>45</v>
      </c>
      <c r="E713" s="3" t="n">
        <v>32</v>
      </c>
      <c r="F713" s="2" t="s">
        <v>64</v>
      </c>
      <c r="G713" s="2" t="s">
        <v>207</v>
      </c>
      <c r="H713" s="2" t="s">
        <v>48</v>
      </c>
      <c r="I713" s="4" t="n">
        <v>43000</v>
      </c>
      <c r="J713" s="2" t="s">
        <v>49</v>
      </c>
      <c r="K713" s="3" t="n">
        <v>10</v>
      </c>
      <c r="L713" s="2" t="s">
        <v>220</v>
      </c>
      <c r="M713" s="2" t="s">
        <v>51</v>
      </c>
      <c r="N713" s="2" t="s">
        <v>81</v>
      </c>
      <c r="O713" s="3" t="n">
        <v>3</v>
      </c>
      <c r="P713" s="2" t="s">
        <v>131</v>
      </c>
      <c r="Q713" s="2" t="s">
        <v>132</v>
      </c>
      <c r="R713" s="2" t="s">
        <v>51</v>
      </c>
      <c r="S713" s="2" t="s">
        <v>51</v>
      </c>
      <c r="T713" s="2" t="s">
        <v>2757</v>
      </c>
      <c r="U713" s="2" t="s">
        <v>97</v>
      </c>
      <c r="V713" s="4" t="n">
        <v>519000</v>
      </c>
      <c r="W713" s="5" t="n">
        <v>15.16</v>
      </c>
      <c r="X713" s="3" t="n">
        <v>60</v>
      </c>
      <c r="Y713" s="6" t="n">
        <v>46194</v>
      </c>
      <c r="Z713" s="6" t="n">
        <v>46200</v>
      </c>
      <c r="AA713" s="6" t="n">
        <v>46205</v>
      </c>
      <c r="AB713" s="4" t="n">
        <f aca="false">ROUND(PMT(W713/1200,X713,-V713),2)</f>
        <v>12390.61</v>
      </c>
      <c r="AC713" s="4" t="n">
        <v>0</v>
      </c>
      <c r="AD713" s="3" t="n">
        <v>0</v>
      </c>
      <c r="AE713" s="4" t="n">
        <v>132500</v>
      </c>
      <c r="AF713" s="4" t="n">
        <v>21700</v>
      </c>
      <c r="AG713" s="3" t="n">
        <v>45</v>
      </c>
      <c r="AH713" s="4" t="n">
        <v>30500</v>
      </c>
      <c r="AI713" s="3" t="n">
        <v>487</v>
      </c>
      <c r="AJ713" s="7" t="n">
        <f aca="false">ROUND(AB713/I713,4)</f>
        <v>0.2882</v>
      </c>
      <c r="AK713" s="2" t="str">
        <f aca="false">IF(AND(AI713&gt;=750,AJ713&lt;=0.35),"Low",IF(AND(AI713&gt;=600,AJ713&lt;=0.5),"Medium","High"))</f>
        <v>High</v>
      </c>
      <c r="AL713" s="3" t="n">
        <v>3</v>
      </c>
      <c r="AM713" s="2" t="s">
        <v>58</v>
      </c>
      <c r="AN713" s="2" t="s">
        <v>119</v>
      </c>
      <c r="AO713" s="2" t="s">
        <v>60</v>
      </c>
      <c r="AP713" s="7" t="n">
        <v>0.456</v>
      </c>
    </row>
    <row r="714" customFormat="false" ht="15" hidden="false" customHeight="false" outlineLevel="0" collapsed="false">
      <c r="A714" s="2" t="s">
        <v>2758</v>
      </c>
      <c r="B714" s="2" t="s">
        <v>2411</v>
      </c>
      <c r="C714" s="2" t="s">
        <v>2759</v>
      </c>
      <c r="D714" s="2" t="s">
        <v>45</v>
      </c>
      <c r="E714" s="3" t="n">
        <v>29</v>
      </c>
      <c r="F714" s="2" t="s">
        <v>175</v>
      </c>
      <c r="G714" s="2" t="s">
        <v>246</v>
      </c>
      <c r="H714" s="2" t="s">
        <v>123</v>
      </c>
      <c r="I714" s="4" t="n">
        <v>13500</v>
      </c>
      <c r="J714" s="2" t="s">
        <v>145</v>
      </c>
      <c r="K714" s="3" t="n">
        <v>10</v>
      </c>
      <c r="L714" s="2" t="s">
        <v>1378</v>
      </c>
      <c r="M714" s="2" t="s">
        <v>139</v>
      </c>
      <c r="N714" s="2" t="s">
        <v>140</v>
      </c>
      <c r="O714" s="3" t="n">
        <v>0</v>
      </c>
      <c r="P714" s="2" t="s">
        <v>197</v>
      </c>
      <c r="Q714" s="2" t="s">
        <v>198</v>
      </c>
      <c r="R714" s="2" t="s">
        <v>139</v>
      </c>
      <c r="S714" s="2" t="s">
        <v>139</v>
      </c>
      <c r="T714" s="2" t="s">
        <v>2760</v>
      </c>
      <c r="U714" s="2" t="s">
        <v>85</v>
      </c>
      <c r="V714" s="4" t="n">
        <v>162000</v>
      </c>
      <c r="W714" s="5" t="n">
        <v>8</v>
      </c>
      <c r="X714" s="3" t="n">
        <v>24</v>
      </c>
      <c r="Y714" s="6" t="n">
        <v>46186</v>
      </c>
      <c r="Z714" s="6" t="n">
        <v>46187</v>
      </c>
      <c r="AA714" s="6" t="n">
        <v>46190</v>
      </c>
      <c r="AB714" s="4" t="n">
        <f aca="false">ROUND(PMT(W714/1200,X714,-V714),2)</f>
        <v>7326.82</v>
      </c>
      <c r="AC714" s="4" t="n">
        <v>0</v>
      </c>
      <c r="AD714" s="3" t="n">
        <v>0</v>
      </c>
      <c r="AE714" s="4" t="n">
        <v>10200</v>
      </c>
      <c r="AF714" s="4" t="n">
        <v>5500</v>
      </c>
      <c r="AG714" s="3" t="n">
        <v>22</v>
      </c>
      <c r="AH714" s="4" t="n">
        <v>9700</v>
      </c>
      <c r="AI714" s="3" t="n">
        <v>667</v>
      </c>
      <c r="AJ714" s="7" t="n">
        <f aca="false">ROUND(AB714/I714,4)</f>
        <v>0.5427</v>
      </c>
      <c r="AK714" s="2" t="str">
        <f aca="false">IF(AND(AI714&gt;=750,AJ714&lt;=0.35),"Low",IF(AND(AI714&gt;=600,AJ714&lt;=0.5),"Medium","High"))</f>
        <v>High</v>
      </c>
      <c r="AL714" s="3" t="n">
        <v>1</v>
      </c>
      <c r="AM714" s="2" t="s">
        <v>58</v>
      </c>
      <c r="AN714" s="2" t="s">
        <v>59</v>
      </c>
      <c r="AO714" s="2" t="s">
        <v>60</v>
      </c>
      <c r="AP714" s="7" t="n">
        <v>0.295</v>
      </c>
    </row>
    <row r="715" customFormat="false" ht="15" hidden="false" customHeight="false" outlineLevel="0" collapsed="false">
      <c r="A715" s="2" t="s">
        <v>2761</v>
      </c>
      <c r="B715" s="2" t="s">
        <v>2018</v>
      </c>
      <c r="C715" s="2" t="s">
        <v>2615</v>
      </c>
      <c r="D715" s="2" t="s">
        <v>45</v>
      </c>
      <c r="E715" s="3" t="n">
        <v>21</v>
      </c>
      <c r="F715" s="2" t="s">
        <v>175</v>
      </c>
      <c r="G715" s="2" t="s">
        <v>207</v>
      </c>
      <c r="H715" s="2" t="s">
        <v>101</v>
      </c>
      <c r="I715" s="4" t="n">
        <v>44000</v>
      </c>
      <c r="J715" s="2" t="s">
        <v>49</v>
      </c>
      <c r="K715" s="3" t="n">
        <v>0</v>
      </c>
      <c r="L715" s="2" t="s">
        <v>463</v>
      </c>
      <c r="M715" s="2" t="s">
        <v>51</v>
      </c>
      <c r="N715" s="2" t="s">
        <v>140</v>
      </c>
      <c r="O715" s="3" t="n">
        <v>0</v>
      </c>
      <c r="P715" s="2" t="s">
        <v>53</v>
      </c>
      <c r="Q715" s="2" t="s">
        <v>54</v>
      </c>
      <c r="R715" s="2" t="s">
        <v>55</v>
      </c>
      <c r="S715" s="2" t="s">
        <v>51</v>
      </c>
      <c r="T715" s="2" t="s">
        <v>2762</v>
      </c>
      <c r="U715" s="2" t="s">
        <v>192</v>
      </c>
      <c r="V715" s="4" t="n">
        <v>826000</v>
      </c>
      <c r="W715" s="5" t="n">
        <v>12.25</v>
      </c>
      <c r="X715" s="3" t="n">
        <v>66</v>
      </c>
      <c r="Y715" s="6" t="n">
        <v>46182</v>
      </c>
      <c r="Z715" s="6" t="n">
        <v>46186</v>
      </c>
      <c r="AA715" s="6" t="n">
        <v>46192</v>
      </c>
      <c r="AB715" s="4" t="n">
        <f aca="false">ROUND(PMT(W715/1200,X715,-V715),2)</f>
        <v>17262.5</v>
      </c>
      <c r="AC715" s="4" t="n">
        <v>954000</v>
      </c>
      <c r="AD715" s="3" t="n">
        <v>0</v>
      </c>
      <c r="AE715" s="4" t="n">
        <v>83900</v>
      </c>
      <c r="AF715" s="4" t="n">
        <v>11200</v>
      </c>
      <c r="AG715" s="3" t="n">
        <v>32</v>
      </c>
      <c r="AH715" s="4" t="n">
        <v>31400</v>
      </c>
      <c r="AI715" s="3" t="n">
        <v>735</v>
      </c>
      <c r="AJ715" s="7" t="n">
        <f aca="false">ROUND(AB715/I715,4)</f>
        <v>0.3923</v>
      </c>
      <c r="AK715" s="2" t="str">
        <f aca="false">IF(AND(AI715&gt;=750,AJ715&lt;=0.35),"Low",IF(AND(AI715&gt;=600,AJ715&lt;=0.5),"Medium","High"))</f>
        <v>Medium</v>
      </c>
      <c r="AL715" s="3" t="n">
        <v>3</v>
      </c>
      <c r="AM715" s="2" t="s">
        <v>233</v>
      </c>
      <c r="AN715" s="2" t="s">
        <v>59</v>
      </c>
      <c r="AO715" s="2" t="s">
        <v>60</v>
      </c>
      <c r="AP715" s="7" t="n">
        <v>0.368</v>
      </c>
    </row>
    <row r="716" customFormat="false" ht="15" hidden="false" customHeight="false" outlineLevel="0" collapsed="false">
      <c r="A716" s="2" t="s">
        <v>2763</v>
      </c>
      <c r="B716" s="2" t="s">
        <v>2764</v>
      </c>
      <c r="C716" s="2" t="s">
        <v>2765</v>
      </c>
      <c r="D716" s="2" t="s">
        <v>109</v>
      </c>
      <c r="E716" s="3" t="n">
        <v>52</v>
      </c>
      <c r="F716" s="2" t="s">
        <v>64</v>
      </c>
      <c r="G716" s="2" t="s">
        <v>176</v>
      </c>
      <c r="H716" s="2" t="s">
        <v>48</v>
      </c>
      <c r="I716" s="4" t="n">
        <v>69000</v>
      </c>
      <c r="J716" s="2" t="s">
        <v>177</v>
      </c>
      <c r="K716" s="3" t="n">
        <v>28</v>
      </c>
      <c r="L716" s="2" t="s">
        <v>51</v>
      </c>
      <c r="M716" s="2" t="s">
        <v>51</v>
      </c>
      <c r="N716" s="2" t="s">
        <v>140</v>
      </c>
      <c r="O716" s="3" t="n">
        <v>3</v>
      </c>
      <c r="P716" s="2" t="s">
        <v>197</v>
      </c>
      <c r="Q716" s="2" t="s">
        <v>198</v>
      </c>
      <c r="R716" s="2" t="s">
        <v>139</v>
      </c>
      <c r="S716" s="2" t="s">
        <v>139</v>
      </c>
      <c r="T716" s="2" t="s">
        <v>2766</v>
      </c>
      <c r="U716" s="2" t="s">
        <v>72</v>
      </c>
      <c r="V716" s="4" t="n">
        <v>939000</v>
      </c>
      <c r="W716" s="5" t="n">
        <v>12.39</v>
      </c>
      <c r="X716" s="3" t="n">
        <v>60</v>
      </c>
      <c r="Y716" s="6" t="n">
        <v>46184</v>
      </c>
      <c r="Z716" s="6" t="n">
        <v>46185</v>
      </c>
      <c r="AA716" s="6" t="n">
        <v>46191</v>
      </c>
      <c r="AB716" s="4" t="n">
        <f aca="false">ROUND(PMT(W716/1200,X716,-V716),2)</f>
        <v>21073.07</v>
      </c>
      <c r="AC716" s="4" t="n">
        <v>1298000</v>
      </c>
      <c r="AD716" s="3" t="n">
        <v>0</v>
      </c>
      <c r="AE716" s="4" t="n">
        <v>259300</v>
      </c>
      <c r="AF716" s="4"/>
      <c r="AG716" s="3" t="n">
        <v>39</v>
      </c>
      <c r="AH716" s="4" t="n">
        <v>59100</v>
      </c>
      <c r="AI716" s="3" t="n">
        <v>755</v>
      </c>
      <c r="AJ716" s="7" t="n">
        <f aca="false">ROUND(AB716/I716,4)</f>
        <v>0.3054</v>
      </c>
      <c r="AK716" s="2" t="str">
        <f aca="false">IF(AND(AI716&gt;=750,AJ716&lt;=0.35),"Low",IF(AND(AI716&gt;=600,AJ716&lt;=0.5),"Medium","High"))</f>
        <v>Low</v>
      </c>
      <c r="AL716" s="3" t="n">
        <v>1</v>
      </c>
      <c r="AM716" s="2" t="s">
        <v>58</v>
      </c>
      <c r="AN716" s="2" t="s">
        <v>59</v>
      </c>
      <c r="AO716" s="2" t="s">
        <v>60</v>
      </c>
      <c r="AP716" s="7" t="n">
        <v>0.167</v>
      </c>
    </row>
    <row r="717" customFormat="false" ht="15" hidden="false" customHeight="false" outlineLevel="0" collapsed="false">
      <c r="A717" s="2" t="s">
        <v>2767</v>
      </c>
      <c r="B717" s="2" t="s">
        <v>2768</v>
      </c>
      <c r="C717" s="2" t="s">
        <v>2063</v>
      </c>
      <c r="D717" s="2" t="s">
        <v>45</v>
      </c>
      <c r="E717" s="3" t="n">
        <v>27</v>
      </c>
      <c r="F717" s="2" t="s">
        <v>64</v>
      </c>
      <c r="G717" s="2" t="s">
        <v>207</v>
      </c>
      <c r="H717" s="2" t="s">
        <v>101</v>
      </c>
      <c r="I717" s="4" t="n">
        <v>66000</v>
      </c>
      <c r="J717" s="2" t="s">
        <v>49</v>
      </c>
      <c r="K717" s="3" t="n">
        <v>6</v>
      </c>
      <c r="L717" s="2" t="s">
        <v>241</v>
      </c>
      <c r="M717" s="2" t="s">
        <v>92</v>
      </c>
      <c r="N717" s="2" t="s">
        <v>52</v>
      </c>
      <c r="O717" s="3" t="n">
        <v>1</v>
      </c>
      <c r="P717" s="2" t="s">
        <v>169</v>
      </c>
      <c r="Q717" s="2" t="s">
        <v>170</v>
      </c>
      <c r="R717" s="2" t="s">
        <v>92</v>
      </c>
      <c r="S717" s="2" t="s">
        <v>92</v>
      </c>
      <c r="T717" s="2" t="s">
        <v>2769</v>
      </c>
      <c r="U717" s="2" t="s">
        <v>180</v>
      </c>
      <c r="V717" s="4" t="n">
        <v>334000</v>
      </c>
      <c r="W717" s="5" t="n">
        <v>13.02</v>
      </c>
      <c r="X717" s="3" t="n">
        <v>12</v>
      </c>
      <c r="Y717" s="6" t="n">
        <v>46176</v>
      </c>
      <c r="Z717" s="6" t="n">
        <v>46178</v>
      </c>
      <c r="AA717" s="6" t="n">
        <v>46182</v>
      </c>
      <c r="AB717" s="4" t="n">
        <f aca="false">ROUND(PMT(W717/1200,X717,-V717),2)</f>
        <v>29835.1</v>
      </c>
      <c r="AC717" s="4" t="n">
        <v>477000</v>
      </c>
      <c r="AD717" s="3" t="n">
        <v>0</v>
      </c>
      <c r="AE717" s="4" t="n">
        <v>65200</v>
      </c>
      <c r="AF717" s="4"/>
      <c r="AG717" s="3" t="n">
        <v>21</v>
      </c>
      <c r="AH717" s="4" t="n">
        <v>66700</v>
      </c>
      <c r="AI717" s="3" t="n">
        <v>765</v>
      </c>
      <c r="AJ717" s="7" t="n">
        <f aca="false">ROUND(AB717/I717,4)</f>
        <v>0.452</v>
      </c>
      <c r="AK717" s="2" t="str">
        <f aca="false">IF(AND(AI717&gt;=750,AJ717&lt;=0.35),"Low",IF(AND(AI717&gt;=600,AJ717&lt;=0.5),"Medium","High"))</f>
        <v>Medium</v>
      </c>
      <c r="AL717" s="3" t="n">
        <v>2</v>
      </c>
      <c r="AM717" s="2" t="s">
        <v>58</v>
      </c>
      <c r="AN717" s="2" t="s">
        <v>59</v>
      </c>
      <c r="AO717" s="2" t="s">
        <v>60</v>
      </c>
      <c r="AP717" s="7" t="n">
        <v>0.215</v>
      </c>
    </row>
    <row r="718" customFormat="false" ht="15" hidden="false" customHeight="false" outlineLevel="0" collapsed="false">
      <c r="A718" s="2" t="s">
        <v>2770</v>
      </c>
      <c r="B718" s="2" t="s">
        <v>1408</v>
      </c>
      <c r="C718" s="2" t="s">
        <v>2771</v>
      </c>
      <c r="D718" s="2" t="s">
        <v>45</v>
      </c>
      <c r="E718" s="3" t="n">
        <v>56</v>
      </c>
      <c r="F718" s="2" t="s">
        <v>64</v>
      </c>
      <c r="G718" s="2" t="s">
        <v>154</v>
      </c>
      <c r="H718" s="2" t="s">
        <v>48</v>
      </c>
      <c r="I718" s="4" t="n">
        <v>47500</v>
      </c>
      <c r="J718" s="2" t="s">
        <v>145</v>
      </c>
      <c r="K718" s="3" t="n">
        <v>34</v>
      </c>
      <c r="L718" s="2" t="s">
        <v>753</v>
      </c>
      <c r="M718" s="2" t="s">
        <v>147</v>
      </c>
      <c r="N718" s="2" t="s">
        <v>52</v>
      </c>
      <c r="O718" s="3" t="n">
        <v>4</v>
      </c>
      <c r="P718" s="2" t="s">
        <v>209</v>
      </c>
      <c r="Q718" s="2" t="s">
        <v>210</v>
      </c>
      <c r="R718" s="2" t="s">
        <v>211</v>
      </c>
      <c r="S718" s="2" t="s">
        <v>147</v>
      </c>
      <c r="T718" s="2" t="s">
        <v>2772</v>
      </c>
      <c r="U718" s="2" t="s">
        <v>85</v>
      </c>
      <c r="V718" s="4" t="n">
        <v>375000</v>
      </c>
      <c r="W718" s="5" t="n">
        <v>7.65</v>
      </c>
      <c r="X718" s="3" t="n">
        <v>30</v>
      </c>
      <c r="Y718" s="6" t="n">
        <v>46194</v>
      </c>
      <c r="Z718" s="6"/>
      <c r="AA718" s="6"/>
      <c r="AB718" s="4" t="n">
        <f aca="false">ROUND(PMT(W718/1200,X718,-V718),2)</f>
        <v>13773.07</v>
      </c>
      <c r="AC718" s="4" t="n">
        <v>0</v>
      </c>
      <c r="AD718" s="3" t="n">
        <v>0</v>
      </c>
      <c r="AE718" s="4" t="n">
        <v>172400</v>
      </c>
      <c r="AF718" s="4" t="n">
        <v>23300</v>
      </c>
      <c r="AG718" s="3" t="n">
        <v>43</v>
      </c>
      <c r="AH718" s="4" t="n">
        <v>51500</v>
      </c>
      <c r="AI718" s="3" t="n">
        <v>682</v>
      </c>
      <c r="AJ718" s="7" t="n">
        <f aca="false">ROUND(AB718/I718,4)</f>
        <v>0.29</v>
      </c>
      <c r="AK718" s="2" t="str">
        <f aca="false">IF(AND(AI718&gt;=750,AJ718&lt;=0.35),"Low",IF(AND(AI718&gt;=600,AJ718&lt;=0.5),"Medium","High"))</f>
        <v>Medium</v>
      </c>
      <c r="AL718" s="3" t="n">
        <v>2</v>
      </c>
      <c r="AM718" s="2" t="s">
        <v>233</v>
      </c>
      <c r="AN718" s="2"/>
      <c r="AO718" s="2" t="s">
        <v>127</v>
      </c>
      <c r="AP718" s="7" t="n">
        <v>0.298</v>
      </c>
    </row>
    <row r="719" customFormat="false" ht="15" hidden="false" customHeight="false" outlineLevel="0" collapsed="false">
      <c r="A719" s="2" t="s">
        <v>2773</v>
      </c>
      <c r="B719" s="2" t="s">
        <v>2774</v>
      </c>
      <c r="C719" s="2" t="s">
        <v>2014</v>
      </c>
      <c r="D719" s="2" t="s">
        <v>45</v>
      </c>
      <c r="E719" s="3" t="n">
        <v>25</v>
      </c>
      <c r="F719" s="2" t="s">
        <v>64</v>
      </c>
      <c r="G719" s="2" t="s">
        <v>47</v>
      </c>
      <c r="H719" s="2" t="s">
        <v>101</v>
      </c>
      <c r="I719" s="4" t="n">
        <v>120000</v>
      </c>
      <c r="J719" s="2" t="s">
        <v>49</v>
      </c>
      <c r="K719" s="3" t="n">
        <v>5</v>
      </c>
      <c r="L719" s="2" t="s">
        <v>556</v>
      </c>
      <c r="M719" s="2" t="s">
        <v>147</v>
      </c>
      <c r="N719" s="2" t="s">
        <v>140</v>
      </c>
      <c r="O719" s="3" t="n">
        <v>3</v>
      </c>
      <c r="P719" s="2" t="s">
        <v>148</v>
      </c>
      <c r="Q719" s="2" t="s">
        <v>149</v>
      </c>
      <c r="R719" s="2" t="s">
        <v>147</v>
      </c>
      <c r="S719" s="2" t="s">
        <v>147</v>
      </c>
      <c r="T719" s="2" t="s">
        <v>2775</v>
      </c>
      <c r="U719" s="2" t="s">
        <v>192</v>
      </c>
      <c r="V719" s="4" t="n">
        <v>2023000</v>
      </c>
      <c r="W719" s="5" t="n">
        <v>11.51</v>
      </c>
      <c r="X719" s="3" t="n">
        <v>78</v>
      </c>
      <c r="Y719" s="6" t="n">
        <v>46191</v>
      </c>
      <c r="Z719" s="6" t="n">
        <v>46195</v>
      </c>
      <c r="AA719" s="6" t="n">
        <v>46200</v>
      </c>
      <c r="AB719" s="4" t="n">
        <f aca="false">ROUND(PMT(W719/1200,X719,-V719),2)</f>
        <v>36955.06</v>
      </c>
      <c r="AC719" s="4" t="n">
        <v>2102000</v>
      </c>
      <c r="AD719" s="3" t="n">
        <v>0</v>
      </c>
      <c r="AE719" s="4" t="n">
        <v>437500</v>
      </c>
      <c r="AF719" s="4" t="n">
        <v>262000</v>
      </c>
      <c r="AG719" s="3" t="n">
        <v>2</v>
      </c>
      <c r="AH719" s="4" t="n">
        <v>108300</v>
      </c>
      <c r="AI719" s="3" t="n">
        <v>677</v>
      </c>
      <c r="AJ719" s="7" t="n">
        <f aca="false">ROUND(AB719/I719,4)</f>
        <v>0.308</v>
      </c>
      <c r="AK719" s="2" t="str">
        <f aca="false">IF(AND(AI719&gt;=750,AJ719&lt;=0.35),"Low",IF(AND(AI719&gt;=600,AJ719&lt;=0.5),"Medium","High"))</f>
        <v>Medium</v>
      </c>
      <c r="AL719" s="3" t="n">
        <v>0</v>
      </c>
      <c r="AM719" s="2" t="s">
        <v>58</v>
      </c>
      <c r="AN719" s="2" t="s">
        <v>59</v>
      </c>
      <c r="AO719" s="2" t="s">
        <v>60</v>
      </c>
      <c r="AP719" s="7" t="n">
        <v>0.289</v>
      </c>
    </row>
    <row r="720" customFormat="false" ht="15" hidden="false" customHeight="false" outlineLevel="0" collapsed="false">
      <c r="A720" s="2" t="s">
        <v>2776</v>
      </c>
      <c r="B720" s="2" t="s">
        <v>2777</v>
      </c>
      <c r="C720" s="2" t="s">
        <v>2778</v>
      </c>
      <c r="D720" s="2" t="s">
        <v>45</v>
      </c>
      <c r="E720" s="3" t="n">
        <v>36</v>
      </c>
      <c r="F720" s="2" t="s">
        <v>64</v>
      </c>
      <c r="G720" s="2" t="s">
        <v>76</v>
      </c>
      <c r="H720" s="2" t="s">
        <v>101</v>
      </c>
      <c r="I720" s="4" t="n">
        <v>46000</v>
      </c>
      <c r="J720" s="2" t="s">
        <v>78</v>
      </c>
      <c r="K720" s="3" t="n">
        <v>12</v>
      </c>
      <c r="L720" s="2" t="s">
        <v>556</v>
      </c>
      <c r="M720" s="2" t="s">
        <v>147</v>
      </c>
      <c r="N720" s="2" t="s">
        <v>140</v>
      </c>
      <c r="O720" s="3" t="n">
        <v>2</v>
      </c>
      <c r="P720" s="2" t="s">
        <v>209</v>
      </c>
      <c r="Q720" s="2" t="s">
        <v>210</v>
      </c>
      <c r="R720" s="2" t="s">
        <v>211</v>
      </c>
      <c r="S720" s="2" t="s">
        <v>147</v>
      </c>
      <c r="T720" s="2" t="s">
        <v>2779</v>
      </c>
      <c r="U720" s="2" t="s">
        <v>118</v>
      </c>
      <c r="V720" s="4" t="n">
        <v>796000</v>
      </c>
      <c r="W720" s="5" t="n">
        <v>7.92</v>
      </c>
      <c r="X720" s="3" t="n">
        <v>48</v>
      </c>
      <c r="Y720" s="6" t="n">
        <v>46180</v>
      </c>
      <c r="Z720" s="6"/>
      <c r="AA720" s="6"/>
      <c r="AB720" s="4" t="n">
        <f aca="false">ROUND(PMT(W720/1200,X720,-V720),2)</f>
        <v>19402.81</v>
      </c>
      <c r="AC720" s="4" t="n">
        <v>0</v>
      </c>
      <c r="AD720" s="3" t="n">
        <v>2</v>
      </c>
      <c r="AE720" s="4" t="n">
        <v>150100</v>
      </c>
      <c r="AF720" s="4" t="n">
        <v>29700</v>
      </c>
      <c r="AG720" s="3" t="n">
        <v>31</v>
      </c>
      <c r="AH720" s="4" t="n">
        <v>35900</v>
      </c>
      <c r="AI720" s="3" t="n">
        <v>778</v>
      </c>
      <c r="AJ720" s="7" t="n">
        <f aca="false">ROUND(AB720/I720,4)</f>
        <v>0.4218</v>
      </c>
      <c r="AK720" s="2" t="str">
        <f aca="false">IF(AND(AI720&gt;=750,AJ720&lt;=0.35),"Low",IF(AND(AI720&gt;=600,AJ720&lt;=0.5),"Medium","High"))</f>
        <v>Medium</v>
      </c>
      <c r="AL720" s="3" t="n">
        <v>3</v>
      </c>
      <c r="AM720" s="2" t="s">
        <v>58</v>
      </c>
      <c r="AN720" s="2"/>
      <c r="AO720" s="2" t="s">
        <v>127</v>
      </c>
      <c r="AP720" s="7" t="n">
        <v>0.209</v>
      </c>
    </row>
    <row r="721" customFormat="false" ht="15" hidden="false" customHeight="false" outlineLevel="0" collapsed="false">
      <c r="A721" s="2" t="s">
        <v>2780</v>
      </c>
      <c r="B721" s="2" t="s">
        <v>1125</v>
      </c>
      <c r="C721" s="2" t="s">
        <v>2781</v>
      </c>
      <c r="D721" s="2" t="s">
        <v>45</v>
      </c>
      <c r="E721" s="3" t="n">
        <v>35</v>
      </c>
      <c r="F721" s="2" t="s">
        <v>64</v>
      </c>
      <c r="G721" s="2" t="s">
        <v>47</v>
      </c>
      <c r="H721" s="2" t="s">
        <v>101</v>
      </c>
      <c r="I721" s="4" t="n">
        <v>111000</v>
      </c>
      <c r="J721" s="2" t="s">
        <v>49</v>
      </c>
      <c r="K721" s="3" t="n">
        <v>13</v>
      </c>
      <c r="L721" s="2" t="s">
        <v>188</v>
      </c>
      <c r="M721" s="2" t="s">
        <v>51</v>
      </c>
      <c r="N721" s="2" t="s">
        <v>52</v>
      </c>
      <c r="O721" s="3" t="n">
        <v>2</v>
      </c>
      <c r="P721" s="2" t="s">
        <v>189</v>
      </c>
      <c r="Q721" s="2" t="s">
        <v>190</v>
      </c>
      <c r="R721" s="2" t="s">
        <v>188</v>
      </c>
      <c r="S721" s="2" t="s">
        <v>51</v>
      </c>
      <c r="T721" s="2" t="s">
        <v>2782</v>
      </c>
      <c r="U721" s="2" t="s">
        <v>180</v>
      </c>
      <c r="V721" s="4" t="n">
        <v>810000</v>
      </c>
      <c r="W721" s="5" t="n">
        <v>12.86</v>
      </c>
      <c r="X721" s="3" t="n">
        <v>36</v>
      </c>
      <c r="Y721" s="6" t="n">
        <v>46203</v>
      </c>
      <c r="Z721" s="6"/>
      <c r="AA721" s="6"/>
      <c r="AB721" s="4" t="n">
        <f aca="false">ROUND(PMT(W721/1200,X721,-V721),2)</f>
        <v>27237.51</v>
      </c>
      <c r="AC721" s="4" t="n">
        <v>1181000</v>
      </c>
      <c r="AD721" s="3" t="n">
        <v>1</v>
      </c>
      <c r="AE721" s="4" t="n">
        <v>347000</v>
      </c>
      <c r="AF721" s="4"/>
      <c r="AG721" s="3" t="n">
        <v>27</v>
      </c>
      <c r="AH721" s="4" t="n">
        <v>41200</v>
      </c>
      <c r="AI721" s="3" t="n">
        <v>737</v>
      </c>
      <c r="AJ721" s="7" t="n">
        <f aca="false">ROUND(AB721/I721,4)</f>
        <v>0.2454</v>
      </c>
      <c r="AK721" s="2" t="str">
        <f aca="false">IF(AND(AI721&gt;=750,AJ721&lt;=0.35),"Low",IF(AND(AI721&gt;=600,AJ721&lt;=0.5),"Medium","High"))</f>
        <v>Medium</v>
      </c>
      <c r="AL721" s="3" t="n">
        <v>1</v>
      </c>
      <c r="AM721" s="2" t="s">
        <v>233</v>
      </c>
      <c r="AN721" s="2"/>
      <c r="AO721" s="2" t="s">
        <v>134</v>
      </c>
      <c r="AP721" s="7" t="n">
        <v>0.203</v>
      </c>
    </row>
    <row r="722" customFormat="false" ht="15" hidden="false" customHeight="false" outlineLevel="0" collapsed="false">
      <c r="A722" s="2" t="s">
        <v>2783</v>
      </c>
      <c r="B722" s="2" t="s">
        <v>1855</v>
      </c>
      <c r="C722" s="2" t="s">
        <v>1072</v>
      </c>
      <c r="D722" s="2" t="s">
        <v>45</v>
      </c>
      <c r="E722" s="3" t="n">
        <v>35</v>
      </c>
      <c r="F722" s="2"/>
      <c r="G722" s="2" t="s">
        <v>166</v>
      </c>
      <c r="H722" s="2" t="s">
        <v>167</v>
      </c>
      <c r="I722" s="4" t="n">
        <v>387000</v>
      </c>
      <c r="J722" s="2" t="s">
        <v>145</v>
      </c>
      <c r="K722" s="3" t="n">
        <v>12</v>
      </c>
      <c r="L722" s="2" t="s">
        <v>91</v>
      </c>
      <c r="M722" s="2" t="s">
        <v>92</v>
      </c>
      <c r="N722" s="2" t="s">
        <v>52</v>
      </c>
      <c r="O722" s="3" t="n">
        <v>3</v>
      </c>
      <c r="P722" s="2" t="s">
        <v>124</v>
      </c>
      <c r="Q722" s="2" t="s">
        <v>125</v>
      </c>
      <c r="R722" s="2" t="s">
        <v>91</v>
      </c>
      <c r="S722" s="2" t="s">
        <v>92</v>
      </c>
      <c r="T722" s="2" t="s">
        <v>2784</v>
      </c>
      <c r="U722" s="2" t="s">
        <v>97</v>
      </c>
      <c r="V722" s="4" t="n">
        <v>978000</v>
      </c>
      <c r="W722" s="5" t="n">
        <v>15.89</v>
      </c>
      <c r="X722" s="3" t="n">
        <v>12</v>
      </c>
      <c r="Y722" s="6" t="n">
        <v>46200</v>
      </c>
      <c r="Z722" s="6" t="n">
        <v>46206</v>
      </c>
      <c r="AA722" s="6" t="n">
        <v>46208</v>
      </c>
      <c r="AB722" s="4" t="n">
        <f aca="false">ROUND(PMT(W722/1200,X722,-V722),2)</f>
        <v>88683.88</v>
      </c>
      <c r="AC722" s="4" t="n">
        <v>0</v>
      </c>
      <c r="AD722" s="3" t="n">
        <v>1</v>
      </c>
      <c r="AE722" s="4" t="n">
        <v>668500</v>
      </c>
      <c r="AF722" s="4" t="n">
        <v>139300</v>
      </c>
      <c r="AG722" s="3" t="n">
        <v>39</v>
      </c>
      <c r="AH722" s="4" t="n">
        <v>297400</v>
      </c>
      <c r="AI722" s="3" t="n">
        <v>834</v>
      </c>
      <c r="AJ722" s="7" t="n">
        <f aca="false">ROUND(AB722/I722,4)</f>
        <v>0.2292</v>
      </c>
      <c r="AK722" s="2" t="str">
        <f aca="false">IF(AND(AI722&gt;=750,AJ722&lt;=0.35),"Low",IF(AND(AI722&gt;=600,AJ722&lt;=0.5),"Medium","High"))</f>
        <v>Low</v>
      </c>
      <c r="AL722" s="3" t="n">
        <v>1</v>
      </c>
      <c r="AM722" s="2" t="s">
        <v>233</v>
      </c>
      <c r="AN722" s="2" t="s">
        <v>59</v>
      </c>
      <c r="AO722" s="2" t="s">
        <v>60</v>
      </c>
      <c r="AP722" s="7" t="n">
        <v>0.192</v>
      </c>
    </row>
    <row r="723" customFormat="false" ht="15" hidden="false" customHeight="false" outlineLevel="0" collapsed="false">
      <c r="A723" s="2" t="s">
        <v>2785</v>
      </c>
      <c r="B723" s="2" t="s">
        <v>1047</v>
      </c>
      <c r="C723" s="2" t="s">
        <v>1031</v>
      </c>
      <c r="D723" s="2" t="s">
        <v>45</v>
      </c>
      <c r="E723" s="3" t="n">
        <v>52</v>
      </c>
      <c r="F723" s="2" t="s">
        <v>64</v>
      </c>
      <c r="G723" s="2" t="s">
        <v>65</v>
      </c>
      <c r="H723" s="2" t="s">
        <v>48</v>
      </c>
      <c r="I723" s="4" t="n">
        <v>34000</v>
      </c>
      <c r="J723" s="2" t="s">
        <v>49</v>
      </c>
      <c r="K723" s="3" t="n">
        <v>33</v>
      </c>
      <c r="L723" s="2" t="s">
        <v>302</v>
      </c>
      <c r="M723" s="2" t="s">
        <v>67</v>
      </c>
      <c r="N723" s="2" t="s">
        <v>81</v>
      </c>
      <c r="O723" s="3" t="n">
        <v>0</v>
      </c>
      <c r="P723" s="2" t="s">
        <v>160</v>
      </c>
      <c r="Q723" s="2" t="s">
        <v>161</v>
      </c>
      <c r="R723" s="2" t="s">
        <v>159</v>
      </c>
      <c r="S723" s="2" t="s">
        <v>159</v>
      </c>
      <c r="T723" s="2" t="s">
        <v>2786</v>
      </c>
      <c r="U723" s="2" t="s">
        <v>85</v>
      </c>
      <c r="V723" s="4" t="n">
        <v>213000</v>
      </c>
      <c r="W723" s="5" t="n">
        <v>9.2</v>
      </c>
      <c r="X723" s="3" t="n">
        <v>30</v>
      </c>
      <c r="Y723" s="6" t="n">
        <v>46201</v>
      </c>
      <c r="Z723" s="6" t="n">
        <v>46206</v>
      </c>
      <c r="AA723" s="6" t="n">
        <v>46207</v>
      </c>
      <c r="AB723" s="4" t="n">
        <f aca="false">ROUND(PMT(W723/1200,X723,-V723),2)</f>
        <v>7974.83</v>
      </c>
      <c r="AC723" s="4" t="n">
        <v>0</v>
      </c>
      <c r="AD723" s="3" t="n">
        <v>0</v>
      </c>
      <c r="AE723" s="4" t="n">
        <v>79400</v>
      </c>
      <c r="AF723" s="4" t="n">
        <v>13300</v>
      </c>
      <c r="AG723" s="3" t="n">
        <v>5</v>
      </c>
      <c r="AH723" s="4" t="n">
        <v>10900</v>
      </c>
      <c r="AI723" s="3" t="n">
        <v>710</v>
      </c>
      <c r="AJ723" s="7" t="n">
        <f aca="false">ROUND(AB723/I723,4)</f>
        <v>0.2346</v>
      </c>
      <c r="AK723" s="2" t="str">
        <f aca="false">IF(AND(AI723&gt;=750,AJ723&lt;=0.35),"Low",IF(AND(AI723&gt;=600,AJ723&lt;=0.5),"Medium","High"))</f>
        <v>Medium</v>
      </c>
      <c r="AL723" s="3"/>
      <c r="AM723" s="2" t="s">
        <v>58</v>
      </c>
      <c r="AN723" s="2" t="s">
        <v>59</v>
      </c>
      <c r="AO723" s="2" t="s">
        <v>60</v>
      </c>
      <c r="AP723" s="7" t="n">
        <v>0.215</v>
      </c>
    </row>
    <row r="724" customFormat="false" ht="15" hidden="false" customHeight="false" outlineLevel="0" collapsed="false">
      <c r="A724" s="2" t="s">
        <v>2787</v>
      </c>
      <c r="B724" s="2" t="s">
        <v>2788</v>
      </c>
      <c r="C724" s="2" t="s">
        <v>2789</v>
      </c>
      <c r="D724" s="2" t="s">
        <v>109</v>
      </c>
      <c r="E724" s="3" t="n">
        <v>42</v>
      </c>
      <c r="F724" s="2" t="s">
        <v>64</v>
      </c>
      <c r="G724" s="2" t="s">
        <v>47</v>
      </c>
      <c r="H724" s="2" t="s">
        <v>101</v>
      </c>
      <c r="I724" s="4" t="n">
        <v>98000</v>
      </c>
      <c r="J724" s="2" t="s">
        <v>49</v>
      </c>
      <c r="K724" s="3"/>
      <c r="L724" s="2" t="s">
        <v>327</v>
      </c>
      <c r="M724" s="2" t="s">
        <v>92</v>
      </c>
      <c r="N724" s="2" t="s">
        <v>52</v>
      </c>
      <c r="O724" s="3" t="n">
        <v>0</v>
      </c>
      <c r="P724" s="2" t="s">
        <v>169</v>
      </c>
      <c r="Q724" s="2" t="s">
        <v>170</v>
      </c>
      <c r="R724" s="2" t="s">
        <v>92</v>
      </c>
      <c r="S724" s="2" t="s">
        <v>92</v>
      </c>
      <c r="T724" s="2" t="s">
        <v>2790</v>
      </c>
      <c r="U724" s="2" t="s">
        <v>57</v>
      </c>
      <c r="V724" s="4" t="n">
        <v>1499000</v>
      </c>
      <c r="W724" s="5" t="n">
        <v>11.29</v>
      </c>
      <c r="X724" s="3" t="n">
        <v>66</v>
      </c>
      <c r="Y724" s="6" t="n">
        <v>46202</v>
      </c>
      <c r="Z724" s="6"/>
      <c r="AA724" s="6"/>
      <c r="AB724" s="4" t="n">
        <f aca="false">ROUND(PMT(W724/1200,X724,-V724),2)</f>
        <v>30592.12</v>
      </c>
      <c r="AC724" s="4" t="n">
        <v>1989000</v>
      </c>
      <c r="AD724" s="3" t="n">
        <v>0</v>
      </c>
      <c r="AE724" s="4" t="n">
        <v>250900</v>
      </c>
      <c r="AF724" s="4" t="n">
        <v>53100</v>
      </c>
      <c r="AG724" s="3"/>
      <c r="AH724" s="4" t="n">
        <v>95800</v>
      </c>
      <c r="AI724" s="3" t="n">
        <v>677</v>
      </c>
      <c r="AJ724" s="7" t="n">
        <f aca="false">ROUND(AB724/I724,4)</f>
        <v>0.3122</v>
      </c>
      <c r="AK724" s="2" t="str">
        <f aca="false">IF(AND(AI724&gt;=750,AJ724&lt;=0.35),"Low",IF(AND(AI724&gt;=600,AJ724&lt;=0.5),"Medium","High"))</f>
        <v>Medium</v>
      </c>
      <c r="AL724" s="3" t="n">
        <v>0</v>
      </c>
      <c r="AM724" s="2" t="s">
        <v>58</v>
      </c>
      <c r="AN724" s="2"/>
      <c r="AO724" s="2" t="s">
        <v>134</v>
      </c>
      <c r="AP724" s="7" t="n">
        <v>0.307</v>
      </c>
    </row>
    <row r="725" customFormat="false" ht="15" hidden="false" customHeight="false" outlineLevel="0" collapsed="false">
      <c r="A725" s="2" t="s">
        <v>2791</v>
      </c>
      <c r="B725" s="2" t="s">
        <v>245</v>
      </c>
      <c r="C725" s="2" t="s">
        <v>2792</v>
      </c>
      <c r="D725" s="2" t="s">
        <v>45</v>
      </c>
      <c r="E725" s="3" t="n">
        <v>52</v>
      </c>
      <c r="F725" s="2" t="s">
        <v>64</v>
      </c>
      <c r="G725" s="2" t="s">
        <v>176</v>
      </c>
      <c r="H725" s="2" t="s">
        <v>48</v>
      </c>
      <c r="I725" s="4" t="n">
        <v>93000</v>
      </c>
      <c r="J725" s="2" t="s">
        <v>177</v>
      </c>
      <c r="K725" s="3" t="n">
        <v>24</v>
      </c>
      <c r="L725" s="2" t="s">
        <v>481</v>
      </c>
      <c r="M725" s="2" t="s">
        <v>159</v>
      </c>
      <c r="N725" s="2" t="s">
        <v>52</v>
      </c>
      <c r="O725" s="3" t="n">
        <v>4</v>
      </c>
      <c r="P725" s="2" t="s">
        <v>189</v>
      </c>
      <c r="Q725" s="2" t="s">
        <v>190</v>
      </c>
      <c r="R725" s="2" t="s">
        <v>188</v>
      </c>
      <c r="S725" s="2" t="s">
        <v>51</v>
      </c>
      <c r="T725" s="2" t="s">
        <v>2793</v>
      </c>
      <c r="U725" s="2" t="s">
        <v>72</v>
      </c>
      <c r="V725" s="4" t="n">
        <v>680000</v>
      </c>
      <c r="W725" s="5" t="n">
        <v>15.28</v>
      </c>
      <c r="X725" s="3" t="n">
        <v>24</v>
      </c>
      <c r="Y725" s="6" t="n">
        <v>46197</v>
      </c>
      <c r="Z725" s="6" t="n">
        <v>46201</v>
      </c>
      <c r="AA725" s="6" t="n">
        <v>46202</v>
      </c>
      <c r="AB725" s="4" t="n">
        <f aca="false">ROUND(PMT(W725/1200,X725,-V725),2)</f>
        <v>33061.45</v>
      </c>
      <c r="AC725" s="4" t="n">
        <v>865000</v>
      </c>
      <c r="AD725" s="3" t="n">
        <v>0</v>
      </c>
      <c r="AE725" s="4" t="n">
        <v>349700</v>
      </c>
      <c r="AF725" s="4" t="n">
        <v>60500</v>
      </c>
      <c r="AG725" s="3" t="n">
        <v>13</v>
      </c>
      <c r="AH725" s="4" t="n">
        <v>75000</v>
      </c>
      <c r="AI725" s="3" t="n">
        <v>784</v>
      </c>
      <c r="AJ725" s="7" t="n">
        <f aca="false">ROUND(AB725/I725,4)</f>
        <v>0.3555</v>
      </c>
      <c r="AK725" s="2" t="str">
        <f aca="false">IF(AND(AI725&gt;=750,AJ725&lt;=0.35),"Low",IF(AND(AI725&gt;=600,AJ725&lt;=0.5),"Medium","High"))</f>
        <v>Medium</v>
      </c>
      <c r="AL725" s="3" t="n">
        <v>1</v>
      </c>
      <c r="AM725" s="2" t="s">
        <v>58</v>
      </c>
      <c r="AN725" s="2" t="s">
        <v>59</v>
      </c>
      <c r="AO725" s="2" t="s">
        <v>86</v>
      </c>
      <c r="AP725" s="7" t="n">
        <v>0.14</v>
      </c>
    </row>
    <row r="726" customFormat="false" ht="15" hidden="false" customHeight="false" outlineLevel="0" collapsed="false">
      <c r="A726" s="2" t="s">
        <v>2794</v>
      </c>
      <c r="B726" s="2" t="s">
        <v>2795</v>
      </c>
      <c r="C726" s="2" t="s">
        <v>2433</v>
      </c>
      <c r="D726" s="2" t="s">
        <v>45</v>
      </c>
      <c r="E726" s="3" t="n">
        <v>27</v>
      </c>
      <c r="F726" s="2" t="s">
        <v>64</v>
      </c>
      <c r="G726" s="2" t="s">
        <v>76</v>
      </c>
      <c r="H726" s="2" t="s">
        <v>48</v>
      </c>
      <c r="I726" s="4" t="n">
        <v>44500</v>
      </c>
      <c r="J726" s="2" t="s">
        <v>78</v>
      </c>
      <c r="K726" s="3" t="n">
        <v>2</v>
      </c>
      <c r="L726" s="2" t="s">
        <v>114</v>
      </c>
      <c r="M726" s="2" t="s">
        <v>114</v>
      </c>
      <c r="N726" s="2" t="s">
        <v>52</v>
      </c>
      <c r="O726" s="3" t="n">
        <v>1</v>
      </c>
      <c r="P726" s="2" t="s">
        <v>115</v>
      </c>
      <c r="Q726" s="2" t="s">
        <v>116</v>
      </c>
      <c r="R726" s="2" t="s">
        <v>114</v>
      </c>
      <c r="S726" s="2" t="s">
        <v>114</v>
      </c>
      <c r="T726" s="2" t="s">
        <v>2796</v>
      </c>
      <c r="U726" s="2" t="s">
        <v>180</v>
      </c>
      <c r="V726" s="4" t="n">
        <v>444000</v>
      </c>
      <c r="W726" s="5" t="n">
        <v>9.7</v>
      </c>
      <c r="X726" s="3" t="n">
        <v>42</v>
      </c>
      <c r="Y726" s="6" t="n">
        <v>46201</v>
      </c>
      <c r="Z726" s="6" t="n">
        <v>46209</v>
      </c>
      <c r="AA726" s="6" t="n">
        <v>46210</v>
      </c>
      <c r="AB726" s="4" t="n">
        <f aca="false">ROUND(PMT(W726/1200,X726,-V726),2)</f>
        <v>12509.54</v>
      </c>
      <c r="AC726" s="4" t="n">
        <v>656000</v>
      </c>
      <c r="AD726" s="3" t="n">
        <v>0</v>
      </c>
      <c r="AE726" s="4" t="n">
        <v>173200</v>
      </c>
      <c r="AF726" s="4" t="n">
        <v>77500</v>
      </c>
      <c r="AG726" s="3" t="n">
        <v>2</v>
      </c>
      <c r="AH726" s="4" t="n">
        <v>39000</v>
      </c>
      <c r="AI726" s="3" t="n">
        <v>651</v>
      </c>
      <c r="AJ726" s="7" t="n">
        <f aca="false">ROUND(AB726/I726,4)</f>
        <v>0.2811</v>
      </c>
      <c r="AK726" s="2" t="str">
        <f aca="false">IF(AND(AI726&gt;=750,AJ726&lt;=0.35),"Low",IF(AND(AI726&gt;=600,AJ726&lt;=0.5),"Medium","High"))</f>
        <v>Medium</v>
      </c>
      <c r="AL726" s="3" t="n">
        <v>2</v>
      </c>
      <c r="AM726" s="2" t="s">
        <v>58</v>
      </c>
      <c r="AN726" s="2" t="s">
        <v>258</v>
      </c>
      <c r="AO726" s="2" t="s">
        <v>60</v>
      </c>
      <c r="AP726" s="7" t="n">
        <v>0.243</v>
      </c>
    </row>
    <row r="727" customFormat="false" ht="15" hidden="false" customHeight="false" outlineLevel="0" collapsed="false">
      <c r="A727" s="2" t="s">
        <v>2797</v>
      </c>
      <c r="B727" s="2" t="s">
        <v>2798</v>
      </c>
      <c r="C727" s="2" t="s">
        <v>2799</v>
      </c>
      <c r="D727" s="2" t="s">
        <v>109</v>
      </c>
      <c r="E727" s="3" t="n">
        <v>42</v>
      </c>
      <c r="F727" s="2" t="s">
        <v>46</v>
      </c>
      <c r="G727" s="2"/>
      <c r="H727" s="2" t="s">
        <v>48</v>
      </c>
      <c r="I727" s="4" t="n">
        <v>56500</v>
      </c>
      <c r="J727" s="2" t="s">
        <v>49</v>
      </c>
      <c r="K727" s="3" t="n">
        <v>14</v>
      </c>
      <c r="L727" s="2" t="s">
        <v>481</v>
      </c>
      <c r="M727" s="2" t="s">
        <v>159</v>
      </c>
      <c r="N727" s="2" t="s">
        <v>140</v>
      </c>
      <c r="O727" s="3" t="n">
        <v>1</v>
      </c>
      <c r="P727" s="2" t="s">
        <v>229</v>
      </c>
      <c r="Q727" s="2" t="s">
        <v>230</v>
      </c>
      <c r="R727" s="2" t="s">
        <v>231</v>
      </c>
      <c r="S727" s="2" t="s">
        <v>92</v>
      </c>
      <c r="T727" s="2" t="s">
        <v>2800</v>
      </c>
      <c r="U727" s="2" t="s">
        <v>180</v>
      </c>
      <c r="V727" s="4" t="n">
        <v>4951563</v>
      </c>
      <c r="W727" s="5" t="n">
        <v>11.49</v>
      </c>
      <c r="X727" s="3" t="n">
        <v>24</v>
      </c>
      <c r="Y727" s="6" t="n">
        <v>46197</v>
      </c>
      <c r="Z727" s="6" t="n">
        <v>46200</v>
      </c>
      <c r="AA727" s="6" t="n">
        <v>46203</v>
      </c>
      <c r="AB727" s="4" t="n">
        <f aca="false">ROUND(PMT(W727/1200,X727,-V727),2)</f>
        <v>231909.72</v>
      </c>
      <c r="AC727" s="4" t="n">
        <v>423000</v>
      </c>
      <c r="AD727" s="3" t="n">
        <v>2</v>
      </c>
      <c r="AE727" s="4" t="n">
        <v>135400</v>
      </c>
      <c r="AF727" s="4" t="n">
        <v>32700</v>
      </c>
      <c r="AG727" s="3" t="n">
        <v>33</v>
      </c>
      <c r="AH727" s="4" t="n">
        <v>31600</v>
      </c>
      <c r="AI727" s="3" t="n">
        <v>806</v>
      </c>
      <c r="AJ727" s="7" t="n">
        <f aca="false">ROUND(AB727/I727,4)</f>
        <v>4.1046</v>
      </c>
      <c r="AK727" s="2" t="str">
        <f aca="false">IF(AND(AI727&gt;=750,AJ727&lt;=0.35),"Low",IF(AND(AI727&gt;=600,AJ727&lt;=0.5),"Medium","High"))</f>
        <v>High</v>
      </c>
      <c r="AL727" s="3" t="n">
        <v>0</v>
      </c>
      <c r="AM727" s="2" t="s">
        <v>58</v>
      </c>
      <c r="AN727" s="2" t="s">
        <v>59</v>
      </c>
      <c r="AO727" s="2" t="s">
        <v>60</v>
      </c>
      <c r="AP727" s="7" t="n">
        <v>0.077</v>
      </c>
    </row>
    <row r="728" customFormat="false" ht="15" hidden="false" customHeight="false" outlineLevel="0" collapsed="false">
      <c r="A728" s="2" t="s">
        <v>2801</v>
      </c>
      <c r="B728" s="2" t="s">
        <v>573</v>
      </c>
      <c r="C728" s="2" t="s">
        <v>2466</v>
      </c>
      <c r="D728" s="2" t="s">
        <v>45</v>
      </c>
      <c r="E728" s="3" t="n">
        <v>32</v>
      </c>
      <c r="F728" s="2" t="s">
        <v>46</v>
      </c>
      <c r="G728" s="2" t="s">
        <v>65</v>
      </c>
      <c r="H728" s="2" t="s">
        <v>101</v>
      </c>
      <c r="I728" s="4" t="n">
        <v>41500</v>
      </c>
      <c r="J728" s="2" t="s">
        <v>49</v>
      </c>
      <c r="K728" s="3" t="n">
        <v>3</v>
      </c>
      <c r="L728" s="2" t="s">
        <v>139</v>
      </c>
      <c r="M728" s="2" t="s">
        <v>139</v>
      </c>
      <c r="N728" s="2" t="s">
        <v>52</v>
      </c>
      <c r="O728" s="3" t="n">
        <v>1</v>
      </c>
      <c r="P728" s="2" t="s">
        <v>197</v>
      </c>
      <c r="Q728" s="2" t="s">
        <v>198</v>
      </c>
      <c r="R728" s="2" t="s">
        <v>139</v>
      </c>
      <c r="S728" s="2" t="s">
        <v>139</v>
      </c>
      <c r="T728" s="2" t="s">
        <v>2802</v>
      </c>
      <c r="U728" s="2" t="s">
        <v>180</v>
      </c>
      <c r="V728" s="4" t="n">
        <v>534000</v>
      </c>
      <c r="W728" s="5" t="n">
        <v>12.43</v>
      </c>
      <c r="X728" s="3" t="n">
        <v>30</v>
      </c>
      <c r="Y728" s="6" t="n">
        <v>46202</v>
      </c>
      <c r="Z728" s="6" t="n">
        <v>46208</v>
      </c>
      <c r="AA728" s="6" t="n">
        <v>46214</v>
      </c>
      <c r="AB728" s="4" t="n">
        <f aca="false">ROUND(PMT(W728/1200,X728,-V728),2)</f>
        <v>20799.98</v>
      </c>
      <c r="AC728" s="4" t="n">
        <v>542000</v>
      </c>
      <c r="AD728" s="3" t="n">
        <v>1</v>
      </c>
      <c r="AE728" s="4" t="n">
        <v>88600</v>
      </c>
      <c r="AF728" s="4" t="n">
        <v>40100</v>
      </c>
      <c r="AG728" s="3" t="n">
        <v>2</v>
      </c>
      <c r="AH728" s="4" t="n">
        <v>22700</v>
      </c>
      <c r="AI728" s="3" t="n">
        <v>579</v>
      </c>
      <c r="AJ728" s="7" t="n">
        <f aca="false">ROUND(AB728/I728,4)</f>
        <v>0.5012</v>
      </c>
      <c r="AK728" s="2" t="str">
        <f aca="false">IF(AND(AI728&gt;=750,AJ728&lt;=0.35),"Low",IF(AND(AI728&gt;=600,AJ728&lt;=0.5),"Medium","High"))</f>
        <v>High</v>
      </c>
      <c r="AL728" s="3" t="n">
        <v>3</v>
      </c>
      <c r="AM728" s="2" t="s">
        <v>58</v>
      </c>
      <c r="AN728" s="2" t="s">
        <v>119</v>
      </c>
      <c r="AO728" s="2" t="s">
        <v>60</v>
      </c>
      <c r="AP728" s="7" t="n">
        <v>0.316</v>
      </c>
    </row>
    <row r="729" customFormat="false" ht="15" hidden="false" customHeight="false" outlineLevel="0" collapsed="false">
      <c r="A729" s="2" t="s">
        <v>2803</v>
      </c>
      <c r="B729" s="2" t="s">
        <v>2804</v>
      </c>
      <c r="C729" s="2" t="s">
        <v>568</v>
      </c>
      <c r="D729" s="2" t="s">
        <v>45</v>
      </c>
      <c r="E729" s="3" t="n">
        <v>33</v>
      </c>
      <c r="F729" s="2" t="s">
        <v>64</v>
      </c>
      <c r="G729" s="2" t="s">
        <v>154</v>
      </c>
      <c r="H729" s="2" t="s">
        <v>77</v>
      </c>
      <c r="I729" s="4" t="n">
        <v>30500</v>
      </c>
      <c r="J729" s="2" t="s">
        <v>145</v>
      </c>
      <c r="K729" s="3" t="n">
        <v>12</v>
      </c>
      <c r="L729" s="2" t="s">
        <v>188</v>
      </c>
      <c r="M729" s="2" t="s">
        <v>51</v>
      </c>
      <c r="N729" s="2" t="s">
        <v>81</v>
      </c>
      <c r="O729" s="3" t="n">
        <v>2</v>
      </c>
      <c r="P729" s="2" t="s">
        <v>189</v>
      </c>
      <c r="Q729" s="2" t="s">
        <v>190</v>
      </c>
      <c r="R729" s="2" t="s">
        <v>188</v>
      </c>
      <c r="S729" s="2" t="s">
        <v>51</v>
      </c>
      <c r="T729" s="2" t="s">
        <v>2805</v>
      </c>
      <c r="U729" s="2" t="s">
        <v>180</v>
      </c>
      <c r="V729" s="4" t="n">
        <v>300000</v>
      </c>
      <c r="W729" s="5" t="n">
        <v>10.37</v>
      </c>
      <c r="X729" s="3" t="n">
        <v>18</v>
      </c>
      <c r="Y729" s="6" t="n">
        <v>46202</v>
      </c>
      <c r="Z729" s="6" t="n">
        <v>46211</v>
      </c>
      <c r="AA729" s="6" t="n">
        <v>46216</v>
      </c>
      <c r="AB729" s="4" t="n">
        <f aca="false">ROUND(PMT(W729/1200,X729,-V729),2)</f>
        <v>18068.27</v>
      </c>
      <c r="AC729" s="4" t="n">
        <v>323000</v>
      </c>
      <c r="AD729" s="3" t="n">
        <v>1</v>
      </c>
      <c r="AE729" s="4" t="n">
        <v>59000</v>
      </c>
      <c r="AF729" s="4" t="n">
        <v>10900</v>
      </c>
      <c r="AG729" s="3" t="n">
        <v>32</v>
      </c>
      <c r="AH729" s="4" t="n">
        <v>27600</v>
      </c>
      <c r="AI729" s="3" t="n">
        <v>815</v>
      </c>
      <c r="AJ729" s="7" t="n">
        <f aca="false">ROUND(AB729/I729,4)</f>
        <v>0.5924</v>
      </c>
      <c r="AK729" s="2" t="str">
        <f aca="false">IF(AND(AI729&gt;=750,AJ729&lt;=0.35),"Low",IF(AND(AI729&gt;=600,AJ729&lt;=0.5),"Medium","High"))</f>
        <v>High</v>
      </c>
      <c r="AL729" s="3" t="n">
        <v>1</v>
      </c>
      <c r="AM729" s="2" t="s">
        <v>58</v>
      </c>
      <c r="AN729" s="2" t="s">
        <v>59</v>
      </c>
      <c r="AO729" s="2" t="s">
        <v>60</v>
      </c>
      <c r="AP729" s="7" t="n">
        <v>0.168</v>
      </c>
    </row>
    <row r="730" customFormat="false" ht="15" hidden="false" customHeight="false" outlineLevel="0" collapsed="false">
      <c r="A730" s="2" t="s">
        <v>2806</v>
      </c>
      <c r="B730" s="2" t="s">
        <v>2807</v>
      </c>
      <c r="C730" s="2" t="s">
        <v>2808</v>
      </c>
      <c r="D730" s="2" t="s">
        <v>109</v>
      </c>
      <c r="E730" s="3" t="n">
        <v>49</v>
      </c>
      <c r="F730" s="2" t="s">
        <v>46</v>
      </c>
      <c r="G730" s="2" t="s">
        <v>145</v>
      </c>
      <c r="H730" s="2" t="s">
        <v>77</v>
      </c>
      <c r="I730" s="4" t="n">
        <v>45000</v>
      </c>
      <c r="J730" s="2" t="s">
        <v>145</v>
      </c>
      <c r="K730" s="3" t="n">
        <v>20</v>
      </c>
      <c r="L730" s="2" t="s">
        <v>50</v>
      </c>
      <c r="M730" s="2" t="s">
        <v>51</v>
      </c>
      <c r="N730" s="2" t="s">
        <v>140</v>
      </c>
      <c r="O730" s="3" t="n">
        <v>0</v>
      </c>
      <c r="P730" s="2" t="s">
        <v>189</v>
      </c>
      <c r="Q730" s="2" t="s">
        <v>190</v>
      </c>
      <c r="R730" s="2" t="s">
        <v>188</v>
      </c>
      <c r="S730" s="2" t="s">
        <v>51</v>
      </c>
      <c r="T730" s="2" t="s">
        <v>2809</v>
      </c>
      <c r="U730" s="2" t="s">
        <v>72</v>
      </c>
      <c r="V730" s="4" t="n">
        <v>442000</v>
      </c>
      <c r="W730" s="5" t="n">
        <v>13.84</v>
      </c>
      <c r="X730" s="3" t="n">
        <v>48</v>
      </c>
      <c r="Y730" s="6" t="n">
        <v>46185</v>
      </c>
      <c r="Z730" s="6" t="n">
        <v>46187</v>
      </c>
      <c r="AA730" s="6" t="n">
        <v>46189</v>
      </c>
      <c r="AB730" s="4" t="n">
        <f aca="false">ROUND(PMT(W730/1200,X730,-V730),2)</f>
        <v>12042.86</v>
      </c>
      <c r="AC730" s="4" t="n">
        <v>511000</v>
      </c>
      <c r="AD730" s="3" t="n">
        <v>0</v>
      </c>
      <c r="AE730" s="4"/>
      <c r="AF730" s="4" t="n">
        <v>38000</v>
      </c>
      <c r="AG730" s="3" t="n">
        <v>29</v>
      </c>
      <c r="AH730" s="4" t="n">
        <v>14600</v>
      </c>
      <c r="AI730" s="3" t="n">
        <v>756</v>
      </c>
      <c r="AJ730" s="7" t="n">
        <f aca="false">ROUND(AB730/I730,4)</f>
        <v>0.2676</v>
      </c>
      <c r="AK730" s="2" t="str">
        <f aca="false">IF(AND(AI730&gt;=750,AJ730&lt;=0.35),"Low",IF(AND(AI730&gt;=600,AJ730&lt;=0.5),"Medium","High"))</f>
        <v>Low</v>
      </c>
      <c r="AL730" s="3" t="n">
        <v>0</v>
      </c>
      <c r="AM730" s="2" t="s">
        <v>58</v>
      </c>
      <c r="AN730" s="2" t="s">
        <v>59</v>
      </c>
      <c r="AO730" s="2" t="s">
        <v>86</v>
      </c>
      <c r="AP730" s="7" t="n">
        <v>0.167</v>
      </c>
    </row>
    <row r="731" customFormat="false" ht="15" hidden="false" customHeight="false" outlineLevel="0" collapsed="false">
      <c r="A731" s="2" t="s">
        <v>2810</v>
      </c>
      <c r="B731" s="2" t="s">
        <v>2811</v>
      </c>
      <c r="C731" s="2" t="s">
        <v>2812</v>
      </c>
      <c r="D731" s="2" t="s">
        <v>45</v>
      </c>
      <c r="E731" s="3" t="n">
        <v>49</v>
      </c>
      <c r="F731" s="2" t="s">
        <v>175</v>
      </c>
      <c r="G731" s="2" t="s">
        <v>65</v>
      </c>
      <c r="H731" s="2" t="s">
        <v>101</v>
      </c>
      <c r="I731" s="4" t="n">
        <v>68000</v>
      </c>
      <c r="J731" s="2" t="s">
        <v>49</v>
      </c>
      <c r="K731" s="3" t="n">
        <v>25</v>
      </c>
      <c r="L731" s="2" t="s">
        <v>211</v>
      </c>
      <c r="M731" s="2" t="s">
        <v>147</v>
      </c>
      <c r="N731" s="2" t="s">
        <v>52</v>
      </c>
      <c r="O731" s="3" t="n">
        <v>2</v>
      </c>
      <c r="P731" s="2" t="s">
        <v>209</v>
      </c>
      <c r="Q731" s="2" t="s">
        <v>210</v>
      </c>
      <c r="R731" s="2" t="s">
        <v>211</v>
      </c>
      <c r="S731" s="2" t="s">
        <v>147</v>
      </c>
      <c r="T731" s="2" t="s">
        <v>2813</v>
      </c>
      <c r="U731" s="2" t="s">
        <v>57</v>
      </c>
      <c r="V731" s="4" t="n">
        <v>1825000</v>
      </c>
      <c r="W731" s="5" t="n">
        <v>10.17</v>
      </c>
      <c r="X731" s="3" t="n">
        <v>162</v>
      </c>
      <c r="Y731" s="6" t="n">
        <v>46200</v>
      </c>
      <c r="Z731" s="6" t="n">
        <v>46201</v>
      </c>
      <c r="AA731" s="6" t="n">
        <v>46202</v>
      </c>
      <c r="AB731" s="4" t="n">
        <f aca="false">ROUND(PMT(W731/1200,X731,-V731),2)</f>
        <v>20756.13</v>
      </c>
      <c r="AC731" s="4" t="n">
        <v>2244000</v>
      </c>
      <c r="AD731" s="3" t="n">
        <v>1</v>
      </c>
      <c r="AE731" s="4" t="n">
        <v>48600</v>
      </c>
      <c r="AF731" s="4" t="n">
        <v>16800</v>
      </c>
      <c r="AG731" s="3" t="n">
        <v>53</v>
      </c>
      <c r="AH731" s="4" t="n">
        <v>64600</v>
      </c>
      <c r="AI731" s="3" t="n">
        <v>708</v>
      </c>
      <c r="AJ731" s="7" t="n">
        <f aca="false">ROUND(AB731/I731,4)</f>
        <v>0.3052</v>
      </c>
      <c r="AK731" s="2" t="str">
        <f aca="false">IF(AND(AI731&gt;=750,AJ731&lt;=0.35),"Low",IF(AND(AI731&gt;=600,AJ731&lt;=0.5),"Medium","High"))</f>
        <v>Medium</v>
      </c>
      <c r="AL731" s="3" t="n">
        <v>2</v>
      </c>
      <c r="AM731" s="2" t="s">
        <v>58</v>
      </c>
      <c r="AN731" s="2" t="s">
        <v>59</v>
      </c>
      <c r="AO731" s="2" t="s">
        <v>60</v>
      </c>
      <c r="AP731" s="7" t="n">
        <v>0.198</v>
      </c>
    </row>
    <row r="732" customFormat="false" ht="15" hidden="false" customHeight="false" outlineLevel="0" collapsed="false">
      <c r="A732" s="2" t="s">
        <v>2814</v>
      </c>
      <c r="B732" s="2" t="s">
        <v>2815</v>
      </c>
      <c r="C732" s="2" t="s">
        <v>2816</v>
      </c>
      <c r="D732" s="2" t="s">
        <v>109</v>
      </c>
      <c r="E732" s="3" t="n">
        <v>42</v>
      </c>
      <c r="F732" s="2" t="s">
        <v>46</v>
      </c>
      <c r="G732" s="2" t="s">
        <v>110</v>
      </c>
      <c r="H732" s="2" t="s">
        <v>77</v>
      </c>
      <c r="I732" s="4" t="n">
        <v>14000</v>
      </c>
      <c r="J732" s="2" t="s">
        <v>112</v>
      </c>
      <c r="K732" s="3" t="n">
        <v>16</v>
      </c>
      <c r="L732" s="2" t="s">
        <v>1251</v>
      </c>
      <c r="M732" s="2" t="s">
        <v>51</v>
      </c>
      <c r="N732" s="2" t="s">
        <v>52</v>
      </c>
      <c r="O732" s="3" t="n">
        <v>1</v>
      </c>
      <c r="P732" s="2" t="s">
        <v>131</v>
      </c>
      <c r="Q732" s="2" t="s">
        <v>132</v>
      </c>
      <c r="R732" s="2" t="s">
        <v>51</v>
      </c>
      <c r="S732" s="2" t="s">
        <v>51</v>
      </c>
      <c r="T732" s="2" t="s">
        <v>2817</v>
      </c>
      <c r="U732" s="2" t="s">
        <v>180</v>
      </c>
      <c r="V732" s="4" t="n">
        <v>300000</v>
      </c>
      <c r="W732" s="5" t="n">
        <v>12.85</v>
      </c>
      <c r="X732" s="3" t="n">
        <v>66</v>
      </c>
      <c r="Y732" s="6" t="n">
        <v>46203</v>
      </c>
      <c r="Z732" s="6" t="n">
        <v>46213</v>
      </c>
      <c r="AA732" s="6" t="n">
        <v>46218</v>
      </c>
      <c r="AB732" s="4" t="n">
        <f aca="false">ROUND(PMT(W732/1200,X732,-V732),2)</f>
        <v>6362.66</v>
      </c>
      <c r="AC732" s="4" t="n">
        <v>304000</v>
      </c>
      <c r="AD732" s="3" t="n">
        <v>0</v>
      </c>
      <c r="AE732" s="4" t="n">
        <v>26100</v>
      </c>
      <c r="AF732" s="4" t="n">
        <v>4200</v>
      </c>
      <c r="AG732" s="3" t="n">
        <v>22</v>
      </c>
      <c r="AH732" s="4" t="n">
        <v>5100</v>
      </c>
      <c r="AI732" s="3" t="n">
        <v>743</v>
      </c>
      <c r="AJ732" s="7" t="n">
        <f aca="false">ROUND(AB732/I732,4)</f>
        <v>0.4545</v>
      </c>
      <c r="AK732" s="2" t="str">
        <f aca="false">IF(AND(AI732&gt;=750,AJ732&lt;=0.35),"Low",IF(AND(AI732&gt;=600,AJ732&lt;=0.5),"Medium","High"))</f>
        <v>Medium</v>
      </c>
      <c r="AL732" s="3" t="n">
        <v>3</v>
      </c>
      <c r="AM732" s="2" t="s">
        <v>58</v>
      </c>
      <c r="AN732" s="2" t="s">
        <v>59</v>
      </c>
      <c r="AO732" s="2" t="s">
        <v>60</v>
      </c>
      <c r="AP732" s="7" t="n">
        <v>0.252</v>
      </c>
    </row>
    <row r="733" customFormat="false" ht="15" hidden="false" customHeight="false" outlineLevel="0" collapsed="false">
      <c r="A733" s="2" t="s">
        <v>2818</v>
      </c>
      <c r="B733" s="2" t="s">
        <v>2819</v>
      </c>
      <c r="C733" s="2" t="s">
        <v>1718</v>
      </c>
      <c r="D733" s="2" t="s">
        <v>109</v>
      </c>
      <c r="E733" s="3" t="n">
        <v>32</v>
      </c>
      <c r="F733" s="2" t="s">
        <v>46</v>
      </c>
      <c r="G733" s="2" t="s">
        <v>47</v>
      </c>
      <c r="H733" s="2" t="s">
        <v>101</v>
      </c>
      <c r="I733" s="4" t="n">
        <v>89000</v>
      </c>
      <c r="J733" s="2" t="s">
        <v>49</v>
      </c>
      <c r="K733" s="3" t="n">
        <v>7</v>
      </c>
      <c r="L733" s="2" t="s">
        <v>138</v>
      </c>
      <c r="M733" s="2" t="s">
        <v>139</v>
      </c>
      <c r="N733" s="2" t="s">
        <v>52</v>
      </c>
      <c r="O733" s="3" t="n">
        <v>0</v>
      </c>
      <c r="P733" s="2" t="s">
        <v>197</v>
      </c>
      <c r="Q733" s="2" t="s">
        <v>198</v>
      </c>
      <c r="R733" s="2" t="s">
        <v>139</v>
      </c>
      <c r="S733" s="2" t="s">
        <v>139</v>
      </c>
      <c r="T733" s="2" t="s">
        <v>2820</v>
      </c>
      <c r="U733" s="2" t="s">
        <v>85</v>
      </c>
      <c r="V733" s="4" t="n">
        <v>281000</v>
      </c>
      <c r="W733" s="5" t="n">
        <v>8.55</v>
      </c>
      <c r="X733" s="3" t="n">
        <v>6</v>
      </c>
      <c r="Y733" s="6" t="n">
        <v>46176</v>
      </c>
      <c r="Z733" s="6" t="n">
        <v>46185</v>
      </c>
      <c r="AA733" s="6" t="n">
        <v>46186</v>
      </c>
      <c r="AB733" s="4" t="n">
        <f aca="false">ROUND(PMT(W733/1200,X733,-V733),2)</f>
        <v>48008.15</v>
      </c>
      <c r="AC733" s="4" t="n">
        <v>0</v>
      </c>
      <c r="AD733" s="3" t="n">
        <v>2</v>
      </c>
      <c r="AE733" s="4" t="n">
        <v>108300</v>
      </c>
      <c r="AF733" s="4" t="n">
        <v>59300</v>
      </c>
      <c r="AG733" s="3" t="n">
        <v>19</v>
      </c>
      <c r="AH733" s="4" t="n">
        <v>92800</v>
      </c>
      <c r="AI733" s="3" t="n">
        <v>900</v>
      </c>
      <c r="AJ733" s="7" t="n">
        <f aca="false">ROUND(AB733/I733,4)</f>
        <v>0.5394</v>
      </c>
      <c r="AK733" s="2" t="str">
        <f aca="false">IF(AND(AI733&gt;=750,AJ733&lt;=0.35),"Low",IF(AND(AI733&gt;=600,AJ733&lt;=0.5),"Medium","High"))</f>
        <v>High</v>
      </c>
      <c r="AL733" s="3" t="n">
        <v>0</v>
      </c>
      <c r="AM733" s="2" t="s">
        <v>58</v>
      </c>
      <c r="AN733" s="2" t="s">
        <v>59</v>
      </c>
      <c r="AO733" s="2" t="s">
        <v>60</v>
      </c>
      <c r="AP733" s="7" t="n">
        <v>0.052</v>
      </c>
    </row>
    <row r="734" customFormat="false" ht="15" hidden="false" customHeight="false" outlineLevel="0" collapsed="false">
      <c r="A734" s="2" t="s">
        <v>2821</v>
      </c>
      <c r="B734" s="2" t="s">
        <v>2822</v>
      </c>
      <c r="C734" s="2" t="s">
        <v>1332</v>
      </c>
      <c r="D734" s="2" t="s">
        <v>45</v>
      </c>
      <c r="E734" s="3" t="n">
        <v>38</v>
      </c>
      <c r="F734" s="2" t="s">
        <v>64</v>
      </c>
      <c r="G734" s="2" t="s">
        <v>47</v>
      </c>
      <c r="H734" s="2" t="s">
        <v>101</v>
      </c>
      <c r="I734" s="4" t="n">
        <v>69500</v>
      </c>
      <c r="J734" s="2" t="s">
        <v>49</v>
      </c>
      <c r="K734" s="3" t="n">
        <v>14</v>
      </c>
      <c r="L734" s="2" t="s">
        <v>146</v>
      </c>
      <c r="M734" s="2" t="s">
        <v>147</v>
      </c>
      <c r="N734" s="2" t="s">
        <v>52</v>
      </c>
      <c r="O734" s="3" t="n">
        <v>0</v>
      </c>
      <c r="P734" s="2" t="s">
        <v>209</v>
      </c>
      <c r="Q734" s="2" t="s">
        <v>210</v>
      </c>
      <c r="R734" s="2" t="s">
        <v>211</v>
      </c>
      <c r="S734" s="2" t="s">
        <v>147</v>
      </c>
      <c r="T734" s="2" t="s">
        <v>2823</v>
      </c>
      <c r="U734" s="2" t="s">
        <v>72</v>
      </c>
      <c r="V734" s="4" t="n">
        <v>820000</v>
      </c>
      <c r="W734" s="5" t="n">
        <v>15.37</v>
      </c>
      <c r="X734" s="3" t="n">
        <v>42</v>
      </c>
      <c r="Y734" s="6" t="n">
        <v>46195</v>
      </c>
      <c r="Z734" s="6"/>
      <c r="AA734" s="6"/>
      <c r="AB734" s="4" t="n">
        <f aca="false">ROUND(PMT(W734/1200,X734,-V734),2)</f>
        <v>25365.63</v>
      </c>
      <c r="AC734" s="4" t="n">
        <v>1228000</v>
      </c>
      <c r="AD734" s="3" t="n">
        <v>3</v>
      </c>
      <c r="AE734" s="4" t="n">
        <v>233500</v>
      </c>
      <c r="AF734" s="4" t="n">
        <v>130300</v>
      </c>
      <c r="AG734" s="3" t="n">
        <v>26</v>
      </c>
      <c r="AH734" s="4" t="n">
        <v>37400</v>
      </c>
      <c r="AI734" s="3" t="n">
        <v>659</v>
      </c>
      <c r="AJ734" s="7" t="n">
        <f aca="false">ROUND(AB734/I734,4)</f>
        <v>0.365</v>
      </c>
      <c r="AK734" s="2" t="str">
        <f aca="false">IF(AND(AI734&gt;=750,AJ734&lt;=0.35),"Low",IF(AND(AI734&gt;=600,AJ734&lt;=0.5),"Medium","High"))</f>
        <v>Medium</v>
      </c>
      <c r="AL734" s="3" t="n">
        <v>0</v>
      </c>
      <c r="AM734" s="2" t="s">
        <v>58</v>
      </c>
      <c r="AN734" s="2"/>
      <c r="AO734" s="2" t="s">
        <v>127</v>
      </c>
      <c r="AP734" s="7" t="n">
        <v>0.313</v>
      </c>
    </row>
    <row r="735" customFormat="false" ht="15" hidden="false" customHeight="false" outlineLevel="0" collapsed="false">
      <c r="A735" s="2" t="s">
        <v>2824</v>
      </c>
      <c r="B735" s="2" t="s">
        <v>2825</v>
      </c>
      <c r="C735" s="2" t="s">
        <v>2826</v>
      </c>
      <c r="D735" s="2" t="s">
        <v>45</v>
      </c>
      <c r="E735" s="3" t="n">
        <v>36</v>
      </c>
      <c r="F735" s="2" t="s">
        <v>46</v>
      </c>
      <c r="G735" s="2"/>
      <c r="H735" s="2" t="s">
        <v>167</v>
      </c>
      <c r="I735" s="4" t="n">
        <v>166500</v>
      </c>
      <c r="J735" s="2" t="s">
        <v>145</v>
      </c>
      <c r="K735" s="3" t="n">
        <v>16</v>
      </c>
      <c r="L735" s="2" t="s">
        <v>231</v>
      </c>
      <c r="M735" s="2" t="s">
        <v>92</v>
      </c>
      <c r="N735" s="2"/>
      <c r="O735" s="3" t="n">
        <v>1</v>
      </c>
      <c r="P735" s="2" t="s">
        <v>229</v>
      </c>
      <c r="Q735" s="2" t="s">
        <v>230</v>
      </c>
      <c r="R735" s="2" t="s">
        <v>231</v>
      </c>
      <c r="S735" s="2" t="s">
        <v>92</v>
      </c>
      <c r="T735" s="2" t="s">
        <v>2827</v>
      </c>
      <c r="U735" s="2" t="s">
        <v>72</v>
      </c>
      <c r="V735" s="4" t="n">
        <v>2008000</v>
      </c>
      <c r="W735" s="5" t="n">
        <v>12.38</v>
      </c>
      <c r="X735" s="3" t="n">
        <v>36</v>
      </c>
      <c r="Y735" s="6" t="n">
        <v>46202</v>
      </c>
      <c r="Z735" s="6" t="n">
        <v>46205</v>
      </c>
      <c r="AA735" s="6" t="n">
        <v>46206</v>
      </c>
      <c r="AB735" s="4" t="n">
        <f aca="false">ROUND(PMT(W735/1200,X735,-V735),2)</f>
        <v>67059.36</v>
      </c>
      <c r="AC735" s="4" t="n">
        <v>2202000</v>
      </c>
      <c r="AD735" s="3" t="n">
        <v>2</v>
      </c>
      <c r="AE735" s="4" t="n">
        <v>368200</v>
      </c>
      <c r="AF735" s="4" t="n">
        <v>183700</v>
      </c>
      <c r="AG735" s="3" t="n">
        <v>20</v>
      </c>
      <c r="AH735" s="4" t="n">
        <v>125700</v>
      </c>
      <c r="AI735" s="3" t="n">
        <v>693</v>
      </c>
      <c r="AJ735" s="7" t="n">
        <f aca="false">ROUND(AB735/I735,4)</f>
        <v>0.4028</v>
      </c>
      <c r="AK735" s="2" t="str">
        <f aca="false">IF(AND(AI735&gt;=750,AJ735&lt;=0.35),"Low",IF(AND(AI735&gt;=600,AJ735&lt;=0.5),"Medium","High"))</f>
        <v>Medium</v>
      </c>
      <c r="AL735" s="3" t="n">
        <v>1</v>
      </c>
      <c r="AM735" s="2" t="s">
        <v>58</v>
      </c>
      <c r="AN735" s="2" t="s">
        <v>59</v>
      </c>
      <c r="AO735" s="2" t="s">
        <v>60</v>
      </c>
      <c r="AP735" s="7" t="n">
        <v>0.222</v>
      </c>
    </row>
    <row r="736" customFormat="false" ht="15" hidden="false" customHeight="false" outlineLevel="0" collapsed="false">
      <c r="A736" s="2" t="s">
        <v>2828</v>
      </c>
      <c r="B736" s="2" t="s">
        <v>2579</v>
      </c>
      <c r="C736" s="2" t="s">
        <v>2829</v>
      </c>
      <c r="D736" s="2" t="s">
        <v>45</v>
      </c>
      <c r="E736" s="3" t="n">
        <v>41</v>
      </c>
      <c r="F736" s="2" t="s">
        <v>46</v>
      </c>
      <c r="G736" s="2" t="s">
        <v>154</v>
      </c>
      <c r="H736" s="2" t="s">
        <v>77</v>
      </c>
      <c r="I736" s="4" t="n">
        <v>43000</v>
      </c>
      <c r="J736" s="2" t="s">
        <v>145</v>
      </c>
      <c r="K736" s="3" t="n">
        <v>17</v>
      </c>
      <c r="L736" s="2" t="s">
        <v>91</v>
      </c>
      <c r="M736" s="2" t="s">
        <v>92</v>
      </c>
      <c r="N736" s="2" t="s">
        <v>52</v>
      </c>
      <c r="O736" s="3" t="n">
        <v>1</v>
      </c>
      <c r="P736" s="2" t="s">
        <v>124</v>
      </c>
      <c r="Q736" s="2" t="s">
        <v>125</v>
      </c>
      <c r="R736" s="2" t="s">
        <v>91</v>
      </c>
      <c r="S736" s="2" t="s">
        <v>92</v>
      </c>
      <c r="T736" s="2" t="s">
        <v>2830</v>
      </c>
      <c r="U736" s="2" t="s">
        <v>57</v>
      </c>
      <c r="V736" s="4" t="n">
        <v>800000</v>
      </c>
      <c r="W736" s="5" t="n">
        <v>10.83</v>
      </c>
      <c r="X736" s="3" t="n">
        <v>60</v>
      </c>
      <c r="Y736" s="6" t="n">
        <v>46192</v>
      </c>
      <c r="Z736" s="6"/>
      <c r="AA736" s="6"/>
      <c r="AB736" s="4" t="n">
        <f aca="false">ROUND(PMT(W736/1200,X736,-V736),2)</f>
        <v>17326.19</v>
      </c>
      <c r="AC736" s="4" t="n">
        <v>887000</v>
      </c>
      <c r="AD736" s="3" t="n">
        <v>0</v>
      </c>
      <c r="AE736" s="4" t="n">
        <v>22200</v>
      </c>
      <c r="AF736" s="4" t="n">
        <v>7800</v>
      </c>
      <c r="AG736" s="3" t="n">
        <v>36</v>
      </c>
      <c r="AH736" s="4" t="n">
        <v>37100</v>
      </c>
      <c r="AI736" s="3" t="n">
        <v>688</v>
      </c>
      <c r="AJ736" s="7" t="n">
        <f aca="false">ROUND(AB736/I736,4)</f>
        <v>0.4029</v>
      </c>
      <c r="AK736" s="2" t="str">
        <f aca="false">IF(AND(AI736&gt;=750,AJ736&lt;=0.35),"Low",IF(AND(AI736&gt;=600,AJ736&lt;=0.5),"Medium","High"))</f>
        <v>Medium</v>
      </c>
      <c r="AL736" s="3" t="n">
        <v>2</v>
      </c>
      <c r="AM736" s="2" t="s">
        <v>58</v>
      </c>
      <c r="AN736" s="2"/>
      <c r="AO736" s="2" t="s">
        <v>127</v>
      </c>
      <c r="AP736" s="7" t="n">
        <v>0.291</v>
      </c>
    </row>
    <row r="737" customFormat="false" ht="15" hidden="false" customHeight="false" outlineLevel="0" collapsed="false">
      <c r="A737" s="2" t="s">
        <v>2831</v>
      </c>
      <c r="B737" s="2" t="s">
        <v>2832</v>
      </c>
      <c r="C737" s="2" t="s">
        <v>2395</v>
      </c>
      <c r="D737" s="2" t="s">
        <v>109</v>
      </c>
      <c r="E737" s="3" t="n">
        <v>42</v>
      </c>
      <c r="F737" s="2" t="s">
        <v>64</v>
      </c>
      <c r="G737" s="2" t="s">
        <v>110</v>
      </c>
      <c r="H737" s="2" t="s">
        <v>48</v>
      </c>
      <c r="I737" s="4" t="n">
        <v>16000</v>
      </c>
      <c r="J737" s="2" t="s">
        <v>112</v>
      </c>
      <c r="K737" s="3" t="n">
        <v>16</v>
      </c>
      <c r="L737" s="2" t="s">
        <v>51</v>
      </c>
      <c r="M737" s="2" t="s">
        <v>51</v>
      </c>
      <c r="N737" s="2" t="s">
        <v>52</v>
      </c>
      <c r="O737" s="3" t="n">
        <v>0</v>
      </c>
      <c r="P737" s="2" t="s">
        <v>131</v>
      </c>
      <c r="Q737" s="2" t="s">
        <v>132</v>
      </c>
      <c r="R737" s="2" t="s">
        <v>51</v>
      </c>
      <c r="S737" s="2" t="s">
        <v>51</v>
      </c>
      <c r="T737" s="2" t="s">
        <v>2833</v>
      </c>
      <c r="U737" s="2" t="s">
        <v>118</v>
      </c>
      <c r="V737" s="4" t="n">
        <v>4905408</v>
      </c>
      <c r="W737" s="5" t="n">
        <v>7.56</v>
      </c>
      <c r="X737" s="3" t="n">
        <v>24</v>
      </c>
      <c r="Y737" s="6" t="n">
        <v>46194</v>
      </c>
      <c r="Z737" s="6" t="n">
        <v>46201</v>
      </c>
      <c r="AA737" s="6" t="n">
        <v>46205</v>
      </c>
      <c r="AB737" s="4" t="n">
        <f aca="false">ROUND(PMT(W737/1200,X737,-V737),2)</f>
        <v>220875.22</v>
      </c>
      <c r="AC737" s="4" t="n">
        <v>0</v>
      </c>
      <c r="AD737" s="3" t="n">
        <v>0</v>
      </c>
      <c r="AE737" s="4" t="n">
        <v>30100</v>
      </c>
      <c r="AF737" s="4" t="n">
        <v>12800</v>
      </c>
      <c r="AG737" s="3" t="n">
        <v>17</v>
      </c>
      <c r="AH737" s="4" t="n">
        <v>10400</v>
      </c>
      <c r="AI737" s="3" t="n">
        <v>900</v>
      </c>
      <c r="AJ737" s="7" t="n">
        <f aca="false">ROUND(AB737/I737,4)</f>
        <v>13.8047</v>
      </c>
      <c r="AK737" s="2" t="str">
        <f aca="false">IF(AND(AI737&gt;=750,AJ737&lt;=0.35),"Low",IF(AND(AI737&gt;=600,AJ737&lt;=0.5),"Medium","High"))</f>
        <v>High</v>
      </c>
      <c r="AL737" s="3" t="n">
        <v>0</v>
      </c>
      <c r="AM737" s="2" t="s">
        <v>58</v>
      </c>
      <c r="AN737" s="2" t="s">
        <v>59</v>
      </c>
      <c r="AO737" s="2" t="s">
        <v>60</v>
      </c>
      <c r="AP737" s="7" t="n">
        <v>0.01</v>
      </c>
    </row>
    <row r="738" customFormat="false" ht="15" hidden="false" customHeight="false" outlineLevel="0" collapsed="false">
      <c r="A738" s="2" t="s">
        <v>2834</v>
      </c>
      <c r="B738" s="2" t="s">
        <v>2570</v>
      </c>
      <c r="C738" s="2" t="s">
        <v>2835</v>
      </c>
      <c r="D738" s="2" t="s">
        <v>109</v>
      </c>
      <c r="E738" s="3" t="n">
        <v>46</v>
      </c>
      <c r="F738" s="2" t="s">
        <v>64</v>
      </c>
      <c r="G738" s="2" t="s">
        <v>90</v>
      </c>
      <c r="H738" s="2" t="s">
        <v>77</v>
      </c>
      <c r="I738" s="4" t="n">
        <v>36500</v>
      </c>
      <c r="J738" s="2" t="s">
        <v>90</v>
      </c>
      <c r="K738" s="3" t="n">
        <v>27</v>
      </c>
      <c r="L738" s="2" t="s">
        <v>51</v>
      </c>
      <c r="M738" s="2" t="s">
        <v>51</v>
      </c>
      <c r="N738" s="2" t="s">
        <v>52</v>
      </c>
      <c r="O738" s="3" t="n">
        <v>0</v>
      </c>
      <c r="P738" s="2" t="s">
        <v>131</v>
      </c>
      <c r="Q738" s="2" t="s">
        <v>132</v>
      </c>
      <c r="R738" s="2" t="s">
        <v>51</v>
      </c>
      <c r="S738" s="2" t="s">
        <v>51</v>
      </c>
      <c r="T738" s="2" t="s">
        <v>2836</v>
      </c>
      <c r="U738" s="2" t="s">
        <v>118</v>
      </c>
      <c r="V738" s="4" t="n">
        <v>592000</v>
      </c>
      <c r="W738" s="5" t="n">
        <v>8.23</v>
      </c>
      <c r="X738" s="3" t="n">
        <v>36</v>
      </c>
      <c r="Y738" s="6" t="n">
        <v>46188</v>
      </c>
      <c r="Z738" s="6"/>
      <c r="AA738" s="6"/>
      <c r="AB738" s="4" t="n">
        <f aca="false">ROUND(PMT(W738/1200,X738,-V738),2)</f>
        <v>18614.01</v>
      </c>
      <c r="AC738" s="4" t="n">
        <v>0</v>
      </c>
      <c r="AD738" s="3" t="n">
        <v>0</v>
      </c>
      <c r="AE738" s="4" t="n">
        <v>141100</v>
      </c>
      <c r="AF738" s="4" t="n">
        <v>54900</v>
      </c>
      <c r="AG738" s="3" t="n">
        <v>13</v>
      </c>
      <c r="AH738" s="4" t="n">
        <v>39800</v>
      </c>
      <c r="AI738" s="3" t="n">
        <v>852</v>
      </c>
      <c r="AJ738" s="7" t="n">
        <f aca="false">ROUND(AB738/I738,4)</f>
        <v>0.51</v>
      </c>
      <c r="AK738" s="2" t="str">
        <f aca="false">IF(AND(AI738&gt;=750,AJ738&lt;=0.35),"Low",IF(AND(AI738&gt;=600,AJ738&lt;=0.5),"Medium","High"))</f>
        <v>High</v>
      </c>
      <c r="AL738" s="3" t="n">
        <v>2</v>
      </c>
      <c r="AM738" s="2" t="s">
        <v>58</v>
      </c>
      <c r="AN738" s="2"/>
      <c r="AO738" s="2" t="s">
        <v>127</v>
      </c>
      <c r="AP738" s="7" t="n">
        <v>0.081</v>
      </c>
    </row>
    <row r="739" customFormat="false" ht="15" hidden="false" customHeight="false" outlineLevel="0" collapsed="false">
      <c r="A739" s="2" t="s">
        <v>2837</v>
      </c>
      <c r="B739" s="2" t="s">
        <v>2838</v>
      </c>
      <c r="C739" s="2" t="s">
        <v>2839</v>
      </c>
      <c r="D739" s="2" t="s">
        <v>45</v>
      </c>
      <c r="E739" s="3" t="n">
        <v>30</v>
      </c>
      <c r="F739" s="2" t="s">
        <v>64</v>
      </c>
      <c r="G739" s="2" t="s">
        <v>76</v>
      </c>
      <c r="H739" s="2" t="s">
        <v>77</v>
      </c>
      <c r="I739" s="4" t="n">
        <v>18500</v>
      </c>
      <c r="J739" s="2" t="s">
        <v>78</v>
      </c>
      <c r="K739" s="3" t="n">
        <v>8</v>
      </c>
      <c r="L739" s="2" t="s">
        <v>481</v>
      </c>
      <c r="M739" s="2" t="s">
        <v>159</v>
      </c>
      <c r="N739" s="2" t="s">
        <v>52</v>
      </c>
      <c r="O739" s="3" t="n">
        <v>1</v>
      </c>
      <c r="P739" s="2" t="s">
        <v>160</v>
      </c>
      <c r="Q739" s="2" t="s">
        <v>161</v>
      </c>
      <c r="R739" s="2" t="s">
        <v>159</v>
      </c>
      <c r="S739" s="2" t="s">
        <v>159</v>
      </c>
      <c r="T739" s="2" t="s">
        <v>2840</v>
      </c>
      <c r="U739" s="2" t="s">
        <v>72</v>
      </c>
      <c r="V739" s="4" t="n">
        <v>300000</v>
      </c>
      <c r="W739" s="5" t="n">
        <v>13.17</v>
      </c>
      <c r="X739" s="3" t="n">
        <v>36</v>
      </c>
      <c r="Y739" s="6" t="n">
        <v>46175</v>
      </c>
      <c r="Z739" s="6" t="n">
        <v>46176</v>
      </c>
      <c r="AA739" s="6" t="n">
        <v>46177</v>
      </c>
      <c r="AB739" s="4" t="n">
        <f aca="false">ROUND(PMT(W739/1200,X739,-V739),2)</f>
        <v>10132.77</v>
      </c>
      <c r="AC739" s="4" t="n">
        <v>314000</v>
      </c>
      <c r="AD739" s="3" t="n">
        <v>0</v>
      </c>
      <c r="AE739" s="4" t="n">
        <v>30500</v>
      </c>
      <c r="AF739" s="4" t="n">
        <v>16400</v>
      </c>
      <c r="AG739" s="3" t="n">
        <v>27</v>
      </c>
      <c r="AH739" s="4" t="n">
        <v>18000</v>
      </c>
      <c r="AI739" s="3" t="n">
        <v>575</v>
      </c>
      <c r="AJ739" s="7" t="n">
        <f aca="false">ROUND(AB739/I739,4)</f>
        <v>0.5477</v>
      </c>
      <c r="AK739" s="2" t="str">
        <f aca="false">IF(AND(AI739&gt;=750,AJ739&lt;=0.35),"Low",IF(AND(AI739&gt;=600,AJ739&lt;=0.5),"Medium","High"))</f>
        <v>High</v>
      </c>
      <c r="AL739" s="3" t="n">
        <v>2</v>
      </c>
      <c r="AM739" s="2" t="s">
        <v>233</v>
      </c>
      <c r="AN739" s="2" t="s">
        <v>119</v>
      </c>
      <c r="AO739" s="2" t="s">
        <v>86</v>
      </c>
      <c r="AP739" s="7" t="n">
        <v>0.479</v>
      </c>
    </row>
    <row r="740" customFormat="false" ht="15" hidden="false" customHeight="false" outlineLevel="0" collapsed="false">
      <c r="A740" s="2" t="s">
        <v>2841</v>
      </c>
      <c r="B740" s="2" t="s">
        <v>987</v>
      </c>
      <c r="C740" s="2" t="s">
        <v>2842</v>
      </c>
      <c r="D740" s="2" t="s">
        <v>45</v>
      </c>
      <c r="E740" s="3" t="n">
        <v>47</v>
      </c>
      <c r="F740" s="2" t="s">
        <v>64</v>
      </c>
      <c r="G740" s="2" t="s">
        <v>207</v>
      </c>
      <c r="H740" s="2" t="s">
        <v>101</v>
      </c>
      <c r="I740" s="4" t="n">
        <v>81500</v>
      </c>
      <c r="J740" s="2" t="s">
        <v>49</v>
      </c>
      <c r="K740" s="3" t="n">
        <v>19</v>
      </c>
      <c r="L740" s="2" t="s">
        <v>188</v>
      </c>
      <c r="M740" s="2" t="s">
        <v>51</v>
      </c>
      <c r="N740" s="2" t="s">
        <v>140</v>
      </c>
      <c r="O740" s="3" t="n">
        <v>0</v>
      </c>
      <c r="P740" s="2" t="s">
        <v>189</v>
      </c>
      <c r="Q740" s="2" t="s">
        <v>190</v>
      </c>
      <c r="R740" s="2" t="s">
        <v>188</v>
      </c>
      <c r="S740" s="2" t="s">
        <v>51</v>
      </c>
      <c r="T740" s="2" t="s">
        <v>2843</v>
      </c>
      <c r="U740" s="2" t="s">
        <v>97</v>
      </c>
      <c r="V740" s="4" t="n">
        <v>1139000</v>
      </c>
      <c r="W740" s="5" t="n">
        <v>15.91</v>
      </c>
      <c r="X740" s="3" t="n">
        <v>48</v>
      </c>
      <c r="Y740" s="6" t="n">
        <v>46194</v>
      </c>
      <c r="Z740" s="6" t="n">
        <v>46196</v>
      </c>
      <c r="AA740" s="6" t="n">
        <v>46198</v>
      </c>
      <c r="AB740" s="4" t="n">
        <f aca="false">ROUND(PMT(W740/1200,X740,-V740),2)</f>
        <v>32227.1</v>
      </c>
      <c r="AC740" s="4" t="n">
        <v>0</v>
      </c>
      <c r="AD740" s="3" t="n">
        <v>0</v>
      </c>
      <c r="AE740" s="4" t="n">
        <v>127600</v>
      </c>
      <c r="AF740" s="4" t="n">
        <v>15000</v>
      </c>
      <c r="AG740" s="3" t="n">
        <v>40</v>
      </c>
      <c r="AH740" s="4" t="n">
        <v>85500</v>
      </c>
      <c r="AI740" s="3" t="n">
        <v>784</v>
      </c>
      <c r="AJ740" s="7" t="n">
        <f aca="false">ROUND(AB740/I740,4)</f>
        <v>0.3954</v>
      </c>
      <c r="AK740" s="2" t="str">
        <f aca="false">IF(AND(AI740&gt;=750,AJ740&lt;=0.35),"Low",IF(AND(AI740&gt;=600,AJ740&lt;=0.5),"Medium","High"))</f>
        <v>Medium</v>
      </c>
      <c r="AL740" s="3" t="n">
        <v>1</v>
      </c>
      <c r="AM740" s="2" t="s">
        <v>58</v>
      </c>
      <c r="AN740" s="2" t="s">
        <v>59</v>
      </c>
      <c r="AO740" s="2" t="s">
        <v>60</v>
      </c>
      <c r="AP740" s="7" t="n">
        <v>0.179</v>
      </c>
    </row>
    <row r="741" customFormat="false" ht="15" hidden="false" customHeight="false" outlineLevel="0" collapsed="false">
      <c r="A741" s="2" t="s">
        <v>2844</v>
      </c>
      <c r="B741" s="2" t="s">
        <v>206</v>
      </c>
      <c r="C741" s="2" t="s">
        <v>2845</v>
      </c>
      <c r="D741" s="2" t="s">
        <v>45</v>
      </c>
      <c r="E741" s="3" t="n">
        <v>21</v>
      </c>
      <c r="F741" s="2" t="s">
        <v>46</v>
      </c>
      <c r="G741" s="2" t="s">
        <v>65</v>
      </c>
      <c r="H741" s="2" t="s">
        <v>101</v>
      </c>
      <c r="I741" s="4" t="n">
        <v>52000</v>
      </c>
      <c r="J741" s="2" t="s">
        <v>49</v>
      </c>
      <c r="K741" s="3" t="n">
        <v>0</v>
      </c>
      <c r="L741" s="2" t="s">
        <v>481</v>
      </c>
      <c r="M741" s="2" t="s">
        <v>159</v>
      </c>
      <c r="N741" s="2" t="s">
        <v>52</v>
      </c>
      <c r="O741" s="3" t="n">
        <v>0</v>
      </c>
      <c r="P741" s="2" t="s">
        <v>160</v>
      </c>
      <c r="Q741" s="2" t="s">
        <v>161</v>
      </c>
      <c r="R741" s="2" t="s">
        <v>159</v>
      </c>
      <c r="S741" s="2" t="s">
        <v>159</v>
      </c>
      <c r="T741" s="2" t="s">
        <v>2846</v>
      </c>
      <c r="U741" s="2" t="s">
        <v>72</v>
      </c>
      <c r="V741" s="4" t="n">
        <v>300000</v>
      </c>
      <c r="W741" s="5" t="n">
        <v>16.02</v>
      </c>
      <c r="X741" s="3" t="n">
        <v>18</v>
      </c>
      <c r="Y741" s="6" t="n">
        <v>46184</v>
      </c>
      <c r="Z741" s="6"/>
      <c r="AA741" s="6"/>
      <c r="AB741" s="4" t="n">
        <f aca="false">ROUND(PMT(W741/1200,X741,-V741),2)</f>
        <v>18859.76</v>
      </c>
      <c r="AC741" s="4" t="n">
        <v>395000</v>
      </c>
      <c r="AD741" s="3" t="n">
        <v>3</v>
      </c>
      <c r="AE741" s="4" t="n">
        <v>194700</v>
      </c>
      <c r="AF741" s="4" t="n">
        <v>22500</v>
      </c>
      <c r="AG741" s="3" t="n">
        <v>35</v>
      </c>
      <c r="AH741" s="4"/>
      <c r="AI741" s="3" t="n">
        <v>558</v>
      </c>
      <c r="AJ741" s="7" t="n">
        <f aca="false">ROUND(AB741/I741,4)</f>
        <v>0.3627</v>
      </c>
      <c r="AK741" s="2" t="str">
        <f aca="false">IF(AND(AI741&gt;=750,AJ741&lt;=0.35),"Low",IF(AND(AI741&gt;=600,AJ741&lt;=0.5),"Medium","High"))</f>
        <v>High</v>
      </c>
      <c r="AL741" s="3" t="n">
        <v>0</v>
      </c>
      <c r="AM741" s="2" t="s">
        <v>233</v>
      </c>
      <c r="AN741" s="2"/>
      <c r="AO741" s="2" t="s">
        <v>127</v>
      </c>
      <c r="AP741" s="7" t="n">
        <v>0.589</v>
      </c>
    </row>
    <row r="742" customFormat="false" ht="15" hidden="false" customHeight="false" outlineLevel="0" collapsed="false">
      <c r="A742" s="2" t="s">
        <v>2847</v>
      </c>
      <c r="B742" s="2" t="s">
        <v>2848</v>
      </c>
      <c r="C742" s="2" t="s">
        <v>2849</v>
      </c>
      <c r="D742" s="2" t="s">
        <v>109</v>
      </c>
      <c r="E742" s="3" t="n">
        <v>30</v>
      </c>
      <c r="F742" s="2" t="s">
        <v>64</v>
      </c>
      <c r="G742" s="2" t="s">
        <v>65</v>
      </c>
      <c r="H742" s="2" t="s">
        <v>101</v>
      </c>
      <c r="I742" s="4" t="n">
        <v>46000</v>
      </c>
      <c r="J742" s="2" t="s">
        <v>49</v>
      </c>
      <c r="K742" s="3"/>
      <c r="L742" s="2" t="s">
        <v>208</v>
      </c>
      <c r="M742" s="2" t="s">
        <v>114</v>
      </c>
      <c r="N742" s="2" t="s">
        <v>140</v>
      </c>
      <c r="O742" s="3" t="n">
        <v>2</v>
      </c>
      <c r="P742" s="2" t="s">
        <v>115</v>
      </c>
      <c r="Q742" s="2" t="s">
        <v>116</v>
      </c>
      <c r="R742" s="2" t="s">
        <v>114</v>
      </c>
      <c r="S742" s="2" t="s">
        <v>114</v>
      </c>
      <c r="T742" s="2" t="s">
        <v>2850</v>
      </c>
      <c r="U742" s="2" t="s">
        <v>57</v>
      </c>
      <c r="V742" s="4" t="n">
        <v>1764000</v>
      </c>
      <c r="W742" s="5" t="n">
        <v>9.81</v>
      </c>
      <c r="X742" s="3" t="n">
        <v>252</v>
      </c>
      <c r="Y742" s="6" t="n">
        <v>46187</v>
      </c>
      <c r="Z742" s="6" t="n">
        <v>46194</v>
      </c>
      <c r="AA742" s="6" t="n">
        <v>46195</v>
      </c>
      <c r="AB742" s="4" t="n">
        <f aca="false">ROUND(PMT(W742/1200,X742,-V742),2)</f>
        <v>16547.24</v>
      </c>
      <c r="AC742" s="4" t="n">
        <v>2302000</v>
      </c>
      <c r="AD742" s="3" t="n">
        <v>0</v>
      </c>
      <c r="AE742" s="4" t="n">
        <v>124200</v>
      </c>
      <c r="AF742" s="4"/>
      <c r="AG742" s="3" t="n">
        <v>9</v>
      </c>
      <c r="AH742" s="4" t="n">
        <v>36600</v>
      </c>
      <c r="AI742" s="3" t="n">
        <v>840</v>
      </c>
      <c r="AJ742" s="7" t="n">
        <f aca="false">ROUND(AB742/I742,4)</f>
        <v>0.3597</v>
      </c>
      <c r="AK742" s="2" t="str">
        <f aca="false">IF(AND(AI742&gt;=750,AJ742&lt;=0.35),"Low",IF(AND(AI742&gt;=600,AJ742&lt;=0.5),"Medium","High"))</f>
        <v>Medium</v>
      </c>
      <c r="AL742" s="3" t="n">
        <v>0</v>
      </c>
      <c r="AM742" s="2" t="s">
        <v>58</v>
      </c>
      <c r="AN742" s="2" t="s">
        <v>59</v>
      </c>
      <c r="AO742" s="2" t="s">
        <v>60</v>
      </c>
      <c r="AP742" s="7" t="n">
        <v>0.117</v>
      </c>
    </row>
    <row r="743" customFormat="false" ht="15" hidden="false" customHeight="false" outlineLevel="0" collapsed="false">
      <c r="A743" s="2" t="s">
        <v>2851</v>
      </c>
      <c r="B743" s="2" t="s">
        <v>2852</v>
      </c>
      <c r="C743" s="2" t="s">
        <v>773</v>
      </c>
      <c r="D743" s="2" t="s">
        <v>109</v>
      </c>
      <c r="E743" s="3" t="n">
        <v>38</v>
      </c>
      <c r="F743" s="2" t="s">
        <v>434</v>
      </c>
      <c r="G743" s="2" t="s">
        <v>154</v>
      </c>
      <c r="H743" s="2" t="s">
        <v>101</v>
      </c>
      <c r="I743" s="4" t="n">
        <v>60500</v>
      </c>
      <c r="J743" s="2" t="s">
        <v>145</v>
      </c>
      <c r="K743" s="3" t="n">
        <v>13</v>
      </c>
      <c r="L743" s="2" t="s">
        <v>139</v>
      </c>
      <c r="M743" s="2" t="s">
        <v>139</v>
      </c>
      <c r="N743" s="2" t="s">
        <v>81</v>
      </c>
      <c r="O743" s="3" t="n">
        <v>1</v>
      </c>
      <c r="P743" s="2" t="s">
        <v>197</v>
      </c>
      <c r="Q743" s="2" t="s">
        <v>198</v>
      </c>
      <c r="R743" s="2" t="s">
        <v>139</v>
      </c>
      <c r="S743" s="2" t="s">
        <v>139</v>
      </c>
      <c r="T743" s="2" t="s">
        <v>2853</v>
      </c>
      <c r="U743" s="2" t="s">
        <v>118</v>
      </c>
      <c r="V743" s="4" t="n">
        <v>430000</v>
      </c>
      <c r="W743" s="5" t="n">
        <v>8.86</v>
      </c>
      <c r="X743" s="3" t="n">
        <v>18</v>
      </c>
      <c r="Y743" s="6" t="n">
        <v>46198</v>
      </c>
      <c r="Z743" s="6"/>
      <c r="AA743" s="6"/>
      <c r="AB743" s="4" t="n">
        <f aca="false">ROUND(PMT(W743/1200,X743,-V743),2)</f>
        <v>25599.41</v>
      </c>
      <c r="AC743" s="4" t="n">
        <v>0</v>
      </c>
      <c r="AD743" s="3" t="n">
        <v>0</v>
      </c>
      <c r="AE743" s="4" t="n">
        <v>182600</v>
      </c>
      <c r="AF743" s="4" t="n">
        <v>58600</v>
      </c>
      <c r="AG743" s="3" t="n">
        <v>37</v>
      </c>
      <c r="AH743" s="4" t="n">
        <v>49900</v>
      </c>
      <c r="AI743" s="3" t="n">
        <v>812</v>
      </c>
      <c r="AJ743" s="7" t="n">
        <f aca="false">ROUND(AB743/I743,4)</f>
        <v>0.4231</v>
      </c>
      <c r="AK743" s="2" t="str">
        <f aca="false">IF(AND(AI743&gt;=750,AJ743&lt;=0.35),"Low",IF(AND(AI743&gt;=600,AJ743&lt;=0.5),"Medium","High"))</f>
        <v>Medium</v>
      </c>
      <c r="AL743" s="3" t="n">
        <v>0</v>
      </c>
      <c r="AM743" s="2" t="s">
        <v>58</v>
      </c>
      <c r="AN743" s="2"/>
      <c r="AO743" s="2" t="s">
        <v>134</v>
      </c>
      <c r="AP743" s="7" t="n">
        <v>0.112</v>
      </c>
    </row>
    <row r="744" customFormat="false" ht="15" hidden="false" customHeight="false" outlineLevel="0" collapsed="false">
      <c r="A744" s="2" t="s">
        <v>2854</v>
      </c>
      <c r="B744" s="2" t="s">
        <v>563</v>
      </c>
      <c r="C744" s="2" t="s">
        <v>2855</v>
      </c>
      <c r="D744" s="2" t="s">
        <v>45</v>
      </c>
      <c r="E744" s="3" t="n">
        <v>23</v>
      </c>
      <c r="F744" s="2" t="s">
        <v>64</v>
      </c>
      <c r="G744" s="2"/>
      <c r="H744" s="2" t="s">
        <v>167</v>
      </c>
      <c r="I744" s="4" t="n">
        <v>124500</v>
      </c>
      <c r="J744" s="2" t="s">
        <v>145</v>
      </c>
      <c r="K744" s="3" t="n">
        <v>2</v>
      </c>
      <c r="L744" s="2" t="s">
        <v>67</v>
      </c>
      <c r="M744" s="2" t="s">
        <v>67</v>
      </c>
      <c r="N744" s="2" t="s">
        <v>140</v>
      </c>
      <c r="O744" s="3" t="n">
        <v>1</v>
      </c>
      <c r="P744" s="2" t="s">
        <v>103</v>
      </c>
      <c r="Q744" s="2" t="s">
        <v>104</v>
      </c>
      <c r="R744" s="2" t="s">
        <v>67</v>
      </c>
      <c r="S744" s="2" t="s">
        <v>67</v>
      </c>
      <c r="T744" s="2" t="s">
        <v>2856</v>
      </c>
      <c r="U744" s="2" t="s">
        <v>85</v>
      </c>
      <c r="V744" s="4" t="n">
        <v>800000</v>
      </c>
      <c r="W744" s="5" t="n">
        <v>10.16</v>
      </c>
      <c r="X744" s="3" t="n">
        <v>30</v>
      </c>
      <c r="Y744" s="6" t="n">
        <v>46193</v>
      </c>
      <c r="Z744" s="6" t="n">
        <v>46199</v>
      </c>
      <c r="AA744" s="6" t="n">
        <v>46202</v>
      </c>
      <c r="AB744" s="4" t="n">
        <f aca="false">ROUND(PMT(W744/1200,X744,-V744),2)</f>
        <v>30308.68</v>
      </c>
      <c r="AC744" s="4" t="n">
        <v>0</v>
      </c>
      <c r="AD744" s="3" t="n">
        <v>1</v>
      </c>
      <c r="AE744" s="4" t="n">
        <v>485500</v>
      </c>
      <c r="AF744" s="4" t="n">
        <v>138900</v>
      </c>
      <c r="AG744" s="3" t="n">
        <v>10</v>
      </c>
      <c r="AH744" s="4" t="n">
        <v>74400</v>
      </c>
      <c r="AI744" s="3" t="n">
        <v>785</v>
      </c>
      <c r="AJ744" s="7" t="n">
        <f aca="false">ROUND(AB744/I744,4)</f>
        <v>0.2434</v>
      </c>
      <c r="AK744" s="2" t="str">
        <f aca="false">IF(AND(AI744&gt;=750,AJ744&lt;=0.35),"Low",IF(AND(AI744&gt;=600,AJ744&lt;=0.5),"Medium","High"))</f>
        <v>Low</v>
      </c>
      <c r="AL744" s="3" t="n">
        <v>1</v>
      </c>
      <c r="AM744" s="2" t="s">
        <v>58</v>
      </c>
      <c r="AN744" s="2" t="s">
        <v>119</v>
      </c>
      <c r="AO744" s="2" t="s">
        <v>60</v>
      </c>
      <c r="AP744" s="7" t="n">
        <v>0.156</v>
      </c>
    </row>
    <row r="745" customFormat="false" ht="15" hidden="false" customHeight="false" outlineLevel="0" collapsed="false">
      <c r="A745" s="2" t="s">
        <v>2857</v>
      </c>
      <c r="B745" s="2" t="s">
        <v>406</v>
      </c>
      <c r="C745" s="2" t="s">
        <v>2858</v>
      </c>
      <c r="D745" s="2" t="s">
        <v>45</v>
      </c>
      <c r="E745" s="3" t="n">
        <v>35</v>
      </c>
      <c r="F745" s="2" t="s">
        <v>64</v>
      </c>
      <c r="G745" s="2" t="s">
        <v>166</v>
      </c>
      <c r="H745" s="2" t="s">
        <v>48</v>
      </c>
      <c r="I745" s="4" t="n">
        <v>124500</v>
      </c>
      <c r="J745" s="2" t="s">
        <v>145</v>
      </c>
      <c r="K745" s="3"/>
      <c r="L745" s="2" t="s">
        <v>726</v>
      </c>
      <c r="M745" s="2" t="s">
        <v>147</v>
      </c>
      <c r="N745" s="2" t="s">
        <v>52</v>
      </c>
      <c r="O745" s="3" t="n">
        <v>4</v>
      </c>
      <c r="P745" s="2" t="s">
        <v>148</v>
      </c>
      <c r="Q745" s="2" t="s">
        <v>149</v>
      </c>
      <c r="R745" s="2" t="s">
        <v>147</v>
      </c>
      <c r="S745" s="2" t="s">
        <v>147</v>
      </c>
      <c r="T745" s="2" t="s">
        <v>2859</v>
      </c>
      <c r="U745" s="2" t="s">
        <v>72</v>
      </c>
      <c r="V745" s="4" t="n">
        <v>1826000</v>
      </c>
      <c r="W745" s="5" t="n">
        <v>15.75</v>
      </c>
      <c r="X745" s="3" t="n">
        <v>84</v>
      </c>
      <c r="Y745" s="6" t="n">
        <v>46191</v>
      </c>
      <c r="Z745" s="6" t="n">
        <v>46199</v>
      </c>
      <c r="AA745" s="6" t="n">
        <v>46204</v>
      </c>
      <c r="AB745" s="4" t="n">
        <f aca="false">ROUND(PMT(W745/1200,X745,-V745),2)</f>
        <v>36008.61</v>
      </c>
      <c r="AC745" s="4" t="n">
        <v>1905000</v>
      </c>
      <c r="AD745" s="3" t="n">
        <v>0</v>
      </c>
      <c r="AE745" s="4" t="n">
        <v>290600</v>
      </c>
      <c r="AF745" s="4" t="n">
        <v>162000</v>
      </c>
      <c r="AG745" s="3" t="n">
        <v>42</v>
      </c>
      <c r="AH745" s="4" t="n">
        <v>134300</v>
      </c>
      <c r="AI745" s="3" t="n">
        <v>780</v>
      </c>
      <c r="AJ745" s="7" t="n">
        <f aca="false">ROUND(AB745/I745,4)</f>
        <v>0.2892</v>
      </c>
      <c r="AK745" s="2" t="str">
        <f aca="false">IF(AND(AI745&gt;=750,AJ745&lt;=0.35),"Low",IF(AND(AI745&gt;=600,AJ745&lt;=0.5),"Medium","High"))</f>
        <v>Low</v>
      </c>
      <c r="AL745" s="3" t="n">
        <v>1</v>
      </c>
      <c r="AM745" s="2" t="s">
        <v>58</v>
      </c>
      <c r="AN745" s="2" t="s">
        <v>59</v>
      </c>
      <c r="AO745" s="2" t="s">
        <v>60</v>
      </c>
      <c r="AP745" s="7" t="n">
        <v>0.152</v>
      </c>
    </row>
    <row r="746" customFormat="false" ht="15" hidden="false" customHeight="false" outlineLevel="0" collapsed="false">
      <c r="A746" s="2" t="s">
        <v>2860</v>
      </c>
      <c r="B746" s="2" t="s">
        <v>2861</v>
      </c>
      <c r="C746" s="2" t="s">
        <v>1149</v>
      </c>
      <c r="D746" s="2" t="s">
        <v>45</v>
      </c>
      <c r="E746" s="3" t="n">
        <v>28</v>
      </c>
      <c r="F746" s="2" t="s">
        <v>46</v>
      </c>
      <c r="G746" s="2" t="s">
        <v>246</v>
      </c>
      <c r="H746" s="2" t="s">
        <v>111</v>
      </c>
      <c r="I746" s="4" t="n">
        <v>9000</v>
      </c>
      <c r="J746" s="2" t="s">
        <v>145</v>
      </c>
      <c r="K746" s="3" t="n">
        <v>1</v>
      </c>
      <c r="L746" s="2" t="s">
        <v>416</v>
      </c>
      <c r="M746" s="2" t="s">
        <v>147</v>
      </c>
      <c r="N746" s="2" t="s">
        <v>140</v>
      </c>
      <c r="O746" s="3" t="n">
        <v>0</v>
      </c>
      <c r="P746" s="2" t="s">
        <v>148</v>
      </c>
      <c r="Q746" s="2" t="s">
        <v>149</v>
      </c>
      <c r="R746" s="2" t="s">
        <v>147</v>
      </c>
      <c r="S746" s="2" t="s">
        <v>147</v>
      </c>
      <c r="T746" s="2" t="s">
        <v>2862</v>
      </c>
      <c r="U746" s="2" t="s">
        <v>85</v>
      </c>
      <c r="V746" s="4" t="n">
        <v>50000</v>
      </c>
      <c r="W746" s="5" t="n">
        <v>10.23</v>
      </c>
      <c r="X746" s="3" t="n">
        <v>12</v>
      </c>
      <c r="Y746" s="6" t="n">
        <v>46184</v>
      </c>
      <c r="Z746" s="6" t="n">
        <v>46194</v>
      </c>
      <c r="AA746" s="6" t="n">
        <v>46195</v>
      </c>
      <c r="AB746" s="4" t="n">
        <f aca="false">ROUND(PMT(W746/1200,X746,-V746),2)</f>
        <v>4401.14</v>
      </c>
      <c r="AC746" s="4" t="n">
        <v>0</v>
      </c>
      <c r="AD746" s="3" t="n">
        <v>1</v>
      </c>
      <c r="AE746" s="4" t="n">
        <v>28000</v>
      </c>
      <c r="AF746" s="4" t="n">
        <v>5900</v>
      </c>
      <c r="AG746" s="3" t="n">
        <v>22</v>
      </c>
      <c r="AH746" s="4" t="n">
        <v>3200</v>
      </c>
      <c r="AI746" s="3" t="n">
        <v>611</v>
      </c>
      <c r="AJ746" s="7" t="n">
        <f aca="false">ROUND(AB746/I746,4)</f>
        <v>0.489</v>
      </c>
      <c r="AK746" s="2" t="str">
        <f aca="false">IF(AND(AI746&gt;=750,AJ746&lt;=0.35),"Low",IF(AND(AI746&gt;=600,AJ746&lt;=0.5),"Medium","High"))</f>
        <v>Medium</v>
      </c>
      <c r="AL746" s="3" t="n">
        <v>1</v>
      </c>
      <c r="AM746" s="2" t="s">
        <v>58</v>
      </c>
      <c r="AN746" s="2" t="s">
        <v>59</v>
      </c>
      <c r="AO746" s="2" t="s">
        <v>60</v>
      </c>
      <c r="AP746" s="7" t="n">
        <v>0.352</v>
      </c>
    </row>
    <row r="747" customFormat="false" ht="15" hidden="false" customHeight="false" outlineLevel="0" collapsed="false">
      <c r="A747" s="2" t="s">
        <v>2863</v>
      </c>
      <c r="B747" s="2" t="s">
        <v>2864</v>
      </c>
      <c r="C747" s="2" t="s">
        <v>1714</v>
      </c>
      <c r="D747" s="2" t="s">
        <v>45</v>
      </c>
      <c r="E747" s="3" t="n">
        <v>29</v>
      </c>
      <c r="F747" s="2" t="s">
        <v>434</v>
      </c>
      <c r="G747" s="2" t="s">
        <v>246</v>
      </c>
      <c r="H747" s="2" t="s">
        <v>123</v>
      </c>
      <c r="I747" s="4" t="n">
        <v>21500</v>
      </c>
      <c r="J747" s="2" t="s">
        <v>145</v>
      </c>
      <c r="K747" s="3" t="n">
        <v>0</v>
      </c>
      <c r="L747" s="2" t="s">
        <v>504</v>
      </c>
      <c r="M747" s="2" t="s">
        <v>51</v>
      </c>
      <c r="N747" s="2" t="s">
        <v>52</v>
      </c>
      <c r="O747" s="3" t="n">
        <v>1</v>
      </c>
      <c r="P747" s="2" t="s">
        <v>131</v>
      </c>
      <c r="Q747" s="2" t="s">
        <v>132</v>
      </c>
      <c r="R747" s="2" t="s">
        <v>51</v>
      </c>
      <c r="S747" s="2" t="s">
        <v>51</v>
      </c>
      <c r="T747" s="2" t="s">
        <v>2865</v>
      </c>
      <c r="U747" s="2" t="s">
        <v>57</v>
      </c>
      <c r="V747" s="4" t="n">
        <v>800000</v>
      </c>
      <c r="W747" s="5" t="n">
        <v>9.68</v>
      </c>
      <c r="X747" s="3" t="n">
        <v>66</v>
      </c>
      <c r="Y747" s="6" t="n">
        <v>46189</v>
      </c>
      <c r="Z747" s="6"/>
      <c r="AA747" s="6"/>
      <c r="AB747" s="4" t="n">
        <f aca="false">ROUND(PMT(W747/1200,X747,-V747),2)</f>
        <v>15680.54</v>
      </c>
      <c r="AC747" s="4"/>
      <c r="AD747" s="3" t="n">
        <v>0</v>
      </c>
      <c r="AE747" s="4" t="n">
        <v>80900</v>
      </c>
      <c r="AF747" s="4" t="n">
        <v>33600</v>
      </c>
      <c r="AG747" s="3" t="n">
        <v>39</v>
      </c>
      <c r="AH747" s="4" t="n">
        <v>22500</v>
      </c>
      <c r="AI747" s="3" t="n">
        <v>858</v>
      </c>
      <c r="AJ747" s="7" t="n">
        <f aca="false">ROUND(AB747/I747,4)</f>
        <v>0.7293</v>
      </c>
      <c r="AK747" s="2" t="str">
        <f aca="false">IF(AND(AI747&gt;=750,AJ747&lt;=0.35),"Low",IF(AND(AI747&gt;=600,AJ747&lt;=0.5),"Medium","High"))</f>
        <v>High</v>
      </c>
      <c r="AL747" s="3" t="n">
        <v>1</v>
      </c>
      <c r="AM747" s="2" t="s">
        <v>58</v>
      </c>
      <c r="AN747" s="2"/>
      <c r="AO747" s="2" t="s">
        <v>127</v>
      </c>
      <c r="AP747" s="7" t="n">
        <v>0.081</v>
      </c>
    </row>
    <row r="748" customFormat="false" ht="15" hidden="false" customHeight="false" outlineLevel="0" collapsed="false">
      <c r="A748" s="2" t="s">
        <v>2866</v>
      </c>
      <c r="B748" s="2" t="s">
        <v>2867</v>
      </c>
      <c r="C748" s="2" t="s">
        <v>2795</v>
      </c>
      <c r="D748" s="2" t="s">
        <v>109</v>
      </c>
      <c r="E748" s="3" t="n">
        <v>33</v>
      </c>
      <c r="F748" s="2" t="s">
        <v>434</v>
      </c>
      <c r="G748" s="2" t="s">
        <v>110</v>
      </c>
      <c r="H748" s="2" t="s">
        <v>111</v>
      </c>
      <c r="I748" s="4" t="n">
        <v>11500</v>
      </c>
      <c r="J748" s="2" t="s">
        <v>112</v>
      </c>
      <c r="K748" s="3" t="n">
        <v>11</v>
      </c>
      <c r="L748" s="2" t="s">
        <v>51</v>
      </c>
      <c r="M748" s="2" t="s">
        <v>51</v>
      </c>
      <c r="N748" s="2" t="s">
        <v>140</v>
      </c>
      <c r="O748" s="3" t="n">
        <v>0</v>
      </c>
      <c r="P748" s="2" t="s">
        <v>131</v>
      </c>
      <c r="Q748" s="2" t="s">
        <v>132</v>
      </c>
      <c r="R748" s="2" t="s">
        <v>51</v>
      </c>
      <c r="S748" s="2" t="s">
        <v>51</v>
      </c>
      <c r="T748" s="2" t="s">
        <v>2868</v>
      </c>
      <c r="U748" s="2" t="s">
        <v>57</v>
      </c>
      <c r="V748" s="4" t="n">
        <v>800000</v>
      </c>
      <c r="W748" s="5" t="n">
        <v>10.84</v>
      </c>
      <c r="X748" s="3" t="n">
        <v>288</v>
      </c>
      <c r="Y748" s="6" t="n">
        <v>46203</v>
      </c>
      <c r="Z748" s="6"/>
      <c r="AA748" s="6"/>
      <c r="AB748" s="4" t="n">
        <f aca="false">ROUND(PMT(W748/1200,X748,-V748),2)</f>
        <v>7812.83</v>
      </c>
      <c r="AC748" s="4" t="n">
        <v>1151000</v>
      </c>
      <c r="AD748" s="3" t="n">
        <v>0</v>
      </c>
      <c r="AE748" s="4" t="n">
        <v>19700</v>
      </c>
      <c r="AF748" s="4" t="n">
        <v>5900</v>
      </c>
      <c r="AG748" s="3" t="n">
        <v>7</v>
      </c>
      <c r="AH748" s="4" t="n">
        <v>6800</v>
      </c>
      <c r="AI748" s="3" t="n">
        <v>705</v>
      </c>
      <c r="AJ748" s="7" t="n">
        <f aca="false">ROUND(AB748/I748,4)</f>
        <v>0.6794</v>
      </c>
      <c r="AK748" s="2" t="str">
        <f aca="false">IF(AND(AI748&gt;=750,AJ748&lt;=0.35),"Low",IF(AND(AI748&gt;=600,AJ748&lt;=0.5),"Medium","High"))</f>
        <v>High</v>
      </c>
      <c r="AL748" s="3" t="n">
        <v>2</v>
      </c>
      <c r="AM748" s="2" t="s">
        <v>58</v>
      </c>
      <c r="AN748" s="2"/>
      <c r="AO748" s="2" t="s">
        <v>127</v>
      </c>
      <c r="AP748" s="7" t="n">
        <v>0.247</v>
      </c>
    </row>
    <row r="749" customFormat="false" ht="15" hidden="false" customHeight="false" outlineLevel="0" collapsed="false">
      <c r="A749" s="2" t="s">
        <v>2869</v>
      </c>
      <c r="B749" s="2" t="s">
        <v>2870</v>
      </c>
      <c r="C749" s="2" t="s">
        <v>963</v>
      </c>
      <c r="D749" s="2" t="s">
        <v>109</v>
      </c>
      <c r="E749" s="3" t="n">
        <v>35</v>
      </c>
      <c r="F749" s="2" t="s">
        <v>64</v>
      </c>
      <c r="G749" s="2" t="s">
        <v>176</v>
      </c>
      <c r="H749" s="2" t="s">
        <v>48</v>
      </c>
      <c r="I749" s="4" t="n">
        <v>118000</v>
      </c>
      <c r="J749" s="2" t="s">
        <v>177</v>
      </c>
      <c r="K749" s="3" t="n">
        <v>11</v>
      </c>
      <c r="L749" s="2" t="s">
        <v>92</v>
      </c>
      <c r="M749" s="2" t="s">
        <v>92</v>
      </c>
      <c r="N749" s="2" t="s">
        <v>81</v>
      </c>
      <c r="O749" s="3" t="n">
        <v>2</v>
      </c>
      <c r="P749" s="2" t="s">
        <v>169</v>
      </c>
      <c r="Q749" s="2" t="s">
        <v>170</v>
      </c>
      <c r="R749" s="2" t="s">
        <v>92</v>
      </c>
      <c r="S749" s="2" t="s">
        <v>92</v>
      </c>
      <c r="T749" s="2" t="s">
        <v>2871</v>
      </c>
      <c r="U749" s="2" t="s">
        <v>180</v>
      </c>
      <c r="V749" s="4" t="n">
        <v>1152000</v>
      </c>
      <c r="W749" s="5" t="n">
        <v>13.01</v>
      </c>
      <c r="X749" s="3" t="n">
        <v>30</v>
      </c>
      <c r="Y749" s="6" t="n">
        <v>46184</v>
      </c>
      <c r="Z749" s="6"/>
      <c r="AA749" s="6"/>
      <c r="AB749" s="4" t="n">
        <f aca="false">ROUND(PMT(W749/1200,X749,-V749),2)</f>
        <v>45188.7</v>
      </c>
      <c r="AC749" s="4" t="n">
        <v>1342000</v>
      </c>
      <c r="AD749" s="3" t="n">
        <v>0</v>
      </c>
      <c r="AE749" s="4" t="n">
        <v>176700</v>
      </c>
      <c r="AF749" s="4" t="n">
        <v>54500</v>
      </c>
      <c r="AG749" s="3" t="n">
        <v>33</v>
      </c>
      <c r="AH749" s="4" t="n">
        <v>68800</v>
      </c>
      <c r="AI749" s="3" t="n">
        <v>685</v>
      </c>
      <c r="AJ749" s="7" t="n">
        <f aca="false">ROUND(AB749/I749,4)</f>
        <v>0.383</v>
      </c>
      <c r="AK749" s="2" t="str">
        <f aca="false">IF(AND(AI749&gt;=750,AJ749&lt;=0.35),"Low",IF(AND(AI749&gt;=600,AJ749&lt;=0.5),"Medium","High"))</f>
        <v>Medium</v>
      </c>
      <c r="AL749" s="3" t="n">
        <v>1</v>
      </c>
      <c r="AM749" s="2" t="s">
        <v>58</v>
      </c>
      <c r="AN749" s="2"/>
      <c r="AO749" s="2" t="s">
        <v>127</v>
      </c>
      <c r="AP749" s="7" t="n">
        <v>0.202</v>
      </c>
    </row>
    <row r="750" customFormat="false" ht="15" hidden="false" customHeight="false" outlineLevel="0" collapsed="false">
      <c r="A750" s="2" t="s">
        <v>2872</v>
      </c>
      <c r="B750" s="2" t="s">
        <v>2873</v>
      </c>
      <c r="C750" s="2" t="s">
        <v>2874</v>
      </c>
      <c r="D750" s="2" t="s">
        <v>45</v>
      </c>
      <c r="E750" s="3" t="n">
        <v>64</v>
      </c>
      <c r="F750" s="2" t="s">
        <v>64</v>
      </c>
      <c r="G750" s="2" t="s">
        <v>90</v>
      </c>
      <c r="H750" s="2" t="s">
        <v>101</v>
      </c>
      <c r="I750" s="4" t="n">
        <v>53500</v>
      </c>
      <c r="J750" s="2" t="s">
        <v>90</v>
      </c>
      <c r="K750" s="3" t="n">
        <v>45</v>
      </c>
      <c r="L750" s="2" t="s">
        <v>95</v>
      </c>
      <c r="M750" s="2" t="s">
        <v>92</v>
      </c>
      <c r="N750" s="2" t="s">
        <v>52</v>
      </c>
      <c r="O750" s="3" t="n">
        <v>2</v>
      </c>
      <c r="P750" s="2" t="s">
        <v>93</v>
      </c>
      <c r="Q750" s="2" t="s">
        <v>94</v>
      </c>
      <c r="R750" s="2" t="s">
        <v>95</v>
      </c>
      <c r="S750" s="2" t="s">
        <v>92</v>
      </c>
      <c r="T750" s="2" t="s">
        <v>2875</v>
      </c>
      <c r="U750" s="2" t="s">
        <v>180</v>
      </c>
      <c r="V750" s="4" t="n">
        <v>675000</v>
      </c>
      <c r="W750" s="5" t="n">
        <v>10.84</v>
      </c>
      <c r="X750" s="3" t="n">
        <v>42</v>
      </c>
      <c r="Y750" s="6" t="n">
        <v>46193</v>
      </c>
      <c r="Z750" s="6" t="n">
        <v>46196</v>
      </c>
      <c r="AA750" s="6" t="n">
        <v>46198</v>
      </c>
      <c r="AB750" s="4" t="n">
        <f aca="false">ROUND(PMT(W750/1200,X750,-V750),2)</f>
        <v>19384.12</v>
      </c>
      <c r="AC750" s="4" t="n">
        <v>855000</v>
      </c>
      <c r="AD750" s="3" t="n">
        <v>0</v>
      </c>
      <c r="AE750" s="4" t="n">
        <v>161800</v>
      </c>
      <c r="AF750" s="4" t="n">
        <v>21200</v>
      </c>
      <c r="AG750" s="3" t="n">
        <v>29</v>
      </c>
      <c r="AH750" s="4" t="n">
        <v>36100</v>
      </c>
      <c r="AI750" s="3" t="n">
        <v>815</v>
      </c>
      <c r="AJ750" s="7" t="n">
        <f aca="false">ROUND(AB750/I750,4)</f>
        <v>0.3623</v>
      </c>
      <c r="AK750" s="2" t="str">
        <f aca="false">IF(AND(AI750&gt;=750,AJ750&lt;=0.35),"Low",IF(AND(AI750&gt;=600,AJ750&lt;=0.5),"Medium","High"))</f>
        <v>Medium</v>
      </c>
      <c r="AL750" s="3" t="n">
        <v>0</v>
      </c>
      <c r="AM750" s="2" t="s">
        <v>58</v>
      </c>
      <c r="AN750" s="2" t="s">
        <v>59</v>
      </c>
      <c r="AO750" s="2" t="s">
        <v>60</v>
      </c>
      <c r="AP750" s="7" t="n">
        <v>0.105</v>
      </c>
    </row>
    <row r="751" customFormat="false" ht="15" hidden="false" customHeight="false" outlineLevel="0" collapsed="false">
      <c r="A751" s="2" t="s">
        <v>2876</v>
      </c>
      <c r="B751" s="2" t="s">
        <v>407</v>
      </c>
      <c r="C751" s="2" t="s">
        <v>2877</v>
      </c>
      <c r="D751" s="2" t="s">
        <v>45</v>
      </c>
      <c r="E751" s="3" t="n">
        <v>35</v>
      </c>
      <c r="F751" s="2"/>
      <c r="G751" s="2" t="s">
        <v>65</v>
      </c>
      <c r="H751" s="2" t="s">
        <v>101</v>
      </c>
      <c r="I751" s="4" t="n">
        <v>68000</v>
      </c>
      <c r="J751" s="2" t="s">
        <v>49</v>
      </c>
      <c r="K751" s="3" t="n">
        <v>7</v>
      </c>
      <c r="L751" s="2" t="s">
        <v>1866</v>
      </c>
      <c r="M751" s="2" t="s">
        <v>114</v>
      </c>
      <c r="N751" s="2" t="s">
        <v>52</v>
      </c>
      <c r="O751" s="3" t="n">
        <v>0</v>
      </c>
      <c r="P751" s="2" t="s">
        <v>115</v>
      </c>
      <c r="Q751" s="2" t="s">
        <v>116</v>
      </c>
      <c r="R751" s="2" t="s">
        <v>114</v>
      </c>
      <c r="S751" s="2" t="s">
        <v>114</v>
      </c>
      <c r="T751" s="2" t="s">
        <v>2878</v>
      </c>
      <c r="U751" s="2" t="s">
        <v>85</v>
      </c>
      <c r="V751" s="4" t="n">
        <v>701000</v>
      </c>
      <c r="W751" s="5" t="n">
        <v>8.19</v>
      </c>
      <c r="X751" s="3" t="n">
        <v>36</v>
      </c>
      <c r="Y751" s="6" t="n">
        <v>46198</v>
      </c>
      <c r="Z751" s="6" t="n">
        <v>46207</v>
      </c>
      <c r="AA751" s="6" t="n">
        <v>46210</v>
      </c>
      <c r="AB751" s="4" t="n">
        <f aca="false">ROUND(PMT(W751/1200,X751,-V751),2)</f>
        <v>22028.29</v>
      </c>
      <c r="AC751" s="4" t="n">
        <v>0</v>
      </c>
      <c r="AD751" s="3" t="n">
        <v>3</v>
      </c>
      <c r="AE751" s="4" t="n">
        <v>86300</v>
      </c>
      <c r="AF751" s="4" t="n">
        <v>29400</v>
      </c>
      <c r="AG751" s="3" t="n">
        <v>28</v>
      </c>
      <c r="AH751" s="4" t="n">
        <v>22700</v>
      </c>
      <c r="AI751" s="3" t="n">
        <v>827</v>
      </c>
      <c r="AJ751" s="7" t="n">
        <f aca="false">ROUND(AB751/I751,4)</f>
        <v>0.3239</v>
      </c>
      <c r="AK751" s="2" t="str">
        <f aca="false">IF(AND(AI751&gt;=750,AJ751&lt;=0.35),"Low",IF(AND(AI751&gt;=600,AJ751&lt;=0.5),"Medium","High"))</f>
        <v>Low</v>
      </c>
      <c r="AL751" s="3" t="n">
        <v>0</v>
      </c>
      <c r="AM751" s="2" t="s">
        <v>58</v>
      </c>
      <c r="AN751" s="2" t="s">
        <v>59</v>
      </c>
      <c r="AO751" s="2" t="s">
        <v>60</v>
      </c>
      <c r="AP751" s="7" t="n">
        <v>0.061</v>
      </c>
    </row>
    <row r="752" customFormat="false" ht="15" hidden="false" customHeight="false" outlineLevel="0" collapsed="false">
      <c r="A752" s="2" t="s">
        <v>2879</v>
      </c>
      <c r="B752" s="2" t="s">
        <v>1814</v>
      </c>
      <c r="C752" s="2" t="s">
        <v>2880</v>
      </c>
      <c r="D752" s="2" t="s">
        <v>45</v>
      </c>
      <c r="E752" s="3" t="n">
        <v>21</v>
      </c>
      <c r="F752" s="2" t="s">
        <v>64</v>
      </c>
      <c r="G752" s="2" t="s">
        <v>176</v>
      </c>
      <c r="H752" s="2" t="s">
        <v>123</v>
      </c>
      <c r="I752" s="4" t="n">
        <v>32500</v>
      </c>
      <c r="J752" s="2" t="s">
        <v>177</v>
      </c>
      <c r="K752" s="3" t="n">
        <v>0</v>
      </c>
      <c r="L752" s="2" t="s">
        <v>2455</v>
      </c>
      <c r="M752" s="2" t="s">
        <v>139</v>
      </c>
      <c r="N752" s="2" t="s">
        <v>52</v>
      </c>
      <c r="O752" s="3"/>
      <c r="P752" s="2" t="s">
        <v>197</v>
      </c>
      <c r="Q752" s="2" t="s">
        <v>198</v>
      </c>
      <c r="R752" s="2" t="s">
        <v>139</v>
      </c>
      <c r="S752" s="2" t="s">
        <v>139</v>
      </c>
      <c r="T752" s="2" t="s">
        <v>2881</v>
      </c>
      <c r="U752" s="2" t="s">
        <v>192</v>
      </c>
      <c r="V752" s="4" t="n">
        <v>321000</v>
      </c>
      <c r="W752" s="5" t="n">
        <v>14.46</v>
      </c>
      <c r="X752" s="3" t="n">
        <v>24</v>
      </c>
      <c r="Y752" s="6" t="n">
        <v>46185</v>
      </c>
      <c r="Z752" s="6" t="n">
        <v>46189</v>
      </c>
      <c r="AA752" s="6" t="n">
        <v>46195</v>
      </c>
      <c r="AB752" s="4" t="n">
        <f aca="false">ROUND(PMT(W752/1200,X752,-V752),2)</f>
        <v>15481.98</v>
      </c>
      <c r="AC752" s="4" t="n">
        <v>362000</v>
      </c>
      <c r="AD752" s="3" t="n">
        <v>1</v>
      </c>
      <c r="AE752" s="4" t="n">
        <v>103600</v>
      </c>
      <c r="AF752" s="4" t="n">
        <v>54500</v>
      </c>
      <c r="AG752" s="3" t="n">
        <v>21</v>
      </c>
      <c r="AH752" s="4" t="n">
        <v>30000</v>
      </c>
      <c r="AI752" s="3" t="n">
        <v>702</v>
      </c>
      <c r="AJ752" s="7" t="n">
        <f aca="false">ROUND(AB752/I752,4)</f>
        <v>0.4764</v>
      </c>
      <c r="AK752" s="2" t="str">
        <f aca="false">IF(AND(AI752&gt;=750,AJ752&lt;=0.35),"Low",IF(AND(AI752&gt;=600,AJ752&lt;=0.5),"Medium","High"))</f>
        <v>Medium</v>
      </c>
      <c r="AL752" s="3" t="n">
        <v>4</v>
      </c>
      <c r="AM752" s="2" t="s">
        <v>58</v>
      </c>
      <c r="AN752" s="2" t="s">
        <v>59</v>
      </c>
      <c r="AO752" s="2" t="s">
        <v>60</v>
      </c>
      <c r="AP752" s="7" t="n">
        <v>0.269</v>
      </c>
    </row>
    <row r="753" customFormat="false" ht="15" hidden="false" customHeight="false" outlineLevel="0" collapsed="false">
      <c r="A753" s="2" t="s">
        <v>2882</v>
      </c>
      <c r="B753" s="2" t="s">
        <v>1063</v>
      </c>
      <c r="C753" s="2" t="s">
        <v>2883</v>
      </c>
      <c r="D753" s="2" t="s">
        <v>45</v>
      </c>
      <c r="E753" s="3" t="n">
        <v>40</v>
      </c>
      <c r="F753" s="2" t="s">
        <v>46</v>
      </c>
      <c r="G753" s="2" t="s">
        <v>145</v>
      </c>
      <c r="H753" s="2" t="s">
        <v>77</v>
      </c>
      <c r="I753" s="4" t="n">
        <v>76000</v>
      </c>
      <c r="J753" s="2" t="s">
        <v>145</v>
      </c>
      <c r="K753" s="3" t="n">
        <v>14</v>
      </c>
      <c r="L753" s="2" t="s">
        <v>231</v>
      </c>
      <c r="M753" s="2" t="s">
        <v>92</v>
      </c>
      <c r="N753" s="2" t="s">
        <v>52</v>
      </c>
      <c r="O753" s="3" t="n">
        <v>1</v>
      </c>
      <c r="P753" s="2" t="s">
        <v>169</v>
      </c>
      <c r="Q753" s="2" t="s">
        <v>170</v>
      </c>
      <c r="R753" s="2" t="s">
        <v>92</v>
      </c>
      <c r="S753" s="2" t="s">
        <v>92</v>
      </c>
      <c r="T753" s="2" t="s">
        <v>2884</v>
      </c>
      <c r="U753" s="2" t="s">
        <v>192</v>
      </c>
      <c r="V753" s="4" t="n">
        <v>1190000</v>
      </c>
      <c r="W753" s="5" t="n">
        <v>11.71</v>
      </c>
      <c r="X753" s="3" t="n">
        <v>66</v>
      </c>
      <c r="Y753" s="6" t="n">
        <v>46187</v>
      </c>
      <c r="Z753" s="6" t="n">
        <v>46192</v>
      </c>
      <c r="AA753" s="6" t="n">
        <v>46195</v>
      </c>
      <c r="AB753" s="4" t="n">
        <f aca="false">ROUND(PMT(W753/1200,X753,-V753),2)</f>
        <v>24540.36</v>
      </c>
      <c r="AC753" s="4" t="n">
        <v>1483000</v>
      </c>
      <c r="AD753" s="3" t="n">
        <v>2</v>
      </c>
      <c r="AE753" s="4" t="n">
        <v>136200</v>
      </c>
      <c r="AF753" s="4" t="n">
        <v>74100</v>
      </c>
      <c r="AG753" s="3" t="n">
        <v>38</v>
      </c>
      <c r="AH753" s="4" t="n">
        <v>51000</v>
      </c>
      <c r="AI753" s="3" t="n">
        <v>825</v>
      </c>
      <c r="AJ753" s="7" t="n">
        <f aca="false">ROUND(AB753/I753,4)</f>
        <v>0.3229</v>
      </c>
      <c r="AK753" s="2" t="str">
        <f aca="false">IF(AND(AI753&gt;=750,AJ753&lt;=0.35),"Low",IF(AND(AI753&gt;=600,AJ753&lt;=0.5),"Medium","High"))</f>
        <v>Low</v>
      </c>
      <c r="AL753" s="3" t="n">
        <v>0</v>
      </c>
      <c r="AM753" s="2" t="s">
        <v>58</v>
      </c>
      <c r="AN753" s="2" t="s">
        <v>59</v>
      </c>
      <c r="AO753" s="2" t="s">
        <v>60</v>
      </c>
      <c r="AP753" s="7" t="n">
        <v>0.096</v>
      </c>
    </row>
    <row r="754" customFormat="false" ht="15" hidden="false" customHeight="false" outlineLevel="0" collapsed="false">
      <c r="A754" s="2" t="s">
        <v>2885</v>
      </c>
      <c r="B754" s="2" t="s">
        <v>2886</v>
      </c>
      <c r="C754" s="2" t="s">
        <v>2887</v>
      </c>
      <c r="D754" s="2" t="s">
        <v>109</v>
      </c>
      <c r="E754" s="3" t="n">
        <v>21</v>
      </c>
      <c r="F754" s="2" t="s">
        <v>434</v>
      </c>
      <c r="G754" s="2" t="s">
        <v>47</v>
      </c>
      <c r="H754" s="2" t="s">
        <v>48</v>
      </c>
      <c r="I754" s="4" t="n">
        <v>87000</v>
      </c>
      <c r="J754" s="2" t="s">
        <v>49</v>
      </c>
      <c r="K754" s="3" t="n">
        <v>1</v>
      </c>
      <c r="L754" s="2" t="s">
        <v>348</v>
      </c>
      <c r="M754" s="2" t="s">
        <v>67</v>
      </c>
      <c r="N754" s="2" t="s">
        <v>140</v>
      </c>
      <c r="O754" s="3" t="n">
        <v>0</v>
      </c>
      <c r="P754" s="2" t="s">
        <v>103</v>
      </c>
      <c r="Q754" s="2" t="s">
        <v>104</v>
      </c>
      <c r="R754" s="2" t="s">
        <v>67</v>
      </c>
      <c r="S754" s="2" t="s">
        <v>67</v>
      </c>
      <c r="T754" s="2" t="s">
        <v>2888</v>
      </c>
      <c r="U754" s="2" t="s">
        <v>118</v>
      </c>
      <c r="V754" s="4" t="n">
        <v>1418000</v>
      </c>
      <c r="W754" s="5" t="n">
        <v>9.52</v>
      </c>
      <c r="X754" s="3" t="n">
        <v>54</v>
      </c>
      <c r="Y754" s="6" t="n">
        <v>46190</v>
      </c>
      <c r="Z754" s="6"/>
      <c r="AA754" s="6"/>
      <c r="AB754" s="4" t="n">
        <f aca="false">ROUND(PMT(W754/1200,X754,-V754),2)</f>
        <v>32386.83</v>
      </c>
      <c r="AC754" s="4" t="n">
        <v>0</v>
      </c>
      <c r="AD754" s="3" t="n">
        <v>1</v>
      </c>
      <c r="AE754" s="4" t="n">
        <v>168000</v>
      </c>
      <c r="AF754" s="4" t="n">
        <v>75500</v>
      </c>
      <c r="AG754" s="3" t="n">
        <v>16</v>
      </c>
      <c r="AH754" s="4" t="n">
        <v>70600</v>
      </c>
      <c r="AI754" s="3" t="n">
        <v>726</v>
      </c>
      <c r="AJ754" s="7" t="n">
        <f aca="false">ROUND(AB754/I754,4)</f>
        <v>0.3723</v>
      </c>
      <c r="AK754" s="2" t="str">
        <f aca="false">IF(AND(AI754&gt;=750,AJ754&lt;=0.35),"Low",IF(AND(AI754&gt;=600,AJ754&lt;=0.5),"Medium","High"))</f>
        <v>Medium</v>
      </c>
      <c r="AL754" s="3" t="n">
        <v>0</v>
      </c>
      <c r="AM754" s="2" t="s">
        <v>58</v>
      </c>
      <c r="AN754" s="2"/>
      <c r="AO754" s="2" t="s">
        <v>134</v>
      </c>
      <c r="AP754" s="7" t="n">
        <v>0.176</v>
      </c>
    </row>
    <row r="755" customFormat="false" ht="15" hidden="false" customHeight="false" outlineLevel="0" collapsed="false">
      <c r="A755" s="2" t="s">
        <v>2889</v>
      </c>
      <c r="B755" s="2" t="s">
        <v>2385</v>
      </c>
      <c r="C755" s="2" t="s">
        <v>776</v>
      </c>
      <c r="D755" s="2" t="s">
        <v>45</v>
      </c>
      <c r="E755" s="3" t="n">
        <v>55</v>
      </c>
      <c r="F755" s="2" t="s">
        <v>64</v>
      </c>
      <c r="G755" s="2" t="s">
        <v>166</v>
      </c>
      <c r="H755" s="2" t="s">
        <v>48</v>
      </c>
      <c r="I755" s="4" t="n">
        <v>167500</v>
      </c>
      <c r="J755" s="2" t="s">
        <v>145</v>
      </c>
      <c r="K755" s="3" t="n">
        <v>36</v>
      </c>
      <c r="L755" s="2" t="s">
        <v>95</v>
      </c>
      <c r="M755" s="2" t="s">
        <v>92</v>
      </c>
      <c r="N755" s="2" t="s">
        <v>140</v>
      </c>
      <c r="O755" s="3" t="n">
        <v>3</v>
      </c>
      <c r="P755" s="2" t="s">
        <v>124</v>
      </c>
      <c r="Q755" s="2" t="s">
        <v>125</v>
      </c>
      <c r="R755" s="2" t="s">
        <v>91</v>
      </c>
      <c r="S755" s="2" t="s">
        <v>92</v>
      </c>
      <c r="T755" s="2" t="s">
        <v>2890</v>
      </c>
      <c r="U755" s="2" t="s">
        <v>72</v>
      </c>
      <c r="V755" s="4" t="n">
        <v>2613000</v>
      </c>
      <c r="W755" s="5" t="n">
        <v>15.97</v>
      </c>
      <c r="X755" s="3" t="n">
        <v>60</v>
      </c>
      <c r="Y755" s="6" t="n">
        <v>46201</v>
      </c>
      <c r="Z755" s="6"/>
      <c r="AA755" s="6"/>
      <c r="AB755" s="4" t="n">
        <f aca="false">ROUND(PMT(W755/1200,X755,-V755),2)</f>
        <v>63501.44</v>
      </c>
      <c r="AC755" s="4" t="n">
        <v>3507000</v>
      </c>
      <c r="AD755" s="3" t="n">
        <v>2</v>
      </c>
      <c r="AE755" s="4" t="n">
        <v>277300</v>
      </c>
      <c r="AF755" s="4" t="n">
        <v>102000</v>
      </c>
      <c r="AG755" s="3" t="n">
        <v>35</v>
      </c>
      <c r="AH755" s="4" t="n">
        <v>68600</v>
      </c>
      <c r="AI755" s="3" t="n">
        <v>586</v>
      </c>
      <c r="AJ755" s="7" t="n">
        <f aca="false">ROUND(AB755/I755,4)</f>
        <v>0.3791</v>
      </c>
      <c r="AK755" s="2" t="str">
        <f aca="false">IF(AND(AI755&gt;=750,AJ755&lt;=0.35),"Low",IF(AND(AI755&gt;=600,AJ755&lt;=0.5),"Medium","High"))</f>
        <v>High</v>
      </c>
      <c r="AL755" s="3" t="n">
        <v>3</v>
      </c>
      <c r="AM755" s="2" t="s">
        <v>58</v>
      </c>
      <c r="AN755" s="2"/>
      <c r="AO755" s="2" t="s">
        <v>134</v>
      </c>
      <c r="AP755" s="7" t="n">
        <v>0.388</v>
      </c>
    </row>
    <row r="756" customFormat="false" ht="15" hidden="false" customHeight="false" outlineLevel="0" collapsed="false">
      <c r="A756" s="2" t="s">
        <v>2891</v>
      </c>
      <c r="B756" s="2" t="s">
        <v>2892</v>
      </c>
      <c r="C756" s="2" t="s">
        <v>2454</v>
      </c>
      <c r="D756" s="2" t="s">
        <v>109</v>
      </c>
      <c r="E756" s="3" t="n">
        <v>25</v>
      </c>
      <c r="F756" s="2" t="s">
        <v>64</v>
      </c>
      <c r="G756" s="2" t="s">
        <v>76</v>
      </c>
      <c r="H756" s="2" t="s">
        <v>77</v>
      </c>
      <c r="I756" s="4" t="n">
        <v>33500</v>
      </c>
      <c r="J756" s="2" t="s">
        <v>78</v>
      </c>
      <c r="K756" s="3" t="n">
        <v>2</v>
      </c>
      <c r="L756" s="2" t="s">
        <v>147</v>
      </c>
      <c r="M756" s="2" t="s">
        <v>147</v>
      </c>
      <c r="N756" s="2" t="s">
        <v>140</v>
      </c>
      <c r="O756" s="3" t="n">
        <v>2</v>
      </c>
      <c r="P756" s="2" t="s">
        <v>115</v>
      </c>
      <c r="Q756" s="2" t="s">
        <v>116</v>
      </c>
      <c r="R756" s="2" t="s">
        <v>114</v>
      </c>
      <c r="S756" s="2" t="s">
        <v>114</v>
      </c>
      <c r="T756" s="2" t="s">
        <v>2893</v>
      </c>
      <c r="U756" s="2" t="s">
        <v>192</v>
      </c>
      <c r="V756" s="4" t="n">
        <v>220000</v>
      </c>
      <c r="W756" s="5" t="n">
        <v>10.62</v>
      </c>
      <c r="X756" s="3" t="n">
        <v>24</v>
      </c>
      <c r="Y756" s="6" t="n">
        <v>46185</v>
      </c>
      <c r="Z756" s="6"/>
      <c r="AA756" s="6"/>
      <c r="AB756" s="4" t="n">
        <f aca="false">ROUND(PMT(W756/1200,X756,-V756),2)</f>
        <v>10214.95</v>
      </c>
      <c r="AC756" s="4" t="n">
        <v>304000</v>
      </c>
      <c r="AD756" s="3" t="n">
        <v>1</v>
      </c>
      <c r="AE756" s="4" t="n">
        <v>78300</v>
      </c>
      <c r="AF756" s="4" t="n">
        <v>8700</v>
      </c>
      <c r="AG756" s="3" t="n">
        <v>24</v>
      </c>
      <c r="AH756" s="4" t="n">
        <v>29300</v>
      </c>
      <c r="AI756" s="3" t="n">
        <v>710</v>
      </c>
      <c r="AJ756" s="7" t="n">
        <f aca="false">ROUND(AB756/I756,4)</f>
        <v>0.3049</v>
      </c>
      <c r="AK756" s="2" t="str">
        <f aca="false">IF(AND(AI756&gt;=750,AJ756&lt;=0.35),"Low",IF(AND(AI756&gt;=600,AJ756&lt;=0.5),"Medium","High"))</f>
        <v>Medium</v>
      </c>
      <c r="AL756" s="3" t="n">
        <v>0</v>
      </c>
      <c r="AM756" s="2" t="s">
        <v>58</v>
      </c>
      <c r="AN756" s="2"/>
      <c r="AO756" s="2" t="s">
        <v>127</v>
      </c>
      <c r="AP756" s="7" t="n">
        <v>0.254</v>
      </c>
    </row>
    <row r="757" customFormat="false" ht="15" hidden="false" customHeight="false" outlineLevel="0" collapsed="false">
      <c r="A757" s="2" t="s">
        <v>2894</v>
      </c>
      <c r="B757" s="2" t="s">
        <v>2895</v>
      </c>
      <c r="C757" s="2" t="s">
        <v>2896</v>
      </c>
      <c r="D757" s="2" t="s">
        <v>45</v>
      </c>
      <c r="E757" s="3" t="n">
        <v>40</v>
      </c>
      <c r="F757" s="2" t="s">
        <v>64</v>
      </c>
      <c r="G757" s="2" t="s">
        <v>154</v>
      </c>
      <c r="H757" s="2" t="s">
        <v>101</v>
      </c>
      <c r="I757" s="4" t="n">
        <v>47000</v>
      </c>
      <c r="J757" s="2" t="s">
        <v>145</v>
      </c>
      <c r="K757" s="3" t="n">
        <v>14</v>
      </c>
      <c r="L757" s="2" t="s">
        <v>147</v>
      </c>
      <c r="M757" s="2" t="s">
        <v>147</v>
      </c>
      <c r="N757" s="2" t="s">
        <v>52</v>
      </c>
      <c r="O757" s="3" t="n">
        <v>0</v>
      </c>
      <c r="P757" s="2" t="s">
        <v>148</v>
      </c>
      <c r="Q757" s="2" t="s">
        <v>149</v>
      </c>
      <c r="R757" s="2" t="s">
        <v>147</v>
      </c>
      <c r="S757" s="2" t="s">
        <v>147</v>
      </c>
      <c r="T757" s="2" t="s">
        <v>2897</v>
      </c>
      <c r="U757" s="2" t="s">
        <v>57</v>
      </c>
      <c r="V757" s="4" t="n">
        <v>1195000</v>
      </c>
      <c r="W757" s="5" t="n">
        <v>10.58</v>
      </c>
      <c r="X757" s="3" t="n">
        <v>216</v>
      </c>
      <c r="Y757" s="6" t="n">
        <v>46201</v>
      </c>
      <c r="Z757" s="6" t="n">
        <v>46211</v>
      </c>
      <c r="AA757" s="6" t="n">
        <v>46214</v>
      </c>
      <c r="AB757" s="4" t="n">
        <f aca="false">ROUND(PMT(W757/1200,X757,-V757),2)</f>
        <v>12397.53</v>
      </c>
      <c r="AC757" s="4" t="n">
        <v>1310000</v>
      </c>
      <c r="AD757" s="3" t="n">
        <v>0</v>
      </c>
      <c r="AE757" s="4" t="n">
        <v>86500</v>
      </c>
      <c r="AF757" s="4" t="n">
        <v>17500</v>
      </c>
      <c r="AG757" s="3"/>
      <c r="AH757" s="4" t="n">
        <v>38300</v>
      </c>
      <c r="AI757" s="3" t="n">
        <v>835</v>
      </c>
      <c r="AJ757" s="7" t="n">
        <f aca="false">ROUND(AB757/I757,4)</f>
        <v>0.2638</v>
      </c>
      <c r="AK757" s="2" t="str">
        <f aca="false">IF(AND(AI757&gt;=750,AJ757&lt;=0.35),"Low",IF(AND(AI757&gt;=600,AJ757&lt;=0.5),"Medium","High"))</f>
        <v>Low</v>
      </c>
      <c r="AL757" s="3" t="n">
        <v>0</v>
      </c>
      <c r="AM757" s="2" t="s">
        <v>58</v>
      </c>
      <c r="AN757" s="2" t="s">
        <v>59</v>
      </c>
      <c r="AO757" s="2" t="s">
        <v>60</v>
      </c>
      <c r="AP757" s="7" t="n">
        <v>0.07</v>
      </c>
    </row>
    <row r="758" customFormat="false" ht="15" hidden="false" customHeight="false" outlineLevel="0" collapsed="false">
      <c r="A758" s="2" t="s">
        <v>2898</v>
      </c>
      <c r="B758" s="2" t="s">
        <v>2899</v>
      </c>
      <c r="C758" s="2" t="s">
        <v>2900</v>
      </c>
      <c r="D758" s="2" t="s">
        <v>109</v>
      </c>
      <c r="E758" s="3" t="n">
        <v>63</v>
      </c>
      <c r="F758" s="2" t="s">
        <v>46</v>
      </c>
      <c r="G758" s="2" t="s">
        <v>110</v>
      </c>
      <c r="H758" s="2" t="s">
        <v>48</v>
      </c>
      <c r="I758" s="4" t="n">
        <v>37000</v>
      </c>
      <c r="J758" s="2" t="s">
        <v>112</v>
      </c>
      <c r="K758" s="3" t="n">
        <v>43</v>
      </c>
      <c r="L758" s="2" t="s">
        <v>476</v>
      </c>
      <c r="M758" s="2" t="s">
        <v>67</v>
      </c>
      <c r="N758" s="2" t="s">
        <v>52</v>
      </c>
      <c r="O758" s="3" t="n">
        <v>1</v>
      </c>
      <c r="P758" s="2" t="s">
        <v>103</v>
      </c>
      <c r="Q758" s="2" t="s">
        <v>104</v>
      </c>
      <c r="R758" s="2" t="s">
        <v>67</v>
      </c>
      <c r="S758" s="2" t="s">
        <v>67</v>
      </c>
      <c r="T758" s="2" t="s">
        <v>2901</v>
      </c>
      <c r="U758" s="2" t="s">
        <v>72</v>
      </c>
      <c r="V758" s="4" t="n">
        <v>300000</v>
      </c>
      <c r="W758" s="5" t="n">
        <v>14.18</v>
      </c>
      <c r="X758" s="3" t="n">
        <v>24</v>
      </c>
      <c r="Y758" s="6" t="n">
        <v>46198</v>
      </c>
      <c r="Z758" s="6" t="n">
        <v>46207</v>
      </c>
      <c r="AA758" s="6" t="n">
        <v>46213</v>
      </c>
      <c r="AB758" s="4" t="n">
        <f aca="false">ROUND(PMT(W758/1200,X758,-V758),2)</f>
        <v>14429.39</v>
      </c>
      <c r="AC758" s="4" t="n">
        <v>440000</v>
      </c>
      <c r="AD758" s="3" t="n">
        <v>1</v>
      </c>
      <c r="AE758" s="4" t="n">
        <v>30900</v>
      </c>
      <c r="AF758" s="4" t="n">
        <v>8600</v>
      </c>
      <c r="AG758" s="3" t="n">
        <v>5</v>
      </c>
      <c r="AH758" s="4" t="n">
        <v>18500</v>
      </c>
      <c r="AI758" s="3" t="n">
        <v>696</v>
      </c>
      <c r="AJ758" s="7" t="n">
        <f aca="false">ROUND(AB758/I758,4)</f>
        <v>0.39</v>
      </c>
      <c r="AK758" s="2" t="str">
        <f aca="false">IF(AND(AI758&gt;=750,AJ758&lt;=0.35),"Low",IF(AND(AI758&gt;=600,AJ758&lt;=0.5),"Medium","High"))</f>
        <v>Medium</v>
      </c>
      <c r="AL758" s="3" t="n">
        <v>1</v>
      </c>
      <c r="AM758" s="2" t="s">
        <v>58</v>
      </c>
      <c r="AN758" s="2" t="s">
        <v>59</v>
      </c>
      <c r="AO758" s="2" t="s">
        <v>60</v>
      </c>
      <c r="AP758" s="7" t="n">
        <v>0.287</v>
      </c>
    </row>
    <row r="759" customFormat="false" ht="15" hidden="false" customHeight="false" outlineLevel="0" collapsed="false">
      <c r="A759" s="2" t="s">
        <v>2902</v>
      </c>
      <c r="B759" s="2" t="s">
        <v>828</v>
      </c>
      <c r="C759" s="2" t="s">
        <v>1317</v>
      </c>
      <c r="D759" s="2" t="s">
        <v>45</v>
      </c>
      <c r="E759" s="3" t="n">
        <v>45</v>
      </c>
      <c r="F759" s="2" t="s">
        <v>64</v>
      </c>
      <c r="G759" s="2" t="s">
        <v>90</v>
      </c>
      <c r="H759" s="2" t="s">
        <v>77</v>
      </c>
      <c r="I759" s="4" t="n">
        <v>53500</v>
      </c>
      <c r="J759" s="2" t="s">
        <v>90</v>
      </c>
      <c r="K759" s="3" t="n">
        <v>16</v>
      </c>
      <c r="L759" s="2" t="s">
        <v>1378</v>
      </c>
      <c r="M759" s="2" t="s">
        <v>139</v>
      </c>
      <c r="N759" s="2" t="s">
        <v>52</v>
      </c>
      <c r="O759" s="3" t="n">
        <v>3</v>
      </c>
      <c r="P759" s="2" t="s">
        <v>197</v>
      </c>
      <c r="Q759" s="2" t="s">
        <v>198</v>
      </c>
      <c r="R759" s="2" t="s">
        <v>139</v>
      </c>
      <c r="S759" s="2" t="s">
        <v>139</v>
      </c>
      <c r="T759" s="2" t="s">
        <v>2903</v>
      </c>
      <c r="U759" s="2" t="s">
        <v>97</v>
      </c>
      <c r="V759" s="4" t="n">
        <v>1195000</v>
      </c>
      <c r="W759" s="5" t="n">
        <v>11.56</v>
      </c>
      <c r="X759" s="3" t="n">
        <v>54</v>
      </c>
      <c r="Y759" s="6" t="n">
        <v>46185</v>
      </c>
      <c r="Z759" s="6"/>
      <c r="AA759" s="6"/>
      <c r="AB759" s="4" t="n">
        <f aca="false">ROUND(PMT(W759/1200,X759,-V759),2)</f>
        <v>28486.41</v>
      </c>
      <c r="AC759" s="4" t="n">
        <v>0</v>
      </c>
      <c r="AD759" s="3" t="n">
        <v>0</v>
      </c>
      <c r="AE759" s="4" t="n">
        <v>193600</v>
      </c>
      <c r="AF759" s="4" t="n">
        <v>76800</v>
      </c>
      <c r="AG759" s="3" t="n">
        <v>40</v>
      </c>
      <c r="AH759" s="4" t="n">
        <v>50500</v>
      </c>
      <c r="AI759" s="3" t="n">
        <v>798</v>
      </c>
      <c r="AJ759" s="7" t="n">
        <f aca="false">ROUND(AB759/I759,4)</f>
        <v>0.5325</v>
      </c>
      <c r="AK759" s="2" t="str">
        <f aca="false">IF(AND(AI759&gt;=750,AJ759&lt;=0.35),"Low",IF(AND(AI759&gt;=600,AJ759&lt;=0.5),"Medium","High"))</f>
        <v>High</v>
      </c>
      <c r="AL759" s="3" t="n">
        <v>0</v>
      </c>
      <c r="AM759" s="2" t="s">
        <v>233</v>
      </c>
      <c r="AN759" s="2"/>
      <c r="AO759" s="2" t="s">
        <v>127</v>
      </c>
      <c r="AP759" s="7" t="n">
        <v>0.22</v>
      </c>
    </row>
    <row r="760" customFormat="false" ht="15" hidden="false" customHeight="false" outlineLevel="0" collapsed="false">
      <c r="A760" s="2" t="s">
        <v>2904</v>
      </c>
      <c r="B760" s="2" t="s">
        <v>277</v>
      </c>
      <c r="C760" s="2" t="s">
        <v>1571</v>
      </c>
      <c r="D760" s="2" t="s">
        <v>45</v>
      </c>
      <c r="E760" s="3" t="n">
        <v>27</v>
      </c>
      <c r="F760" s="2" t="s">
        <v>64</v>
      </c>
      <c r="G760" s="2" t="s">
        <v>246</v>
      </c>
      <c r="H760" s="2" t="s">
        <v>77</v>
      </c>
      <c r="I760" s="4" t="n">
        <v>16500</v>
      </c>
      <c r="J760" s="2" t="s">
        <v>145</v>
      </c>
      <c r="K760" s="3" t="n">
        <v>4</v>
      </c>
      <c r="L760" s="2" t="s">
        <v>80</v>
      </c>
      <c r="M760" s="2" t="s">
        <v>80</v>
      </c>
      <c r="N760" s="2" t="s">
        <v>81</v>
      </c>
      <c r="O760" s="3" t="n">
        <v>1</v>
      </c>
      <c r="P760" s="2" t="s">
        <v>82</v>
      </c>
      <c r="Q760" s="2" t="s">
        <v>83</v>
      </c>
      <c r="R760" s="2" t="s">
        <v>80</v>
      </c>
      <c r="S760" s="2" t="s">
        <v>80</v>
      </c>
      <c r="T760" s="2" t="s">
        <v>2905</v>
      </c>
      <c r="U760" s="2" t="s">
        <v>85</v>
      </c>
      <c r="V760" s="4" t="n">
        <v>63000</v>
      </c>
      <c r="W760" s="5" t="n">
        <v>9.8</v>
      </c>
      <c r="X760" s="3" t="n">
        <v>24</v>
      </c>
      <c r="Y760" s="6" t="n">
        <v>46194</v>
      </c>
      <c r="Z760" s="6"/>
      <c r="AA760" s="6"/>
      <c r="AB760" s="4" t="n">
        <f aca="false">ROUND(PMT(W760/1200,X760,-V760),2)</f>
        <v>2901.32</v>
      </c>
      <c r="AC760" s="4" t="n">
        <v>0</v>
      </c>
      <c r="AD760" s="3" t="n">
        <v>1</v>
      </c>
      <c r="AE760" s="4" t="n">
        <v>9700</v>
      </c>
      <c r="AF760" s="4" t="n">
        <v>3700</v>
      </c>
      <c r="AG760" s="3" t="n">
        <v>38</v>
      </c>
      <c r="AH760" s="4" t="n">
        <v>16600</v>
      </c>
      <c r="AI760" s="3" t="n">
        <v>706</v>
      </c>
      <c r="AJ760" s="7" t="n">
        <f aca="false">ROUND(AB760/I760,4)</f>
        <v>0.1758</v>
      </c>
      <c r="AK760" s="2" t="str">
        <f aca="false">IF(AND(AI760&gt;=750,AJ760&lt;=0.35),"Low",IF(AND(AI760&gt;=600,AJ760&lt;=0.5),"Medium","High"))</f>
        <v>Medium</v>
      </c>
      <c r="AL760" s="3" t="n">
        <v>1</v>
      </c>
      <c r="AM760" s="2" t="s">
        <v>58</v>
      </c>
      <c r="AN760" s="2"/>
      <c r="AO760" s="2" t="s">
        <v>127</v>
      </c>
      <c r="AP760" s="7" t="n">
        <v>0.292</v>
      </c>
    </row>
    <row r="761" customFormat="false" ht="15" hidden="false" customHeight="false" outlineLevel="0" collapsed="false">
      <c r="A761" s="2" t="s">
        <v>2906</v>
      </c>
      <c r="B761" s="2" t="s">
        <v>2672</v>
      </c>
      <c r="C761" s="2" t="s">
        <v>2907</v>
      </c>
      <c r="D761" s="2" t="s">
        <v>45</v>
      </c>
      <c r="E761" s="3" t="n">
        <v>37</v>
      </c>
      <c r="F761" s="2" t="s">
        <v>46</v>
      </c>
      <c r="G761" s="2" t="s">
        <v>145</v>
      </c>
      <c r="H761" s="2" t="s">
        <v>123</v>
      </c>
      <c r="I761" s="4" t="n">
        <v>28500</v>
      </c>
      <c r="J761" s="2" t="s">
        <v>145</v>
      </c>
      <c r="K761" s="3" t="n">
        <v>11</v>
      </c>
      <c r="L761" s="2" t="s">
        <v>504</v>
      </c>
      <c r="M761" s="2" t="s">
        <v>51</v>
      </c>
      <c r="N761" s="2" t="s">
        <v>52</v>
      </c>
      <c r="O761" s="3" t="n">
        <v>1</v>
      </c>
      <c r="P761" s="2" t="s">
        <v>189</v>
      </c>
      <c r="Q761" s="2" t="s">
        <v>190</v>
      </c>
      <c r="R761" s="2" t="s">
        <v>188</v>
      </c>
      <c r="S761" s="2" t="s">
        <v>51</v>
      </c>
      <c r="T761" s="2" t="s">
        <v>2908</v>
      </c>
      <c r="U761" s="2" t="s">
        <v>97</v>
      </c>
      <c r="V761" s="4" t="n">
        <v>392000</v>
      </c>
      <c r="W761" s="5" t="n">
        <v>11.58</v>
      </c>
      <c r="X761" s="3" t="n">
        <v>36</v>
      </c>
      <c r="Y761" s="6" t="n">
        <v>46202</v>
      </c>
      <c r="Z761" s="6" t="n">
        <v>46204</v>
      </c>
      <c r="AA761" s="6" t="n">
        <v>46207</v>
      </c>
      <c r="AB761" s="4" t="n">
        <f aca="false">ROUND(PMT(W761/1200,X761,-V761),2)</f>
        <v>12941.51</v>
      </c>
      <c r="AC761" s="4" t="n">
        <v>0</v>
      </c>
      <c r="AD761" s="3" t="n">
        <v>0</v>
      </c>
      <c r="AE761" s="4" t="n">
        <v>91500</v>
      </c>
      <c r="AF761" s="4" t="n">
        <v>43000</v>
      </c>
      <c r="AG761" s="3" t="n">
        <v>57</v>
      </c>
      <c r="AH761" s="4" t="n">
        <v>20800</v>
      </c>
      <c r="AI761" s="3" t="n">
        <v>700</v>
      </c>
      <c r="AJ761" s="7" t="n">
        <f aca="false">ROUND(AB761/I761,4)</f>
        <v>0.4541</v>
      </c>
      <c r="AK761" s="2" t="str">
        <f aca="false">IF(AND(AI761&gt;=750,AJ761&lt;=0.35),"Low",IF(AND(AI761&gt;=600,AJ761&lt;=0.5),"Medium","High"))</f>
        <v>Medium</v>
      </c>
      <c r="AL761" s="3" t="n">
        <v>3</v>
      </c>
      <c r="AM761" s="2" t="s">
        <v>58</v>
      </c>
      <c r="AN761" s="2" t="s">
        <v>59</v>
      </c>
      <c r="AO761" s="2" t="s">
        <v>86</v>
      </c>
      <c r="AP761" s="7" t="n">
        <v>0.208</v>
      </c>
    </row>
    <row r="762" customFormat="false" ht="15" hidden="false" customHeight="false" outlineLevel="0" collapsed="false">
      <c r="A762" s="2" t="s">
        <v>2909</v>
      </c>
      <c r="B762" s="2" t="s">
        <v>2676</v>
      </c>
      <c r="C762" s="2" t="s">
        <v>2910</v>
      </c>
      <c r="D762" s="2" t="s">
        <v>45</v>
      </c>
      <c r="E762" s="3" t="n">
        <v>21</v>
      </c>
      <c r="F762" s="2" t="s">
        <v>64</v>
      </c>
      <c r="G762" s="2" t="s">
        <v>166</v>
      </c>
      <c r="H762" s="2" t="s">
        <v>101</v>
      </c>
      <c r="I762" s="4" t="n">
        <v>108000</v>
      </c>
      <c r="J762" s="2" t="s">
        <v>145</v>
      </c>
      <c r="K762" s="3" t="n">
        <v>0</v>
      </c>
      <c r="L762" s="2" t="s">
        <v>220</v>
      </c>
      <c r="M762" s="2" t="s">
        <v>51</v>
      </c>
      <c r="N762" s="2" t="s">
        <v>52</v>
      </c>
      <c r="O762" s="3" t="n">
        <v>2</v>
      </c>
      <c r="P762" s="2" t="s">
        <v>189</v>
      </c>
      <c r="Q762" s="2" t="s">
        <v>190</v>
      </c>
      <c r="R762" s="2" t="s">
        <v>188</v>
      </c>
      <c r="S762" s="2" t="s">
        <v>51</v>
      </c>
      <c r="T762" s="2" t="s">
        <v>2911</v>
      </c>
      <c r="U762" s="2" t="s">
        <v>118</v>
      </c>
      <c r="V762" s="4" t="n">
        <v>994000</v>
      </c>
      <c r="W762" s="5" t="n">
        <v>7.82</v>
      </c>
      <c r="X762" s="3" t="n">
        <v>54</v>
      </c>
      <c r="Y762" s="6" t="n">
        <v>46174</v>
      </c>
      <c r="Z762" s="6"/>
      <c r="AA762" s="6"/>
      <c r="AB762" s="4" t="n">
        <f aca="false">ROUND(PMT(W762/1200,X762,-V762),2)</f>
        <v>21895.05</v>
      </c>
      <c r="AC762" s="4" t="n">
        <v>0</v>
      </c>
      <c r="AD762" s="3" t="n">
        <v>1</v>
      </c>
      <c r="AE762" s="4" t="n">
        <v>308000</v>
      </c>
      <c r="AF762" s="4" t="n">
        <v>180300</v>
      </c>
      <c r="AG762" s="3" t="n">
        <v>20</v>
      </c>
      <c r="AH762" s="4" t="n">
        <v>54400</v>
      </c>
      <c r="AI762" s="3" t="n">
        <v>659</v>
      </c>
      <c r="AJ762" s="7" t="n">
        <f aca="false">ROUND(AB762/I762,4)</f>
        <v>0.2027</v>
      </c>
      <c r="AK762" s="2" t="str">
        <f aca="false">IF(AND(AI762&gt;=750,AJ762&lt;=0.35),"Low",IF(AND(AI762&gt;=600,AJ762&lt;=0.5),"Medium","High"))</f>
        <v>Medium</v>
      </c>
      <c r="AL762" s="3" t="n">
        <v>4</v>
      </c>
      <c r="AM762" s="2" t="s">
        <v>58</v>
      </c>
      <c r="AN762" s="2"/>
      <c r="AO762" s="2" t="s">
        <v>134</v>
      </c>
      <c r="AP762" s="7" t="n">
        <v>0.352</v>
      </c>
    </row>
    <row r="763" customFormat="false" ht="15" hidden="false" customHeight="false" outlineLevel="0" collapsed="false">
      <c r="A763" s="2" t="s">
        <v>2912</v>
      </c>
      <c r="B763" s="2" t="s">
        <v>2913</v>
      </c>
      <c r="C763" s="2" t="s">
        <v>215</v>
      </c>
      <c r="D763" s="2" t="s">
        <v>45</v>
      </c>
      <c r="E763" s="3" t="n">
        <v>41</v>
      </c>
      <c r="F763" s="2" t="s">
        <v>64</v>
      </c>
      <c r="G763" s="2" t="s">
        <v>154</v>
      </c>
      <c r="H763" s="2" t="s">
        <v>48</v>
      </c>
      <c r="I763" s="4" t="n">
        <v>14000</v>
      </c>
      <c r="J763" s="2" t="s">
        <v>145</v>
      </c>
      <c r="K763" s="3" t="n">
        <v>16</v>
      </c>
      <c r="L763" s="2" t="s">
        <v>168</v>
      </c>
      <c r="M763" s="2" t="s">
        <v>92</v>
      </c>
      <c r="N763" s="2" t="s">
        <v>52</v>
      </c>
      <c r="O763" s="3" t="n">
        <v>1</v>
      </c>
      <c r="P763" s="2" t="s">
        <v>169</v>
      </c>
      <c r="Q763" s="2" t="s">
        <v>170</v>
      </c>
      <c r="R763" s="2" t="s">
        <v>92</v>
      </c>
      <c r="S763" s="2" t="s">
        <v>92</v>
      </c>
      <c r="T763" s="2" t="s">
        <v>2914</v>
      </c>
      <c r="U763" s="2" t="s">
        <v>97</v>
      </c>
      <c r="V763" s="4" t="n">
        <v>97000</v>
      </c>
      <c r="W763" s="5" t="n">
        <v>14.59</v>
      </c>
      <c r="X763" s="3" t="n">
        <v>30</v>
      </c>
      <c r="Y763" s="6" t="n">
        <v>46177</v>
      </c>
      <c r="Z763" s="6"/>
      <c r="AA763" s="6"/>
      <c r="AB763" s="4" t="n">
        <f aca="false">ROUND(PMT(W763/1200,X763,-V763),2)</f>
        <v>3878.18</v>
      </c>
      <c r="AC763" s="4" t="n">
        <v>0</v>
      </c>
      <c r="AD763" s="3" t="n">
        <v>0</v>
      </c>
      <c r="AE763" s="4" t="n">
        <v>13500</v>
      </c>
      <c r="AF763" s="4" t="n">
        <v>4800</v>
      </c>
      <c r="AG763" s="3" t="n">
        <v>6</v>
      </c>
      <c r="AH763" s="4" t="n">
        <v>12000</v>
      </c>
      <c r="AI763" s="3" t="n">
        <v>510</v>
      </c>
      <c r="AJ763" s="7" t="n">
        <f aca="false">ROUND(AB763/I763,4)</f>
        <v>0.277</v>
      </c>
      <c r="AK763" s="2" t="str">
        <f aca="false">IF(AND(AI763&gt;=750,AJ763&lt;=0.35),"Low",IF(AND(AI763&gt;=600,AJ763&lt;=0.5),"Medium","High"))</f>
        <v>High</v>
      </c>
      <c r="AL763" s="3" t="n">
        <v>0</v>
      </c>
      <c r="AM763" s="2" t="s">
        <v>58</v>
      </c>
      <c r="AN763" s="2"/>
      <c r="AO763" s="2" t="s">
        <v>134</v>
      </c>
      <c r="AP763" s="7" t="n">
        <v>0.368</v>
      </c>
    </row>
    <row r="764" customFormat="false" ht="15" hidden="false" customHeight="false" outlineLevel="0" collapsed="false">
      <c r="A764" s="2" t="s">
        <v>2915</v>
      </c>
      <c r="B764" s="2" t="s">
        <v>2916</v>
      </c>
      <c r="C764" s="2" t="s">
        <v>622</v>
      </c>
      <c r="D764" s="2" t="s">
        <v>45</v>
      </c>
      <c r="E764" s="3" t="n">
        <v>51</v>
      </c>
      <c r="F764" s="2" t="s">
        <v>434</v>
      </c>
      <c r="G764" s="2" t="s">
        <v>176</v>
      </c>
      <c r="H764" s="2" t="s">
        <v>77</v>
      </c>
      <c r="I764" s="4" t="n">
        <v>86500</v>
      </c>
      <c r="J764" s="2" t="s">
        <v>177</v>
      </c>
      <c r="K764" s="3" t="n">
        <v>25</v>
      </c>
      <c r="L764" s="2" t="s">
        <v>178</v>
      </c>
      <c r="M764" s="2" t="s">
        <v>92</v>
      </c>
      <c r="N764" s="2" t="s">
        <v>140</v>
      </c>
      <c r="O764" s="3" t="n">
        <v>0</v>
      </c>
      <c r="P764" s="2" t="s">
        <v>169</v>
      </c>
      <c r="Q764" s="2" t="s">
        <v>170</v>
      </c>
      <c r="R764" s="2" t="s">
        <v>92</v>
      </c>
      <c r="S764" s="2" t="s">
        <v>92</v>
      </c>
      <c r="T764" s="2" t="s">
        <v>2917</v>
      </c>
      <c r="U764" s="2" t="s">
        <v>72</v>
      </c>
      <c r="V764" s="4" t="n">
        <v>945000</v>
      </c>
      <c r="W764" s="5" t="n">
        <v>13.11</v>
      </c>
      <c r="X764" s="3" t="n">
        <v>66</v>
      </c>
      <c r="Y764" s="6" t="n">
        <v>46198</v>
      </c>
      <c r="Z764" s="6"/>
      <c r="AA764" s="6"/>
      <c r="AB764" s="4" t="n">
        <f aca="false">ROUND(PMT(W764/1200,X764,-V764),2)</f>
        <v>20170.08</v>
      </c>
      <c r="AC764" s="4" t="n">
        <v>1028000</v>
      </c>
      <c r="AD764" s="3" t="n">
        <v>1</v>
      </c>
      <c r="AE764" s="4" t="n">
        <v>152000</v>
      </c>
      <c r="AF764" s="4" t="n">
        <v>32700</v>
      </c>
      <c r="AG764" s="3" t="n">
        <v>18</v>
      </c>
      <c r="AH764" s="4" t="n">
        <v>66000</v>
      </c>
      <c r="AI764" s="3" t="n">
        <v>891</v>
      </c>
      <c r="AJ764" s="7" t="n">
        <f aca="false">ROUND(AB764/I764,4)</f>
        <v>0.2332</v>
      </c>
      <c r="AK764" s="2" t="str">
        <f aca="false">IF(AND(AI764&gt;=750,AJ764&lt;=0.35),"Low",IF(AND(AI764&gt;=600,AJ764&lt;=0.5),"Medium","High"))</f>
        <v>Low</v>
      </c>
      <c r="AL764" s="3" t="n">
        <v>0</v>
      </c>
      <c r="AM764" s="2" t="s">
        <v>58</v>
      </c>
      <c r="AN764" s="2"/>
      <c r="AO764" s="2" t="s">
        <v>134</v>
      </c>
      <c r="AP764" s="7" t="n">
        <v>0.01</v>
      </c>
    </row>
    <row r="765" customFormat="false" ht="15" hidden="false" customHeight="false" outlineLevel="0" collapsed="false">
      <c r="A765" s="2" t="s">
        <v>2918</v>
      </c>
      <c r="B765" s="2" t="s">
        <v>2919</v>
      </c>
      <c r="C765" s="2" t="s">
        <v>1241</v>
      </c>
      <c r="D765" s="2" t="s">
        <v>109</v>
      </c>
      <c r="E765" s="3" t="n">
        <v>44</v>
      </c>
      <c r="F765" s="2" t="s">
        <v>64</v>
      </c>
      <c r="G765" s="2" t="s">
        <v>145</v>
      </c>
      <c r="H765" s="2" t="s">
        <v>123</v>
      </c>
      <c r="I765" s="4" t="n">
        <v>40000</v>
      </c>
      <c r="J765" s="2" t="s">
        <v>145</v>
      </c>
      <c r="K765" s="3" t="n">
        <v>18</v>
      </c>
      <c r="L765" s="2" t="s">
        <v>147</v>
      </c>
      <c r="M765" s="2" t="s">
        <v>147</v>
      </c>
      <c r="N765" s="2" t="s">
        <v>102</v>
      </c>
      <c r="O765" s="3" t="n">
        <v>3</v>
      </c>
      <c r="P765" s="2" t="s">
        <v>148</v>
      </c>
      <c r="Q765" s="2" t="s">
        <v>149</v>
      </c>
      <c r="R765" s="2" t="s">
        <v>147</v>
      </c>
      <c r="S765" s="2" t="s">
        <v>147</v>
      </c>
      <c r="T765" s="2" t="s">
        <v>2920</v>
      </c>
      <c r="U765" s="2" t="s">
        <v>180</v>
      </c>
      <c r="V765" s="4" t="n">
        <v>300000</v>
      </c>
      <c r="W765" s="5" t="n">
        <v>12.88</v>
      </c>
      <c r="X765" s="3" t="n">
        <v>30</v>
      </c>
      <c r="Y765" s="6" t="n">
        <v>46179</v>
      </c>
      <c r="Z765" s="6"/>
      <c r="AA765" s="6"/>
      <c r="AB765" s="4" t="n">
        <f aca="false">ROUND(PMT(W765/1200,X765,-V765),2)</f>
        <v>11749.37</v>
      </c>
      <c r="AC765" s="4" t="n">
        <v>386000</v>
      </c>
      <c r="AD765" s="3" t="n">
        <v>2</v>
      </c>
      <c r="AE765" s="4" t="n">
        <v>122500</v>
      </c>
      <c r="AF765" s="4" t="n">
        <v>14900</v>
      </c>
      <c r="AG765" s="3" t="n">
        <v>17</v>
      </c>
      <c r="AH765" s="4" t="n">
        <v>33600</v>
      </c>
      <c r="AI765" s="3" t="n">
        <v>695</v>
      </c>
      <c r="AJ765" s="7" t="n">
        <f aca="false">ROUND(AB765/I765,4)</f>
        <v>0.2937</v>
      </c>
      <c r="AK765" s="2" t="str">
        <f aca="false">IF(AND(AI765&gt;=750,AJ765&lt;=0.35),"Low",IF(AND(AI765&gt;=600,AJ765&lt;=0.5),"Medium","High"))</f>
        <v>Medium</v>
      </c>
      <c r="AL765" s="3" t="n">
        <v>3</v>
      </c>
      <c r="AM765" s="2" t="s">
        <v>58</v>
      </c>
      <c r="AN765" s="2"/>
      <c r="AO765" s="2" t="s">
        <v>134</v>
      </c>
      <c r="AP765" s="7" t="n">
        <v>0.286</v>
      </c>
    </row>
    <row r="766" customFormat="false" ht="15" hidden="false" customHeight="false" outlineLevel="0" collapsed="false">
      <c r="A766" s="2" t="s">
        <v>2921</v>
      </c>
      <c r="B766" s="2" t="s">
        <v>2922</v>
      </c>
      <c r="C766" s="2" t="s">
        <v>2923</v>
      </c>
      <c r="D766" s="2" t="s">
        <v>45</v>
      </c>
      <c r="E766" s="3" t="n">
        <v>27</v>
      </c>
      <c r="F766" s="2" t="s">
        <v>46</v>
      </c>
      <c r="G766" s="2" t="s">
        <v>65</v>
      </c>
      <c r="H766" s="2" t="s">
        <v>101</v>
      </c>
      <c r="I766" s="4" t="n">
        <v>40000</v>
      </c>
      <c r="J766" s="2" t="s">
        <v>49</v>
      </c>
      <c r="K766" s="3" t="n">
        <v>1</v>
      </c>
      <c r="L766" s="2" t="s">
        <v>146</v>
      </c>
      <c r="M766" s="2" t="s">
        <v>147</v>
      </c>
      <c r="N766" s="2" t="s">
        <v>102</v>
      </c>
      <c r="O766" s="3" t="n">
        <v>0</v>
      </c>
      <c r="P766" s="2" t="s">
        <v>148</v>
      </c>
      <c r="Q766" s="2" t="s">
        <v>149</v>
      </c>
      <c r="R766" s="2" t="s">
        <v>147</v>
      </c>
      <c r="S766" s="2" t="s">
        <v>147</v>
      </c>
      <c r="T766" s="2" t="s">
        <v>2924</v>
      </c>
      <c r="U766" s="2" t="s">
        <v>180</v>
      </c>
      <c r="V766" s="4" t="n">
        <v>346000</v>
      </c>
      <c r="W766" s="5" t="n">
        <v>13.63</v>
      </c>
      <c r="X766" s="3" t="n">
        <v>54</v>
      </c>
      <c r="Y766" s="6" t="n">
        <v>46202</v>
      </c>
      <c r="Z766" s="6"/>
      <c r="AA766" s="6"/>
      <c r="AB766" s="4" t="n">
        <f aca="false">ROUND(PMT(W766/1200,X766,-V766),2)</f>
        <v>8607.23</v>
      </c>
      <c r="AC766" s="4" t="n">
        <v>352000</v>
      </c>
      <c r="AD766" s="3" t="n">
        <v>0</v>
      </c>
      <c r="AE766" s="4" t="n">
        <v>6130698</v>
      </c>
      <c r="AF766" s="4" t="n">
        <v>33700</v>
      </c>
      <c r="AG766" s="3" t="n">
        <v>35</v>
      </c>
      <c r="AH766" s="4" t="n">
        <v>25400</v>
      </c>
      <c r="AI766" s="3" t="n">
        <v>537</v>
      </c>
      <c r="AJ766" s="7" t="n">
        <f aca="false">ROUND(AB766/I766,4)</f>
        <v>0.2152</v>
      </c>
      <c r="AK766" s="2" t="str">
        <f aca="false">IF(AND(AI766&gt;=750,AJ766&lt;=0.35),"Low",IF(AND(AI766&gt;=600,AJ766&lt;=0.5),"Medium","High"))</f>
        <v>High</v>
      </c>
      <c r="AL766" s="3" t="n">
        <v>3</v>
      </c>
      <c r="AM766" s="2" t="s">
        <v>58</v>
      </c>
      <c r="AN766" s="2"/>
      <c r="AO766" s="2" t="s">
        <v>134</v>
      </c>
      <c r="AP766" s="7" t="n">
        <v>0.396</v>
      </c>
    </row>
    <row r="767" customFormat="false" ht="15" hidden="false" customHeight="false" outlineLevel="0" collapsed="false">
      <c r="A767" s="2" t="s">
        <v>2925</v>
      </c>
      <c r="B767" s="2" t="s">
        <v>608</v>
      </c>
      <c r="C767" s="2" t="s">
        <v>2926</v>
      </c>
      <c r="D767" s="2" t="s">
        <v>45</v>
      </c>
      <c r="E767" s="3" t="n">
        <v>36</v>
      </c>
      <c r="F767" s="2" t="s">
        <v>64</v>
      </c>
      <c r="G767" s="2" t="s">
        <v>246</v>
      </c>
      <c r="H767" s="2" t="s">
        <v>111</v>
      </c>
      <c r="I767" s="4" t="n">
        <v>17500</v>
      </c>
      <c r="J767" s="2" t="s">
        <v>145</v>
      </c>
      <c r="K767" s="3"/>
      <c r="L767" s="2" t="s">
        <v>178</v>
      </c>
      <c r="M767" s="2" t="s">
        <v>92</v>
      </c>
      <c r="N767" s="2" t="s">
        <v>140</v>
      </c>
      <c r="O767" s="3" t="n">
        <v>0</v>
      </c>
      <c r="P767" s="2" t="s">
        <v>229</v>
      </c>
      <c r="Q767" s="2" t="s">
        <v>230</v>
      </c>
      <c r="R767" s="2" t="s">
        <v>231</v>
      </c>
      <c r="S767" s="2" t="s">
        <v>92</v>
      </c>
      <c r="T767" s="2" t="s">
        <v>2927</v>
      </c>
      <c r="U767" s="2" t="s">
        <v>85</v>
      </c>
      <c r="V767" s="4" t="n">
        <v>74000</v>
      </c>
      <c r="W767" s="5" t="n">
        <v>9.08</v>
      </c>
      <c r="X767" s="3" t="n">
        <v>12</v>
      </c>
      <c r="Y767" s="6" t="n">
        <v>46183</v>
      </c>
      <c r="Z767" s="6" t="n">
        <v>46190</v>
      </c>
      <c r="AA767" s="6" t="n">
        <v>46191</v>
      </c>
      <c r="AB767" s="4" t="n">
        <f aca="false">ROUND(PMT(W767/1200,X767,-V767),2)</f>
        <v>6474.15</v>
      </c>
      <c r="AC767" s="4" t="n">
        <v>0</v>
      </c>
      <c r="AD767" s="3" t="n">
        <v>3</v>
      </c>
      <c r="AE767" s="4" t="n">
        <v>58300</v>
      </c>
      <c r="AF767" s="4" t="n">
        <v>19000</v>
      </c>
      <c r="AG767" s="3" t="n">
        <v>15</v>
      </c>
      <c r="AH767" s="4" t="n">
        <v>12300</v>
      </c>
      <c r="AI767" s="3" t="n">
        <v>576</v>
      </c>
      <c r="AJ767" s="7" t="n">
        <f aca="false">ROUND(AB767/I767,4)</f>
        <v>0.37</v>
      </c>
      <c r="AK767" s="2" t="str">
        <f aca="false">IF(AND(AI767&gt;=750,AJ767&lt;=0.35),"Low",IF(AND(AI767&gt;=600,AJ767&lt;=0.5),"Medium","High"))</f>
        <v>High</v>
      </c>
      <c r="AL767" s="3" t="n">
        <v>0</v>
      </c>
      <c r="AM767" s="2" t="s">
        <v>58</v>
      </c>
      <c r="AN767" s="2" t="s">
        <v>258</v>
      </c>
      <c r="AO767" s="2" t="s">
        <v>60</v>
      </c>
      <c r="AP767" s="7" t="n">
        <v>0.363</v>
      </c>
    </row>
    <row r="768" customFormat="false" ht="15" hidden="false" customHeight="false" outlineLevel="0" collapsed="false">
      <c r="A768" s="2" t="s">
        <v>2928</v>
      </c>
      <c r="B768" s="2" t="s">
        <v>2929</v>
      </c>
      <c r="C768" s="2" t="s">
        <v>2930</v>
      </c>
      <c r="D768" s="2" t="s">
        <v>45</v>
      </c>
      <c r="E768" s="3" t="n">
        <v>41</v>
      </c>
      <c r="F768" s="2" t="s">
        <v>64</v>
      </c>
      <c r="G768" s="2" t="s">
        <v>76</v>
      </c>
      <c r="H768" s="2" t="s">
        <v>101</v>
      </c>
      <c r="I768" s="4" t="n">
        <v>35500</v>
      </c>
      <c r="J768" s="2" t="s">
        <v>78</v>
      </c>
      <c r="K768" s="3" t="n">
        <v>13</v>
      </c>
      <c r="L768" s="2" t="s">
        <v>91</v>
      </c>
      <c r="M768" s="2" t="s">
        <v>92</v>
      </c>
      <c r="N768" s="2" t="s">
        <v>52</v>
      </c>
      <c r="O768" s="3" t="n">
        <v>2</v>
      </c>
      <c r="P768" s="2" t="s">
        <v>229</v>
      </c>
      <c r="Q768" s="2" t="s">
        <v>230</v>
      </c>
      <c r="R768" s="2" t="s">
        <v>231</v>
      </c>
      <c r="S768" s="2" t="s">
        <v>92</v>
      </c>
      <c r="T768" s="2" t="s">
        <v>2931</v>
      </c>
      <c r="U768" s="2" t="s">
        <v>180</v>
      </c>
      <c r="V768" s="4" t="n">
        <v>360000</v>
      </c>
      <c r="W768" s="5" t="n">
        <v>11.65</v>
      </c>
      <c r="X768" s="3" t="n">
        <v>24</v>
      </c>
      <c r="Y768" s="6" t="n">
        <v>46183</v>
      </c>
      <c r="Z768" s="6" t="n">
        <v>46186</v>
      </c>
      <c r="AA768" s="6" t="n">
        <v>46191</v>
      </c>
      <c r="AB768" s="4" t="n">
        <f aca="false">ROUND(PMT(W768/1200,X768,-V768),2)</f>
        <v>16887.67</v>
      </c>
      <c r="AC768" s="4" t="n">
        <v>528000</v>
      </c>
      <c r="AD768" s="3" t="n">
        <v>0</v>
      </c>
      <c r="AE768" s="4" t="n">
        <v>71500</v>
      </c>
      <c r="AF768" s="4" t="n">
        <v>11700</v>
      </c>
      <c r="AG768" s="3" t="n">
        <v>26</v>
      </c>
      <c r="AH768" s="4" t="n">
        <v>24900</v>
      </c>
      <c r="AI768" s="3" t="n">
        <v>659</v>
      </c>
      <c r="AJ768" s="7" t="n">
        <f aca="false">ROUND(AB768/I768,4)</f>
        <v>0.4757</v>
      </c>
      <c r="AK768" s="2" t="str">
        <f aca="false">IF(AND(AI768&gt;=750,AJ768&lt;=0.35),"Low",IF(AND(AI768&gt;=600,AJ768&lt;=0.5),"Medium","High"))</f>
        <v>Medium</v>
      </c>
      <c r="AL768" s="3" t="n">
        <v>5</v>
      </c>
      <c r="AM768" s="2" t="s">
        <v>58</v>
      </c>
      <c r="AN768" s="2" t="s">
        <v>59</v>
      </c>
      <c r="AO768" s="2" t="s">
        <v>60</v>
      </c>
      <c r="AP768" s="7" t="n">
        <v>0.29</v>
      </c>
    </row>
    <row r="769" customFormat="false" ht="15" hidden="false" customHeight="false" outlineLevel="0" collapsed="false">
      <c r="A769" s="2" t="s">
        <v>2932</v>
      </c>
      <c r="B769" s="2" t="s">
        <v>2933</v>
      </c>
      <c r="C769" s="2" t="s">
        <v>152</v>
      </c>
      <c r="D769" s="2" t="s">
        <v>109</v>
      </c>
      <c r="E769" s="3" t="n">
        <v>21</v>
      </c>
      <c r="F769" s="2" t="s">
        <v>64</v>
      </c>
      <c r="G769" s="2" t="s">
        <v>76</v>
      </c>
      <c r="H769" s="2"/>
      <c r="I769" s="4" t="n">
        <v>50000</v>
      </c>
      <c r="J769" s="2" t="s">
        <v>78</v>
      </c>
      <c r="K769" s="3"/>
      <c r="L769" s="2" t="s">
        <v>1866</v>
      </c>
      <c r="M769" s="2" t="s">
        <v>114</v>
      </c>
      <c r="N769" s="2" t="s">
        <v>52</v>
      </c>
      <c r="O769" s="3" t="n">
        <v>0</v>
      </c>
      <c r="P769" s="2" t="s">
        <v>189</v>
      </c>
      <c r="Q769" s="2" t="s">
        <v>190</v>
      </c>
      <c r="R769" s="2" t="s">
        <v>188</v>
      </c>
      <c r="S769" s="2" t="s">
        <v>51</v>
      </c>
      <c r="T769" s="2" t="s">
        <v>2934</v>
      </c>
      <c r="U769" s="2" t="s">
        <v>85</v>
      </c>
      <c r="V769" s="4" t="n">
        <v>435000</v>
      </c>
      <c r="W769" s="5" t="n">
        <v>7.93</v>
      </c>
      <c r="X769" s="3" t="n">
        <v>18</v>
      </c>
      <c r="Y769" s="6" t="n">
        <v>46186</v>
      </c>
      <c r="Z769" s="6"/>
      <c r="AA769" s="6"/>
      <c r="AB769" s="4" t="n">
        <f aca="false">ROUND(PMT(W769/1200,X769,-V769),2)</f>
        <v>25712.14</v>
      </c>
      <c r="AC769" s="4" t="n">
        <v>0</v>
      </c>
      <c r="AD769" s="3" t="n">
        <v>3</v>
      </c>
      <c r="AE769" s="4" t="n">
        <v>104100</v>
      </c>
      <c r="AF769" s="4" t="n">
        <v>26100</v>
      </c>
      <c r="AG769" s="3" t="n">
        <v>19</v>
      </c>
      <c r="AH769" s="4" t="n">
        <v>37900</v>
      </c>
      <c r="AI769" s="3" t="n">
        <v>678</v>
      </c>
      <c r="AJ769" s="7" t="n">
        <f aca="false">ROUND(AB769/I769,4)</f>
        <v>0.5142</v>
      </c>
      <c r="AK769" s="2" t="str">
        <f aca="false">IF(AND(AI769&gt;=750,AJ769&lt;=0.35),"Low",IF(AND(AI769&gt;=600,AJ769&lt;=0.5),"Medium","High"))</f>
        <v>High</v>
      </c>
      <c r="AL769" s="3" t="n">
        <v>0</v>
      </c>
      <c r="AM769" s="2" t="s">
        <v>58</v>
      </c>
      <c r="AN769" s="2"/>
      <c r="AO769" s="2" t="s">
        <v>127</v>
      </c>
      <c r="AP769" s="7" t="n">
        <v>0.24</v>
      </c>
    </row>
    <row r="770" customFormat="false" ht="15" hidden="false" customHeight="false" outlineLevel="0" collapsed="false">
      <c r="A770" s="2" t="s">
        <v>2935</v>
      </c>
      <c r="B770" s="2" t="s">
        <v>2936</v>
      </c>
      <c r="C770" s="2" t="s">
        <v>2937</v>
      </c>
      <c r="D770" s="2" t="s">
        <v>45</v>
      </c>
      <c r="E770" s="3" t="n">
        <v>42</v>
      </c>
      <c r="F770" s="2" t="s">
        <v>64</v>
      </c>
      <c r="G770" s="2" t="s">
        <v>145</v>
      </c>
      <c r="H770" s="2" t="s">
        <v>111</v>
      </c>
      <c r="I770" s="4" t="n">
        <v>24500</v>
      </c>
      <c r="J770" s="2" t="s">
        <v>145</v>
      </c>
      <c r="K770" s="3" t="n">
        <v>23</v>
      </c>
      <c r="L770" s="2" t="s">
        <v>79</v>
      </c>
      <c r="M770" s="2" t="s">
        <v>80</v>
      </c>
      <c r="N770" s="2" t="s">
        <v>52</v>
      </c>
      <c r="O770" s="3" t="n">
        <v>1</v>
      </c>
      <c r="P770" s="2" t="s">
        <v>82</v>
      </c>
      <c r="Q770" s="2" t="s">
        <v>83</v>
      </c>
      <c r="R770" s="2" t="s">
        <v>80</v>
      </c>
      <c r="S770" s="2" t="s">
        <v>80</v>
      </c>
      <c r="T770" s="2" t="s">
        <v>2938</v>
      </c>
      <c r="U770" s="2" t="s">
        <v>72</v>
      </c>
      <c r="V770" s="4" t="n">
        <v>300000</v>
      </c>
      <c r="W770" s="5" t="n">
        <v>13.43</v>
      </c>
      <c r="X770" s="3" t="n">
        <v>66</v>
      </c>
      <c r="Y770" s="6" t="n">
        <v>46187</v>
      </c>
      <c r="Z770" s="6" t="n">
        <v>46189</v>
      </c>
      <c r="AA770" s="6" t="n">
        <v>46195</v>
      </c>
      <c r="AB770" s="4" t="n">
        <f aca="false">ROUND(PMT(W770/1200,X770,-V770),2)</f>
        <v>6453.29</v>
      </c>
      <c r="AC770" s="4" t="n">
        <v>365000</v>
      </c>
      <c r="AD770" s="3" t="n">
        <v>3</v>
      </c>
      <c r="AE770" s="4" t="n">
        <v>63900</v>
      </c>
      <c r="AF770" s="4" t="n">
        <v>38300</v>
      </c>
      <c r="AG770" s="3" t="n">
        <v>3</v>
      </c>
      <c r="AH770" s="4" t="n">
        <v>17000</v>
      </c>
      <c r="AI770" s="3" t="n">
        <v>699</v>
      </c>
      <c r="AJ770" s="7" t="n">
        <f aca="false">ROUND(AB770/I770,4)</f>
        <v>0.2634</v>
      </c>
      <c r="AK770" s="2" t="str">
        <f aca="false">IF(AND(AI770&gt;=750,AJ770&lt;=0.35),"Low",IF(AND(AI770&gt;=600,AJ770&lt;=0.5),"Medium","High"))</f>
        <v>Medium</v>
      </c>
      <c r="AL770" s="3" t="n">
        <v>2</v>
      </c>
      <c r="AM770" s="2" t="s">
        <v>58</v>
      </c>
      <c r="AN770" s="2" t="s">
        <v>59</v>
      </c>
      <c r="AO770" s="2" t="s">
        <v>60</v>
      </c>
      <c r="AP770" s="7" t="n">
        <v>0.216</v>
      </c>
    </row>
    <row r="771" customFormat="false" ht="15" hidden="false" customHeight="false" outlineLevel="0" collapsed="false">
      <c r="A771" s="2" t="s">
        <v>2939</v>
      </c>
      <c r="B771" s="2" t="s">
        <v>2940</v>
      </c>
      <c r="C771" s="2" t="s">
        <v>2941</v>
      </c>
      <c r="D771" s="2" t="s">
        <v>109</v>
      </c>
      <c r="E771" s="3" t="n">
        <v>32</v>
      </c>
      <c r="F771" s="2" t="s">
        <v>175</v>
      </c>
      <c r="G771" s="2" t="s">
        <v>47</v>
      </c>
      <c r="H771" s="2" t="s">
        <v>48</v>
      </c>
      <c r="I771" s="4" t="n">
        <v>84000</v>
      </c>
      <c r="J771" s="2" t="s">
        <v>49</v>
      </c>
      <c r="K771" s="3" t="n">
        <v>13</v>
      </c>
      <c r="L771" s="2" t="s">
        <v>168</v>
      </c>
      <c r="M771" s="2" t="s">
        <v>92</v>
      </c>
      <c r="N771" s="2" t="s">
        <v>81</v>
      </c>
      <c r="O771" s="3" t="n">
        <v>0</v>
      </c>
      <c r="P771" s="2" t="s">
        <v>169</v>
      </c>
      <c r="Q771" s="2" t="s">
        <v>170</v>
      </c>
      <c r="R771" s="2" t="s">
        <v>92</v>
      </c>
      <c r="S771" s="2" t="s">
        <v>92</v>
      </c>
      <c r="T771" s="2" t="s">
        <v>2942</v>
      </c>
      <c r="U771" s="2" t="s">
        <v>57</v>
      </c>
      <c r="V771" s="4" t="n">
        <v>1435000</v>
      </c>
      <c r="W771" s="5" t="n">
        <v>11.29</v>
      </c>
      <c r="X771" s="3" t="n">
        <v>150</v>
      </c>
      <c r="Y771" s="6" t="n">
        <v>46192</v>
      </c>
      <c r="Z771" s="6" t="n">
        <v>46193</v>
      </c>
      <c r="AA771" s="6" t="n">
        <v>46198</v>
      </c>
      <c r="AB771" s="4" t="n">
        <f aca="false">ROUND(PMT(W771/1200,X771,-V771),2)</f>
        <v>17892.78</v>
      </c>
      <c r="AC771" s="4" t="n">
        <v>1981000</v>
      </c>
      <c r="AD771" s="3" t="n">
        <v>1</v>
      </c>
      <c r="AE771" s="4" t="n">
        <v>268100</v>
      </c>
      <c r="AF771" s="4" t="n">
        <v>116300</v>
      </c>
      <c r="AG771" s="3" t="n">
        <v>24</v>
      </c>
      <c r="AH771" s="4" t="n">
        <v>82600</v>
      </c>
      <c r="AI771" s="3" t="n">
        <v>774</v>
      </c>
      <c r="AJ771" s="7" t="n">
        <f aca="false">ROUND(AB771/I771,4)</f>
        <v>0.213</v>
      </c>
      <c r="AK771" s="2" t="str">
        <f aca="false">IF(AND(AI771&gt;=750,AJ771&lt;=0.35),"Low",IF(AND(AI771&gt;=600,AJ771&lt;=0.5),"Medium","High"))</f>
        <v>Low</v>
      </c>
      <c r="AL771" s="3"/>
      <c r="AM771" s="2" t="s">
        <v>233</v>
      </c>
      <c r="AN771" s="2" t="s">
        <v>59</v>
      </c>
      <c r="AO771" s="2" t="s">
        <v>60</v>
      </c>
      <c r="AP771" s="7" t="n">
        <v>0.341</v>
      </c>
    </row>
    <row r="772" customFormat="false" ht="15" hidden="false" customHeight="false" outlineLevel="0" collapsed="false">
      <c r="A772" s="2" t="s">
        <v>2943</v>
      </c>
      <c r="B772" s="2" t="s">
        <v>2232</v>
      </c>
      <c r="C772" s="2" t="s">
        <v>2944</v>
      </c>
      <c r="D772" s="2" t="s">
        <v>45</v>
      </c>
      <c r="E772" s="3" t="n">
        <v>39</v>
      </c>
      <c r="F772" s="2" t="s">
        <v>64</v>
      </c>
      <c r="G772" s="2" t="s">
        <v>166</v>
      </c>
      <c r="H772" s="2" t="s">
        <v>167</v>
      </c>
      <c r="I772" s="4" t="n">
        <v>258500</v>
      </c>
      <c r="J772" s="2" t="s">
        <v>145</v>
      </c>
      <c r="K772" s="3" t="n">
        <v>16</v>
      </c>
      <c r="L772" s="2" t="s">
        <v>220</v>
      </c>
      <c r="M772" s="2" t="s">
        <v>51</v>
      </c>
      <c r="N772" s="2" t="s">
        <v>52</v>
      </c>
      <c r="O772" s="3" t="n">
        <v>1</v>
      </c>
      <c r="P772" s="2" t="s">
        <v>124</v>
      </c>
      <c r="Q772" s="2" t="s">
        <v>125</v>
      </c>
      <c r="R772" s="2" t="s">
        <v>91</v>
      </c>
      <c r="S772" s="2" t="s">
        <v>92</v>
      </c>
      <c r="T772" s="2" t="s">
        <v>2945</v>
      </c>
      <c r="U772" s="2" t="s">
        <v>192</v>
      </c>
      <c r="V772" s="4" t="n">
        <v>2390000</v>
      </c>
      <c r="W772" s="5" t="n">
        <v>11.37</v>
      </c>
      <c r="X772" s="3" t="n">
        <v>24</v>
      </c>
      <c r="Y772" s="6" t="n">
        <v>46194</v>
      </c>
      <c r="Z772" s="6"/>
      <c r="AA772" s="6"/>
      <c r="AB772" s="4" t="n">
        <f aca="false">ROUND(PMT(W772/1200,X772,-V772),2)</f>
        <v>111803.74</v>
      </c>
      <c r="AC772" s="4" t="n">
        <v>2698000</v>
      </c>
      <c r="AD772" s="3" t="n">
        <v>1</v>
      </c>
      <c r="AE772" s="4" t="n">
        <v>313100</v>
      </c>
      <c r="AF772" s="4" t="n">
        <v>41900</v>
      </c>
      <c r="AG772" s="3" t="n">
        <v>67</v>
      </c>
      <c r="AH772" s="4" t="n">
        <v>113000</v>
      </c>
      <c r="AI772" s="3" t="n">
        <v>647</v>
      </c>
      <c r="AJ772" s="7" t="n">
        <f aca="false">ROUND(AB772/I772,4)</f>
        <v>0.4325</v>
      </c>
      <c r="AK772" s="2" t="str">
        <f aca="false">IF(AND(AI772&gt;=750,AJ772&lt;=0.35),"Low",IF(AND(AI772&gt;=600,AJ772&lt;=0.5),"Medium","High"))</f>
        <v>Medium</v>
      </c>
      <c r="AL772" s="3" t="n">
        <v>3</v>
      </c>
      <c r="AM772" s="2" t="s">
        <v>58</v>
      </c>
      <c r="AN772" s="2"/>
      <c r="AO772" s="2" t="s">
        <v>127</v>
      </c>
      <c r="AP772" s="7" t="n">
        <v>0.322</v>
      </c>
    </row>
    <row r="773" customFormat="false" ht="15" hidden="false" customHeight="false" outlineLevel="0" collapsed="false">
      <c r="A773" s="2" t="s">
        <v>2946</v>
      </c>
      <c r="B773" s="2" t="s">
        <v>2088</v>
      </c>
      <c r="C773" s="2" t="s">
        <v>2947</v>
      </c>
      <c r="D773" s="2" t="s">
        <v>45</v>
      </c>
      <c r="E773" s="3" t="n">
        <v>37</v>
      </c>
      <c r="F773" s="2" t="s">
        <v>64</v>
      </c>
      <c r="G773" s="2"/>
      <c r="H773" s="2" t="s">
        <v>101</v>
      </c>
      <c r="I773" s="4" t="n">
        <v>174000</v>
      </c>
      <c r="J773" s="2" t="s">
        <v>145</v>
      </c>
      <c r="K773" s="3" t="n">
        <v>12</v>
      </c>
      <c r="L773" s="2" t="s">
        <v>211</v>
      </c>
      <c r="M773" s="2" t="s">
        <v>147</v>
      </c>
      <c r="N773" s="2" t="s">
        <v>52</v>
      </c>
      <c r="O773" s="3" t="n">
        <v>4</v>
      </c>
      <c r="P773" s="2" t="s">
        <v>209</v>
      </c>
      <c r="Q773" s="2" t="s">
        <v>210</v>
      </c>
      <c r="R773" s="2" t="s">
        <v>211</v>
      </c>
      <c r="S773" s="2" t="s">
        <v>147</v>
      </c>
      <c r="T773" s="2" t="s">
        <v>2948</v>
      </c>
      <c r="U773" s="2" t="s">
        <v>72</v>
      </c>
      <c r="V773" s="4" t="n">
        <v>1812000</v>
      </c>
      <c r="W773" s="5" t="n">
        <v>13.94</v>
      </c>
      <c r="X773" s="3" t="n">
        <v>36</v>
      </c>
      <c r="Y773" s="6" t="n">
        <v>46199</v>
      </c>
      <c r="Z773" s="6"/>
      <c r="AA773" s="6"/>
      <c r="AB773" s="4" t="n">
        <f aca="false">ROUND(PMT(W773/1200,X773,-V773),2)</f>
        <v>61877.07</v>
      </c>
      <c r="AC773" s="4" t="n">
        <v>2397000</v>
      </c>
      <c r="AD773" s="3" t="n">
        <v>1</v>
      </c>
      <c r="AE773" s="4" t="n">
        <v>578700</v>
      </c>
      <c r="AF773" s="4" t="n">
        <v>168900</v>
      </c>
      <c r="AG773" s="3" t="n">
        <v>38</v>
      </c>
      <c r="AH773" s="4"/>
      <c r="AI773" s="3" t="n">
        <v>699</v>
      </c>
      <c r="AJ773" s="7" t="n">
        <f aca="false">ROUND(AB773/I773,4)</f>
        <v>0.3556</v>
      </c>
      <c r="AK773" s="2" t="str">
        <f aca="false">IF(AND(AI773&gt;=750,AJ773&lt;=0.35),"Low",IF(AND(AI773&gt;=600,AJ773&lt;=0.5),"Medium","High"))</f>
        <v>Medium</v>
      </c>
      <c r="AL773" s="3" t="n">
        <v>2</v>
      </c>
      <c r="AM773" s="2" t="s">
        <v>58</v>
      </c>
      <c r="AN773" s="2"/>
      <c r="AO773" s="2" t="s">
        <v>134</v>
      </c>
      <c r="AP773" s="7" t="n">
        <v>0.26</v>
      </c>
    </row>
    <row r="774" customFormat="false" ht="15" hidden="false" customHeight="false" outlineLevel="0" collapsed="false">
      <c r="A774" s="2" t="s">
        <v>2949</v>
      </c>
      <c r="B774" s="2" t="s">
        <v>2950</v>
      </c>
      <c r="C774" s="2" t="s">
        <v>1676</v>
      </c>
      <c r="D774" s="2" t="s">
        <v>45</v>
      </c>
      <c r="E774" s="3" t="n">
        <v>35</v>
      </c>
      <c r="F774" s="2" t="s">
        <v>64</v>
      </c>
      <c r="G774" s="2" t="s">
        <v>47</v>
      </c>
      <c r="H774" s="2" t="s">
        <v>48</v>
      </c>
      <c r="I774" s="4" t="n">
        <v>134000</v>
      </c>
      <c r="J774" s="2" t="s">
        <v>49</v>
      </c>
      <c r="K774" s="3" t="n">
        <v>15</v>
      </c>
      <c r="L774" s="2" t="s">
        <v>147</v>
      </c>
      <c r="M774" s="2" t="s">
        <v>147</v>
      </c>
      <c r="N774" s="2" t="s">
        <v>102</v>
      </c>
      <c r="O774" s="3" t="n">
        <v>1</v>
      </c>
      <c r="P774" s="2" t="s">
        <v>148</v>
      </c>
      <c r="Q774" s="2" t="s">
        <v>149</v>
      </c>
      <c r="R774" s="2" t="s">
        <v>147</v>
      </c>
      <c r="S774" s="2" t="s">
        <v>147</v>
      </c>
      <c r="T774" s="2" t="s">
        <v>2951</v>
      </c>
      <c r="U774" s="2" t="s">
        <v>97</v>
      </c>
      <c r="V774" s="4" t="n">
        <v>1500000</v>
      </c>
      <c r="W774" s="5" t="n">
        <v>11.79</v>
      </c>
      <c r="X774" s="3" t="n">
        <v>36</v>
      </c>
      <c r="Y774" s="6" t="n">
        <v>46183</v>
      </c>
      <c r="Z774" s="6"/>
      <c r="AA774" s="6"/>
      <c r="AB774" s="4" t="n">
        <f aca="false">ROUND(PMT(W774/1200,X774,-V774),2)</f>
        <v>49671.15</v>
      </c>
      <c r="AC774" s="4"/>
      <c r="AD774" s="3" t="n">
        <v>0</v>
      </c>
      <c r="AE774" s="4" t="n">
        <v>475200</v>
      </c>
      <c r="AF774" s="4" t="n">
        <v>231900</v>
      </c>
      <c r="AG774" s="3" t="n">
        <v>2</v>
      </c>
      <c r="AH774" s="4" t="n">
        <v>49200</v>
      </c>
      <c r="AI774" s="3" t="n">
        <v>869</v>
      </c>
      <c r="AJ774" s="7" t="n">
        <f aca="false">ROUND(AB774/I774,4)</f>
        <v>0.3707</v>
      </c>
      <c r="AK774" s="2" t="str">
        <f aca="false">IF(AND(AI774&gt;=750,AJ774&lt;=0.35),"Low",IF(AND(AI774&gt;=600,AJ774&lt;=0.5),"Medium","High"))</f>
        <v>Medium</v>
      </c>
      <c r="AL774" s="3" t="n">
        <v>0</v>
      </c>
      <c r="AM774" s="2" t="s">
        <v>58</v>
      </c>
      <c r="AN774" s="2"/>
      <c r="AO774" s="2" t="s">
        <v>127</v>
      </c>
      <c r="AP774" s="7" t="n">
        <v>0.066</v>
      </c>
    </row>
    <row r="775" customFormat="false" ht="15" hidden="false" customHeight="false" outlineLevel="0" collapsed="false">
      <c r="A775" s="2" t="s">
        <v>2952</v>
      </c>
      <c r="B775" s="2" t="s">
        <v>2953</v>
      </c>
      <c r="C775" s="2" t="s">
        <v>2954</v>
      </c>
      <c r="D775" s="2" t="s">
        <v>109</v>
      </c>
      <c r="E775" s="3" t="n">
        <v>37</v>
      </c>
      <c r="F775" s="2" t="s">
        <v>64</v>
      </c>
      <c r="G775" s="2" t="s">
        <v>76</v>
      </c>
      <c r="H775" s="2" t="s">
        <v>77</v>
      </c>
      <c r="I775" s="4" t="n">
        <v>50000</v>
      </c>
      <c r="J775" s="2" t="s">
        <v>78</v>
      </c>
      <c r="K775" s="3" t="n">
        <v>12</v>
      </c>
      <c r="L775" s="2" t="s">
        <v>288</v>
      </c>
      <c r="M775" s="2" t="s">
        <v>147</v>
      </c>
      <c r="N775" s="2" t="s">
        <v>52</v>
      </c>
      <c r="O775" s="3" t="n">
        <v>1</v>
      </c>
      <c r="P775" s="2" t="s">
        <v>209</v>
      </c>
      <c r="Q775" s="2" t="s">
        <v>210</v>
      </c>
      <c r="R775" s="2" t="s">
        <v>211</v>
      </c>
      <c r="S775" s="2" t="s">
        <v>147</v>
      </c>
      <c r="T775" s="2" t="s">
        <v>2955</v>
      </c>
      <c r="U775" s="2" t="s">
        <v>97</v>
      </c>
      <c r="V775" s="4" t="n">
        <v>352000</v>
      </c>
      <c r="W775" s="5" t="n">
        <v>12</v>
      </c>
      <c r="X775" s="3" t="n">
        <v>24</v>
      </c>
      <c r="Y775" s="6" t="n">
        <v>46199</v>
      </c>
      <c r="Z775" s="6" t="n">
        <v>46202</v>
      </c>
      <c r="AA775" s="6" t="n">
        <v>46206</v>
      </c>
      <c r="AB775" s="4" t="n">
        <f aca="false">ROUND(PMT(W775/1200,X775,-V775),2)</f>
        <v>16569.86</v>
      </c>
      <c r="AC775" s="4" t="n">
        <v>0</v>
      </c>
      <c r="AD775" s="3" t="n">
        <v>1</v>
      </c>
      <c r="AE775" s="4"/>
      <c r="AF775" s="4" t="n">
        <v>12300</v>
      </c>
      <c r="AG775" s="3" t="n">
        <v>19</v>
      </c>
      <c r="AH775" s="4" t="n">
        <v>20600</v>
      </c>
      <c r="AI775" s="3" t="n">
        <v>686</v>
      </c>
      <c r="AJ775" s="7" t="n">
        <f aca="false">ROUND(AB775/I775,4)</f>
        <v>0.3314</v>
      </c>
      <c r="AK775" s="2" t="str">
        <f aca="false">IF(AND(AI775&gt;=750,AJ775&lt;=0.35),"Low",IF(AND(AI775&gt;=600,AJ775&lt;=0.5),"Medium","High"))</f>
        <v>Medium</v>
      </c>
      <c r="AL775" s="3" t="n">
        <v>0</v>
      </c>
      <c r="AM775" s="2" t="s">
        <v>58</v>
      </c>
      <c r="AN775" s="2" t="s">
        <v>59</v>
      </c>
      <c r="AO775" s="2" t="s">
        <v>60</v>
      </c>
      <c r="AP775" s="7" t="n">
        <v>0.248</v>
      </c>
    </row>
    <row r="776" customFormat="false" ht="15" hidden="false" customHeight="false" outlineLevel="0" collapsed="false">
      <c r="A776" s="2" t="s">
        <v>2956</v>
      </c>
      <c r="B776" s="2" t="s">
        <v>2957</v>
      </c>
      <c r="C776" s="2" t="s">
        <v>789</v>
      </c>
      <c r="D776" s="2" t="s">
        <v>109</v>
      </c>
      <c r="E776" s="3" t="n">
        <v>44</v>
      </c>
      <c r="F776" s="2" t="s">
        <v>175</v>
      </c>
      <c r="G776" s="2" t="s">
        <v>154</v>
      </c>
      <c r="H776" s="2" t="s">
        <v>77</v>
      </c>
      <c r="I776" s="4" t="n">
        <v>25000</v>
      </c>
      <c r="J776" s="2" t="s">
        <v>145</v>
      </c>
      <c r="K776" s="3"/>
      <c r="L776" s="2" t="s">
        <v>327</v>
      </c>
      <c r="M776" s="2" t="s">
        <v>92</v>
      </c>
      <c r="N776" s="2" t="s">
        <v>102</v>
      </c>
      <c r="O776" s="3" t="n">
        <v>0</v>
      </c>
      <c r="P776" s="2" t="s">
        <v>124</v>
      </c>
      <c r="Q776" s="2" t="s">
        <v>125</v>
      </c>
      <c r="R776" s="2" t="s">
        <v>91</v>
      </c>
      <c r="S776" s="2" t="s">
        <v>92</v>
      </c>
      <c r="T776" s="2" t="s">
        <v>2958</v>
      </c>
      <c r="U776" s="2" t="s">
        <v>180</v>
      </c>
      <c r="V776" s="4" t="n">
        <v>312000</v>
      </c>
      <c r="W776" s="5" t="n">
        <v>11.07</v>
      </c>
      <c r="X776" s="3" t="n">
        <v>54</v>
      </c>
      <c r="Y776" s="6" t="n">
        <v>46184</v>
      </c>
      <c r="Z776" s="6" t="n">
        <v>46187</v>
      </c>
      <c r="AA776" s="6" t="n">
        <v>46189</v>
      </c>
      <c r="AB776" s="4" t="n">
        <f aca="false">ROUND(PMT(W776/1200,X776,-V776),2)</f>
        <v>7361.94</v>
      </c>
      <c r="AC776" s="4"/>
      <c r="AD776" s="3" t="n">
        <v>1</v>
      </c>
      <c r="AE776" s="4" t="n">
        <v>33900</v>
      </c>
      <c r="AF776" s="4" t="n">
        <v>5100</v>
      </c>
      <c r="AG776" s="3" t="n">
        <v>24</v>
      </c>
      <c r="AH776" s="4" t="n">
        <v>23600</v>
      </c>
      <c r="AI776" s="3" t="n">
        <v>700</v>
      </c>
      <c r="AJ776" s="7" t="n">
        <f aca="false">ROUND(AB776/I776,4)</f>
        <v>0.2945</v>
      </c>
      <c r="AK776" s="2" t="str">
        <f aca="false">IF(AND(AI776&gt;=750,AJ776&lt;=0.35),"Low",IF(AND(AI776&gt;=600,AJ776&lt;=0.5),"Medium","High"))</f>
        <v>Medium</v>
      </c>
      <c r="AL776" s="3" t="n">
        <v>0</v>
      </c>
      <c r="AM776" s="2" t="s">
        <v>58</v>
      </c>
      <c r="AN776" s="2" t="s">
        <v>59</v>
      </c>
      <c r="AO776" s="2" t="s">
        <v>60</v>
      </c>
      <c r="AP776" s="7" t="n">
        <v>0.187</v>
      </c>
    </row>
    <row r="777" customFormat="false" ht="15" hidden="false" customHeight="false" outlineLevel="0" collapsed="false">
      <c r="A777" s="2" t="s">
        <v>2959</v>
      </c>
      <c r="B777" s="2" t="s">
        <v>2960</v>
      </c>
      <c r="C777" s="2" t="s">
        <v>2838</v>
      </c>
      <c r="D777" s="2" t="s">
        <v>45</v>
      </c>
      <c r="E777" s="3" t="n">
        <v>40</v>
      </c>
      <c r="F777" s="2" t="s">
        <v>64</v>
      </c>
      <c r="G777" s="2" t="s">
        <v>145</v>
      </c>
      <c r="H777" s="2" t="s">
        <v>77</v>
      </c>
      <c r="I777" s="4" t="n">
        <v>29000</v>
      </c>
      <c r="J777" s="2" t="s">
        <v>145</v>
      </c>
      <c r="K777" s="3" t="n">
        <v>17</v>
      </c>
      <c r="L777" s="2" t="s">
        <v>211</v>
      </c>
      <c r="M777" s="2" t="s">
        <v>147</v>
      </c>
      <c r="N777" s="2" t="s">
        <v>52</v>
      </c>
      <c r="O777" s="3" t="n">
        <v>1</v>
      </c>
      <c r="P777" s="2" t="s">
        <v>209</v>
      </c>
      <c r="Q777" s="2" t="s">
        <v>210</v>
      </c>
      <c r="R777" s="2" t="s">
        <v>211</v>
      </c>
      <c r="S777" s="2" t="s">
        <v>147</v>
      </c>
      <c r="T777" s="2" t="s">
        <v>2961</v>
      </c>
      <c r="U777" s="2" t="s">
        <v>72</v>
      </c>
      <c r="V777" s="4" t="n">
        <v>300000</v>
      </c>
      <c r="W777" s="5" t="n">
        <v>12.63</v>
      </c>
      <c r="X777" s="3" t="n">
        <v>54</v>
      </c>
      <c r="Y777" s="6" t="n">
        <v>46180</v>
      </c>
      <c r="Z777" s="6" t="n">
        <v>46186</v>
      </c>
      <c r="AA777" s="6" t="n">
        <v>46192</v>
      </c>
      <c r="AB777" s="4" t="n">
        <f aca="false">ROUND(PMT(W777/1200,X777,-V777),2)</f>
        <v>7311.47</v>
      </c>
      <c r="AC777" s="4" t="n">
        <v>400000</v>
      </c>
      <c r="AD777" s="3" t="n">
        <v>1</v>
      </c>
      <c r="AE777" s="4" t="n">
        <v>20400</v>
      </c>
      <c r="AF777" s="4" t="n">
        <v>3900</v>
      </c>
      <c r="AG777" s="3" t="n">
        <v>21</v>
      </c>
      <c r="AH777" s="4" t="n">
        <v>21700</v>
      </c>
      <c r="AI777" s="3" t="n">
        <v>855</v>
      </c>
      <c r="AJ777" s="7" t="n">
        <f aca="false">ROUND(AB777/I777,4)</f>
        <v>0.2521</v>
      </c>
      <c r="AK777" s="2" t="str">
        <f aca="false">IF(AND(AI777&gt;=750,AJ777&lt;=0.35),"Low",IF(AND(AI777&gt;=600,AJ777&lt;=0.5),"Medium","High"))</f>
        <v>Low</v>
      </c>
      <c r="AL777" s="3"/>
      <c r="AM777" s="2" t="s">
        <v>58</v>
      </c>
      <c r="AN777" s="2" t="s">
        <v>59</v>
      </c>
      <c r="AO777" s="2" t="s">
        <v>60</v>
      </c>
      <c r="AP777" s="7" t="n">
        <v>0.08</v>
      </c>
    </row>
    <row r="778" customFormat="false" ht="15" hidden="false" customHeight="false" outlineLevel="0" collapsed="false">
      <c r="A778" s="2" t="s">
        <v>2962</v>
      </c>
      <c r="B778" s="2" t="s">
        <v>2963</v>
      </c>
      <c r="C778" s="2" t="s">
        <v>1646</v>
      </c>
      <c r="D778" s="2" t="s">
        <v>109</v>
      </c>
      <c r="E778" s="3" t="n">
        <v>36</v>
      </c>
      <c r="F778" s="2" t="s">
        <v>46</v>
      </c>
      <c r="G778" s="2" t="s">
        <v>110</v>
      </c>
      <c r="H778" s="2" t="s">
        <v>77</v>
      </c>
      <c r="I778" s="4" t="n">
        <v>12000</v>
      </c>
      <c r="J778" s="2" t="s">
        <v>112</v>
      </c>
      <c r="K778" s="3" t="n">
        <v>7</v>
      </c>
      <c r="L778" s="2" t="s">
        <v>726</v>
      </c>
      <c r="M778" s="2" t="s">
        <v>147</v>
      </c>
      <c r="N778" s="2" t="s">
        <v>52</v>
      </c>
      <c r="O778" s="3" t="n">
        <v>0</v>
      </c>
      <c r="P778" s="2" t="s">
        <v>115</v>
      </c>
      <c r="Q778" s="2" t="s">
        <v>116</v>
      </c>
      <c r="R778" s="2" t="s">
        <v>114</v>
      </c>
      <c r="S778" s="2" t="s">
        <v>114</v>
      </c>
      <c r="T778" s="2" t="s">
        <v>2964</v>
      </c>
      <c r="U778" s="2" t="s">
        <v>180</v>
      </c>
      <c r="V778" s="4" t="n">
        <v>300000</v>
      </c>
      <c r="W778" s="5" t="n">
        <v>10.18</v>
      </c>
      <c r="X778" s="3" t="n">
        <v>60</v>
      </c>
      <c r="Y778" s="6" t="n">
        <v>46194</v>
      </c>
      <c r="Z778" s="6"/>
      <c r="AA778" s="6"/>
      <c r="AB778" s="4" t="n">
        <f aca="false">ROUND(PMT(W778/1200,X778,-V778),2)</f>
        <v>6400.72</v>
      </c>
      <c r="AC778" s="4" t="n">
        <v>401000</v>
      </c>
      <c r="AD778" s="3" t="n">
        <v>0</v>
      </c>
      <c r="AE778" s="4" t="n">
        <v>7500</v>
      </c>
      <c r="AF778" s="4" t="n">
        <v>2700</v>
      </c>
      <c r="AG778" s="3" t="n">
        <v>55</v>
      </c>
      <c r="AH778" s="4" t="n">
        <v>9500</v>
      </c>
      <c r="AI778" s="3" t="n">
        <v>776</v>
      </c>
      <c r="AJ778" s="7" t="n">
        <f aca="false">ROUND(AB778/I778,4)</f>
        <v>0.5334</v>
      </c>
      <c r="AK778" s="2" t="str">
        <f aca="false">IF(AND(AI778&gt;=750,AJ778&lt;=0.35),"Low",IF(AND(AI778&gt;=600,AJ778&lt;=0.5),"Medium","High"))</f>
        <v>High</v>
      </c>
      <c r="AL778" s="3" t="n">
        <v>1</v>
      </c>
      <c r="AM778" s="2" t="s">
        <v>58</v>
      </c>
      <c r="AN778" s="2"/>
      <c r="AO778" s="2" t="s">
        <v>134</v>
      </c>
      <c r="AP778" s="7" t="n">
        <v>0.224</v>
      </c>
    </row>
    <row r="779" customFormat="false" ht="15" hidden="false" customHeight="false" outlineLevel="0" collapsed="false">
      <c r="A779" s="2" t="s">
        <v>2965</v>
      </c>
      <c r="B779" s="2" t="s">
        <v>2966</v>
      </c>
      <c r="C779" s="2" t="s">
        <v>1149</v>
      </c>
      <c r="D779" s="2" t="s">
        <v>109</v>
      </c>
      <c r="E779" s="3" t="n">
        <v>31</v>
      </c>
      <c r="F779" s="2" t="s">
        <v>46</v>
      </c>
      <c r="G779" s="2" t="s">
        <v>176</v>
      </c>
      <c r="H779" s="2" t="s">
        <v>48</v>
      </c>
      <c r="I779" s="4" t="n">
        <v>63500</v>
      </c>
      <c r="J779" s="2" t="s">
        <v>177</v>
      </c>
      <c r="K779" s="3" t="n">
        <v>12</v>
      </c>
      <c r="L779" s="2" t="s">
        <v>50</v>
      </c>
      <c r="M779" s="2" t="s">
        <v>51</v>
      </c>
      <c r="N779" s="2" t="s">
        <v>140</v>
      </c>
      <c r="O779" s="3" t="n">
        <v>0</v>
      </c>
      <c r="P779" s="2" t="s">
        <v>189</v>
      </c>
      <c r="Q779" s="2" t="s">
        <v>190</v>
      </c>
      <c r="R779" s="2" t="s">
        <v>188</v>
      </c>
      <c r="S779" s="2" t="s">
        <v>51</v>
      </c>
      <c r="T779" s="2" t="s">
        <v>2967</v>
      </c>
      <c r="U779" s="2" t="s">
        <v>192</v>
      </c>
      <c r="V779" s="4" t="n">
        <v>449000</v>
      </c>
      <c r="W779" s="5" t="n">
        <v>13.64</v>
      </c>
      <c r="X779" s="3" t="n">
        <v>18</v>
      </c>
      <c r="Y779" s="6" t="n">
        <v>46174</v>
      </c>
      <c r="Z779" s="6" t="n">
        <v>46175</v>
      </c>
      <c r="AA779" s="6" t="n">
        <v>46177</v>
      </c>
      <c r="AB779" s="4" t="n">
        <f aca="false">ROUND(PMT(W779/1200,X779,-V779),2)</f>
        <v>27724.23</v>
      </c>
      <c r="AC779" s="4" t="n">
        <v>455000</v>
      </c>
      <c r="AD779" s="3" t="n">
        <v>0</v>
      </c>
      <c r="AE779" s="4" t="n">
        <v>213800</v>
      </c>
      <c r="AF779" s="4" t="n">
        <v>97400</v>
      </c>
      <c r="AG779" s="3" t="n">
        <v>15</v>
      </c>
      <c r="AH779" s="4" t="n">
        <v>68900</v>
      </c>
      <c r="AI779" s="3" t="n">
        <v>677</v>
      </c>
      <c r="AJ779" s="7" t="n">
        <f aca="false">ROUND(AB779/I779,4)</f>
        <v>0.4366</v>
      </c>
      <c r="AK779" s="2" t="str">
        <f aca="false">IF(AND(AI779&gt;=750,AJ779&lt;=0.35),"Low",IF(AND(AI779&gt;=600,AJ779&lt;=0.5),"Medium","High"))</f>
        <v>Medium</v>
      </c>
      <c r="AL779" s="3" t="n">
        <v>3</v>
      </c>
      <c r="AM779" s="2" t="s">
        <v>58</v>
      </c>
      <c r="AN779" s="2" t="s">
        <v>258</v>
      </c>
      <c r="AO779" s="2" t="s">
        <v>60</v>
      </c>
      <c r="AP779" s="7" t="n">
        <v>0.25</v>
      </c>
    </row>
    <row r="780" customFormat="false" ht="15" hidden="false" customHeight="false" outlineLevel="0" collapsed="false">
      <c r="A780" s="2" t="s">
        <v>2968</v>
      </c>
      <c r="B780" s="2" t="s">
        <v>2969</v>
      </c>
      <c r="C780" s="2" t="s">
        <v>62</v>
      </c>
      <c r="D780" s="2" t="s">
        <v>109</v>
      </c>
      <c r="E780" s="3" t="n">
        <v>30</v>
      </c>
      <c r="F780" s="2" t="s">
        <v>64</v>
      </c>
      <c r="G780" s="2" t="s">
        <v>90</v>
      </c>
      <c r="H780" s="2" t="s">
        <v>123</v>
      </c>
      <c r="I780" s="4" t="n">
        <v>28000</v>
      </c>
      <c r="J780" s="2" t="s">
        <v>90</v>
      </c>
      <c r="K780" s="3" t="n">
        <v>2</v>
      </c>
      <c r="L780" s="2" t="s">
        <v>114</v>
      </c>
      <c r="M780" s="2" t="s">
        <v>114</v>
      </c>
      <c r="N780" s="2" t="s">
        <v>81</v>
      </c>
      <c r="O780" s="3"/>
      <c r="P780" s="2" t="s">
        <v>115</v>
      </c>
      <c r="Q780" s="2" t="s">
        <v>116</v>
      </c>
      <c r="R780" s="2" t="s">
        <v>114</v>
      </c>
      <c r="S780" s="2" t="s">
        <v>114</v>
      </c>
      <c r="T780" s="2" t="s">
        <v>2970</v>
      </c>
      <c r="U780" s="2" t="s">
        <v>192</v>
      </c>
      <c r="V780" s="4" t="n">
        <v>222000</v>
      </c>
      <c r="W780" s="5" t="n">
        <v>12.46</v>
      </c>
      <c r="X780" s="3" t="n">
        <v>30</v>
      </c>
      <c r="Y780" s="6" t="n">
        <v>46192</v>
      </c>
      <c r="Z780" s="6" t="n">
        <v>46201</v>
      </c>
      <c r="AA780" s="6" t="n">
        <v>46204</v>
      </c>
      <c r="AB780" s="4" t="n">
        <f aca="false">ROUND(PMT(W780/1200,X780,-V780),2)</f>
        <v>8650.34</v>
      </c>
      <c r="AC780" s="4" t="n">
        <v>259000</v>
      </c>
      <c r="AD780" s="3" t="n">
        <v>3</v>
      </c>
      <c r="AE780" s="4" t="n">
        <v>58000</v>
      </c>
      <c r="AF780" s="4" t="n">
        <v>20100</v>
      </c>
      <c r="AG780" s="3" t="n">
        <v>2</v>
      </c>
      <c r="AH780" s="4" t="n">
        <v>15100</v>
      </c>
      <c r="AI780" s="3" t="n">
        <v>876</v>
      </c>
      <c r="AJ780" s="7" t="n">
        <f aca="false">ROUND(AB780/I780,4)</f>
        <v>0.3089</v>
      </c>
      <c r="AK780" s="2" t="str">
        <f aca="false">IF(AND(AI780&gt;=750,AJ780&lt;=0.35),"Low",IF(AND(AI780&gt;=600,AJ780&lt;=0.5),"Medium","High"))</f>
        <v>Low</v>
      </c>
      <c r="AL780" s="3" t="n">
        <v>0</v>
      </c>
      <c r="AM780" s="2" t="s">
        <v>58</v>
      </c>
      <c r="AN780" s="2" t="s">
        <v>59</v>
      </c>
      <c r="AO780" s="2" t="s">
        <v>60</v>
      </c>
      <c r="AP780" s="7" t="n">
        <v>0.113</v>
      </c>
    </row>
    <row r="781" customFormat="false" ht="15" hidden="false" customHeight="false" outlineLevel="0" collapsed="false">
      <c r="A781" s="2" t="s">
        <v>2971</v>
      </c>
      <c r="B781" s="2" t="s">
        <v>2867</v>
      </c>
      <c r="C781" s="2" t="s">
        <v>2972</v>
      </c>
      <c r="D781" s="2" t="s">
        <v>109</v>
      </c>
      <c r="E781" s="3" t="n">
        <v>41</v>
      </c>
      <c r="F781" s="2" t="s">
        <v>64</v>
      </c>
      <c r="G781" s="2"/>
      <c r="H781" s="2" t="s">
        <v>123</v>
      </c>
      <c r="I781" s="4" t="n">
        <v>22000</v>
      </c>
      <c r="J781" s="2" t="s">
        <v>145</v>
      </c>
      <c r="K781" s="3" t="n">
        <v>16</v>
      </c>
      <c r="L781" s="2" t="s">
        <v>231</v>
      </c>
      <c r="M781" s="2" t="s">
        <v>92</v>
      </c>
      <c r="N781" s="2" t="s">
        <v>52</v>
      </c>
      <c r="O781" s="3" t="n">
        <v>1</v>
      </c>
      <c r="P781" s="2" t="s">
        <v>229</v>
      </c>
      <c r="Q781" s="2" t="s">
        <v>230</v>
      </c>
      <c r="R781" s="2" t="s">
        <v>231</v>
      </c>
      <c r="S781" s="2" t="s">
        <v>92</v>
      </c>
      <c r="T781" s="2" t="s">
        <v>2973</v>
      </c>
      <c r="U781" s="2" t="s">
        <v>85</v>
      </c>
      <c r="V781" s="4" t="n">
        <v>59000</v>
      </c>
      <c r="W781" s="5" t="n">
        <v>9.25</v>
      </c>
      <c r="X781" s="3" t="n">
        <v>6</v>
      </c>
      <c r="Y781" s="6" t="n">
        <v>46179</v>
      </c>
      <c r="Z781" s="6" t="n">
        <v>46184</v>
      </c>
      <c r="AA781" s="6" t="n">
        <v>46188</v>
      </c>
      <c r="AB781" s="4" t="n">
        <f aca="false">ROUND(PMT(W781/1200,X781,-V781),2)</f>
        <v>10100.33</v>
      </c>
      <c r="AC781" s="4" t="n">
        <v>0</v>
      </c>
      <c r="AD781" s="3" t="n">
        <v>0</v>
      </c>
      <c r="AE781" s="4" t="n">
        <v>11800</v>
      </c>
      <c r="AF781" s="4" t="n">
        <v>5200</v>
      </c>
      <c r="AG781" s="3" t="n">
        <v>49</v>
      </c>
      <c r="AH781" s="4" t="n">
        <v>14100</v>
      </c>
      <c r="AI781" s="3" t="n">
        <v>630</v>
      </c>
      <c r="AJ781" s="7" t="n">
        <f aca="false">ROUND(AB781/I781,4)</f>
        <v>0.4591</v>
      </c>
      <c r="AK781" s="2" t="str">
        <f aca="false">IF(AND(AI781&gt;=750,AJ781&lt;=0.35),"Low",IF(AND(AI781&gt;=600,AJ781&lt;=0.5),"Medium","High"))</f>
        <v>Medium</v>
      </c>
      <c r="AL781" s="3" t="n">
        <v>3</v>
      </c>
      <c r="AM781" s="2" t="s">
        <v>58</v>
      </c>
      <c r="AN781" s="2" t="s">
        <v>59</v>
      </c>
      <c r="AO781" s="2" t="s">
        <v>86</v>
      </c>
      <c r="AP781" s="7" t="n">
        <v>0.333</v>
      </c>
    </row>
    <row r="782" customFormat="false" ht="15" hidden="false" customHeight="false" outlineLevel="0" collapsed="false">
      <c r="A782" s="2" t="s">
        <v>2974</v>
      </c>
      <c r="B782" s="2" t="s">
        <v>2975</v>
      </c>
      <c r="C782" s="2" t="s">
        <v>2976</v>
      </c>
      <c r="D782" s="2" t="s">
        <v>109</v>
      </c>
      <c r="E782" s="3" t="n">
        <v>21</v>
      </c>
      <c r="F782" s="2" t="s">
        <v>46</v>
      </c>
      <c r="G782" s="2" t="s">
        <v>207</v>
      </c>
      <c r="H782" s="2" t="s">
        <v>77</v>
      </c>
      <c r="I782" s="4" t="n">
        <v>37500</v>
      </c>
      <c r="J782" s="2" t="s">
        <v>49</v>
      </c>
      <c r="K782" s="3" t="n">
        <v>2</v>
      </c>
      <c r="L782" s="2" t="s">
        <v>196</v>
      </c>
      <c r="M782" s="2" t="s">
        <v>139</v>
      </c>
      <c r="N782" s="2" t="s">
        <v>102</v>
      </c>
      <c r="O782" s="3" t="n">
        <v>0</v>
      </c>
      <c r="P782" s="2" t="s">
        <v>197</v>
      </c>
      <c r="Q782" s="2" t="s">
        <v>198</v>
      </c>
      <c r="R782" s="2" t="s">
        <v>139</v>
      </c>
      <c r="S782" s="2" t="s">
        <v>139</v>
      </c>
      <c r="T782" s="2" t="s">
        <v>2977</v>
      </c>
      <c r="U782" s="2" t="s">
        <v>97</v>
      </c>
      <c r="V782" s="4" t="n">
        <v>376000</v>
      </c>
      <c r="W782" s="5" t="n">
        <v>15.84</v>
      </c>
      <c r="X782" s="3" t="n">
        <v>54</v>
      </c>
      <c r="Y782" s="6" t="n">
        <v>46198</v>
      </c>
      <c r="Z782" s="6"/>
      <c r="AA782" s="6"/>
      <c r="AB782" s="4" t="n">
        <f aca="false">ROUND(PMT(W782/1200,X782,-V782),2)</f>
        <v>9780.88</v>
      </c>
      <c r="AC782" s="4" t="n">
        <v>0</v>
      </c>
      <c r="AD782" s="3" t="n">
        <v>1</v>
      </c>
      <c r="AE782" s="4" t="n">
        <v>102300</v>
      </c>
      <c r="AF782" s="4" t="n">
        <v>36900</v>
      </c>
      <c r="AG782" s="3" t="n">
        <v>8</v>
      </c>
      <c r="AH782" s="4" t="n">
        <v>24300</v>
      </c>
      <c r="AI782" s="3" t="n">
        <v>601</v>
      </c>
      <c r="AJ782" s="7" t="n">
        <f aca="false">ROUND(AB782/I782,4)</f>
        <v>0.2608</v>
      </c>
      <c r="AK782" s="2" t="str">
        <f aca="false">IF(AND(AI782&gt;=750,AJ782&lt;=0.35),"Low",IF(AND(AI782&gt;=600,AJ782&lt;=0.5),"Medium","High"))</f>
        <v>Medium</v>
      </c>
      <c r="AL782" s="3" t="n">
        <v>1</v>
      </c>
      <c r="AM782" s="2" t="s">
        <v>58</v>
      </c>
      <c r="AN782" s="2"/>
      <c r="AO782" s="2" t="s">
        <v>134</v>
      </c>
      <c r="AP782" s="7" t="n">
        <v>0.337</v>
      </c>
    </row>
    <row r="783" customFormat="false" ht="15" hidden="false" customHeight="false" outlineLevel="0" collapsed="false">
      <c r="A783" s="2" t="s">
        <v>2978</v>
      </c>
      <c r="B783" s="2" t="s">
        <v>555</v>
      </c>
      <c r="C783" s="2" t="s">
        <v>2979</v>
      </c>
      <c r="D783" s="2" t="s">
        <v>45</v>
      </c>
      <c r="E783" s="3" t="n">
        <v>37</v>
      </c>
      <c r="F783" s="2" t="s">
        <v>64</v>
      </c>
      <c r="G783" s="2" t="s">
        <v>166</v>
      </c>
      <c r="H783" s="2" t="s">
        <v>101</v>
      </c>
      <c r="I783" s="4" t="n">
        <v>108500</v>
      </c>
      <c r="J783" s="2" t="s">
        <v>145</v>
      </c>
      <c r="K783" s="3" t="n">
        <v>16</v>
      </c>
      <c r="L783" s="2" t="s">
        <v>2455</v>
      </c>
      <c r="M783" s="2" t="s">
        <v>139</v>
      </c>
      <c r="N783" s="2" t="s">
        <v>81</v>
      </c>
      <c r="O783" s="3" t="n">
        <v>3</v>
      </c>
      <c r="P783" s="2" t="s">
        <v>197</v>
      </c>
      <c r="Q783" s="2" t="s">
        <v>198</v>
      </c>
      <c r="R783" s="2" t="s">
        <v>139</v>
      </c>
      <c r="S783" s="2" t="s">
        <v>139</v>
      </c>
      <c r="T783" s="2" t="s">
        <v>2980</v>
      </c>
      <c r="U783" s="2" t="s">
        <v>180</v>
      </c>
      <c r="V783" s="4" t="n">
        <v>1592000</v>
      </c>
      <c r="W783" s="5" t="n">
        <v>11.53</v>
      </c>
      <c r="X783" s="3" t="n">
        <v>42</v>
      </c>
      <c r="Y783" s="6" t="n">
        <v>46180</v>
      </c>
      <c r="Z783" s="6" t="n">
        <v>46185</v>
      </c>
      <c r="AA783" s="6" t="n">
        <v>46191</v>
      </c>
      <c r="AB783" s="4" t="n">
        <f aca="false">ROUND(PMT(W783/1200,X783,-V783),2)</f>
        <v>46245.39</v>
      </c>
      <c r="AC783" s="4" t="n">
        <v>2277000</v>
      </c>
      <c r="AD783" s="3" t="n">
        <v>0</v>
      </c>
      <c r="AE783" s="4" t="n">
        <v>208600</v>
      </c>
      <c r="AF783" s="4" t="n">
        <v>111200</v>
      </c>
      <c r="AG783" s="3" t="n">
        <v>23</v>
      </c>
      <c r="AH783" s="4" t="n">
        <v>114000</v>
      </c>
      <c r="AI783" s="3" t="n">
        <v>730</v>
      </c>
      <c r="AJ783" s="7" t="n">
        <f aca="false">ROUND(AB783/I783,4)</f>
        <v>0.4262</v>
      </c>
      <c r="AK783" s="2" t="str">
        <f aca="false">IF(AND(AI783&gt;=750,AJ783&lt;=0.35),"Low",IF(AND(AI783&gt;=600,AJ783&lt;=0.5),"Medium","High"))</f>
        <v>Medium</v>
      </c>
      <c r="AL783" s="3" t="n">
        <v>1</v>
      </c>
      <c r="AM783" s="2" t="s">
        <v>58</v>
      </c>
      <c r="AN783" s="2" t="s">
        <v>59</v>
      </c>
      <c r="AO783" s="2" t="s">
        <v>60</v>
      </c>
      <c r="AP783" s="7" t="n">
        <v>0.201</v>
      </c>
    </row>
    <row r="784" customFormat="false" ht="15" hidden="false" customHeight="false" outlineLevel="0" collapsed="false">
      <c r="A784" s="2" t="s">
        <v>2981</v>
      </c>
      <c r="B784" s="2" t="s">
        <v>2982</v>
      </c>
      <c r="C784" s="2" t="s">
        <v>2983</v>
      </c>
      <c r="D784" s="2" t="s">
        <v>45</v>
      </c>
      <c r="E784" s="3" t="n">
        <v>33</v>
      </c>
      <c r="F784" s="2" t="s">
        <v>175</v>
      </c>
      <c r="G784" s="2"/>
      <c r="H784" s="2" t="s">
        <v>111</v>
      </c>
      <c r="I784" s="4" t="n">
        <v>9000</v>
      </c>
      <c r="J784" s="2" t="s">
        <v>145</v>
      </c>
      <c r="K784" s="3" t="n">
        <v>7</v>
      </c>
      <c r="L784" s="2" t="s">
        <v>348</v>
      </c>
      <c r="M784" s="2" t="s">
        <v>67</v>
      </c>
      <c r="N784" s="2" t="s">
        <v>81</v>
      </c>
      <c r="O784" s="3" t="n">
        <v>2</v>
      </c>
      <c r="P784" s="2" t="s">
        <v>103</v>
      </c>
      <c r="Q784" s="2" t="s">
        <v>104</v>
      </c>
      <c r="R784" s="2" t="s">
        <v>67</v>
      </c>
      <c r="S784" s="2" t="s">
        <v>67</v>
      </c>
      <c r="T784" s="2" t="s">
        <v>2984</v>
      </c>
      <c r="U784" s="2" t="s">
        <v>85</v>
      </c>
      <c r="V784" s="4" t="n">
        <v>68000</v>
      </c>
      <c r="W784" s="5" t="n">
        <v>7.63</v>
      </c>
      <c r="X784" s="3" t="n">
        <v>36</v>
      </c>
      <c r="Y784" s="6" t="n">
        <v>46198</v>
      </c>
      <c r="Z784" s="6"/>
      <c r="AA784" s="6"/>
      <c r="AB784" s="4" t="n">
        <f aca="false">ROUND(PMT(W784/1200,X784,-V784),2)</f>
        <v>2119.29</v>
      </c>
      <c r="AC784" s="4" t="n">
        <v>0</v>
      </c>
      <c r="AD784" s="3" t="n">
        <v>2</v>
      </c>
      <c r="AE784" s="4" t="n">
        <v>34600</v>
      </c>
      <c r="AF784" s="4" t="n">
        <v>6200</v>
      </c>
      <c r="AG784" s="3" t="n">
        <v>64</v>
      </c>
      <c r="AH784" s="4" t="n">
        <v>4100</v>
      </c>
      <c r="AI784" s="3" t="n">
        <v>670</v>
      </c>
      <c r="AJ784" s="7" t="n">
        <f aca="false">ROUND(AB784/I784,4)</f>
        <v>0.2355</v>
      </c>
      <c r="AK784" s="2" t="str">
        <f aca="false">IF(AND(AI784&gt;=750,AJ784&lt;=0.35),"Low",IF(AND(AI784&gt;=600,AJ784&lt;=0.5),"Medium","High"))</f>
        <v>Medium</v>
      </c>
      <c r="AL784" s="3" t="n">
        <v>2</v>
      </c>
      <c r="AM784" s="2" t="s">
        <v>58</v>
      </c>
      <c r="AN784" s="2"/>
      <c r="AO784" s="2" t="s">
        <v>127</v>
      </c>
      <c r="AP784" s="7" t="n">
        <v>0.217</v>
      </c>
    </row>
    <row r="785" customFormat="false" ht="15" hidden="false" customHeight="false" outlineLevel="0" collapsed="false">
      <c r="A785" s="2" t="s">
        <v>2985</v>
      </c>
      <c r="B785" s="2" t="s">
        <v>2986</v>
      </c>
      <c r="C785" s="2" t="s">
        <v>437</v>
      </c>
      <c r="D785" s="2" t="s">
        <v>109</v>
      </c>
      <c r="E785" s="3" t="n">
        <v>31</v>
      </c>
      <c r="F785" s="2"/>
      <c r="G785" s="2" t="s">
        <v>246</v>
      </c>
      <c r="H785" s="2" t="s">
        <v>123</v>
      </c>
      <c r="I785" s="4" t="n">
        <v>18500</v>
      </c>
      <c r="J785" s="2" t="s">
        <v>145</v>
      </c>
      <c r="K785" s="3" t="n">
        <v>5</v>
      </c>
      <c r="L785" s="2" t="s">
        <v>348</v>
      </c>
      <c r="M785" s="2" t="s">
        <v>67</v>
      </c>
      <c r="N785" s="2" t="s">
        <v>140</v>
      </c>
      <c r="O785" s="3" t="n">
        <v>1</v>
      </c>
      <c r="P785" s="2" t="s">
        <v>68</v>
      </c>
      <c r="Q785" s="2" t="s">
        <v>69</v>
      </c>
      <c r="R785" s="2" t="s">
        <v>70</v>
      </c>
      <c r="S785" s="2" t="s">
        <v>67</v>
      </c>
      <c r="T785" s="2" t="s">
        <v>2987</v>
      </c>
      <c r="U785" s="2" t="s">
        <v>72</v>
      </c>
      <c r="V785" s="4" t="n">
        <v>317000</v>
      </c>
      <c r="W785" s="5" t="n">
        <v>15.16</v>
      </c>
      <c r="X785" s="3" t="n">
        <v>72</v>
      </c>
      <c r="Y785" s="6" t="n">
        <v>46188</v>
      </c>
      <c r="Z785" s="6" t="n">
        <v>46198</v>
      </c>
      <c r="AA785" s="6" t="n">
        <v>46201</v>
      </c>
      <c r="AB785" s="4" t="n">
        <f aca="false">ROUND(PMT(W785/1200,X785,-V785),2)</f>
        <v>6730.54</v>
      </c>
      <c r="AC785" s="4" t="n">
        <v>408000</v>
      </c>
      <c r="AD785" s="3" t="n">
        <v>0</v>
      </c>
      <c r="AE785" s="4" t="n">
        <v>28500</v>
      </c>
      <c r="AF785" s="4" t="n">
        <v>5500</v>
      </c>
      <c r="AG785" s="3" t="n">
        <v>20</v>
      </c>
      <c r="AH785" s="4" t="n">
        <v>14700</v>
      </c>
      <c r="AI785" s="3" t="n">
        <v>572</v>
      </c>
      <c r="AJ785" s="7" t="n">
        <f aca="false">ROUND(AB785/I785,4)</f>
        <v>0.3638</v>
      </c>
      <c r="AK785" s="2" t="str">
        <f aca="false">IF(AND(AI785&gt;=750,AJ785&lt;=0.35),"Low",IF(AND(AI785&gt;=600,AJ785&lt;=0.5),"Medium","High"))</f>
        <v>High</v>
      </c>
      <c r="AL785" s="3" t="n">
        <v>6</v>
      </c>
      <c r="AM785" s="2" t="s">
        <v>233</v>
      </c>
      <c r="AN785" s="2" t="s">
        <v>59</v>
      </c>
      <c r="AO785" s="2" t="s">
        <v>60</v>
      </c>
      <c r="AP785" s="7" t="n">
        <v>0.614</v>
      </c>
    </row>
    <row r="786" customFormat="false" ht="15" hidden="false" customHeight="false" outlineLevel="0" collapsed="false">
      <c r="A786" s="2" t="s">
        <v>2988</v>
      </c>
      <c r="B786" s="2" t="s">
        <v>2989</v>
      </c>
      <c r="C786" s="2" t="s">
        <v>2990</v>
      </c>
      <c r="D786" s="2" t="s">
        <v>45</v>
      </c>
      <c r="E786" s="3" t="n">
        <v>36</v>
      </c>
      <c r="F786" s="2" t="s">
        <v>64</v>
      </c>
      <c r="G786" s="2" t="s">
        <v>207</v>
      </c>
      <c r="H786" s="2" t="s">
        <v>77</v>
      </c>
      <c r="I786" s="4" t="n">
        <v>40500</v>
      </c>
      <c r="J786" s="2" t="s">
        <v>49</v>
      </c>
      <c r="K786" s="3" t="n">
        <v>10</v>
      </c>
      <c r="L786" s="2" t="s">
        <v>114</v>
      </c>
      <c r="M786" s="2" t="s">
        <v>114</v>
      </c>
      <c r="N786" s="2" t="s">
        <v>140</v>
      </c>
      <c r="O786" s="3" t="n">
        <v>0</v>
      </c>
      <c r="P786" s="2" t="s">
        <v>115</v>
      </c>
      <c r="Q786" s="2" t="s">
        <v>116</v>
      </c>
      <c r="R786" s="2" t="s">
        <v>114</v>
      </c>
      <c r="S786" s="2" t="s">
        <v>114</v>
      </c>
      <c r="T786" s="2" t="s">
        <v>2991</v>
      </c>
      <c r="U786" s="2" t="s">
        <v>180</v>
      </c>
      <c r="V786" s="4" t="n">
        <v>1047000</v>
      </c>
      <c r="W786" s="5" t="n">
        <v>11.07</v>
      </c>
      <c r="X786" s="3" t="n">
        <v>72</v>
      </c>
      <c r="Y786" s="6" t="n">
        <v>46191</v>
      </c>
      <c r="Z786" s="6"/>
      <c r="AA786" s="6"/>
      <c r="AB786" s="4" t="n">
        <f aca="false">ROUND(PMT(W786/1200,X786,-V786),2)</f>
        <v>19966.24</v>
      </c>
      <c r="AC786" s="4" t="n">
        <v>1537000</v>
      </c>
      <c r="AD786" s="3" t="n">
        <v>1</v>
      </c>
      <c r="AE786" s="4" t="n">
        <v>125400</v>
      </c>
      <c r="AF786" s="4" t="n">
        <v>56200</v>
      </c>
      <c r="AG786" s="3" t="n">
        <v>2</v>
      </c>
      <c r="AH786" s="4" t="n">
        <v>41000</v>
      </c>
      <c r="AI786" s="3" t="n">
        <v>640</v>
      </c>
      <c r="AJ786" s="7" t="n">
        <f aca="false">ROUND(AB786/I786,4)</f>
        <v>0.493</v>
      </c>
      <c r="AK786" s="2" t="str">
        <f aca="false">IF(AND(AI786&gt;=750,AJ786&lt;=0.35),"Low",IF(AND(AI786&gt;=600,AJ786&lt;=0.5),"Medium","High"))</f>
        <v>Medium</v>
      </c>
      <c r="AL786" s="3" t="n">
        <v>2</v>
      </c>
      <c r="AM786" s="2" t="s">
        <v>58</v>
      </c>
      <c r="AN786" s="2"/>
      <c r="AO786" s="2" t="s">
        <v>127</v>
      </c>
      <c r="AP786" s="7" t="n">
        <v>0.374</v>
      </c>
    </row>
    <row r="787" customFormat="false" ht="15" hidden="false" customHeight="false" outlineLevel="0" collapsed="false">
      <c r="A787" s="2" t="s">
        <v>2992</v>
      </c>
      <c r="B787" s="2" t="s">
        <v>2077</v>
      </c>
      <c r="C787" s="2" t="s">
        <v>2993</v>
      </c>
      <c r="D787" s="2" t="s">
        <v>45</v>
      </c>
      <c r="E787" s="3" t="n">
        <v>49</v>
      </c>
      <c r="F787" s="2" t="s">
        <v>46</v>
      </c>
      <c r="G787" s="2" t="s">
        <v>176</v>
      </c>
      <c r="H787" s="2" t="s">
        <v>123</v>
      </c>
      <c r="I787" s="4" t="n">
        <v>56000</v>
      </c>
      <c r="J787" s="2" t="s">
        <v>177</v>
      </c>
      <c r="K787" s="3" t="n">
        <v>29</v>
      </c>
      <c r="L787" s="2" t="s">
        <v>70</v>
      </c>
      <c r="M787" s="2" t="s">
        <v>67</v>
      </c>
      <c r="N787" s="2" t="s">
        <v>140</v>
      </c>
      <c r="O787" s="3" t="n">
        <v>1</v>
      </c>
      <c r="P787" s="2" t="s">
        <v>68</v>
      </c>
      <c r="Q787" s="2" t="s">
        <v>69</v>
      </c>
      <c r="R787" s="2" t="s">
        <v>70</v>
      </c>
      <c r="S787" s="2" t="s">
        <v>67</v>
      </c>
      <c r="T787" s="2" t="s">
        <v>2994</v>
      </c>
      <c r="U787" s="2" t="s">
        <v>85</v>
      </c>
      <c r="V787" s="4" t="n">
        <v>321000</v>
      </c>
      <c r="W787" s="5" t="n">
        <v>9.27</v>
      </c>
      <c r="X787" s="3" t="n">
        <v>18</v>
      </c>
      <c r="Y787" s="6" t="n">
        <v>46200</v>
      </c>
      <c r="Z787" s="6" t="n">
        <v>46203</v>
      </c>
      <c r="AA787" s="6" t="n">
        <v>46206</v>
      </c>
      <c r="AB787" s="4" t="n">
        <f aca="false">ROUND(PMT(W787/1200,X787,-V787),2)</f>
        <v>19170.6</v>
      </c>
      <c r="AC787" s="4" t="n">
        <v>0</v>
      </c>
      <c r="AD787" s="3" t="n">
        <v>0</v>
      </c>
      <c r="AE787" s="4" t="n">
        <v>72800</v>
      </c>
      <c r="AF787" s="4" t="n">
        <v>21200</v>
      </c>
      <c r="AG787" s="3" t="n">
        <v>31</v>
      </c>
      <c r="AH787" s="4" t="n">
        <v>46100</v>
      </c>
      <c r="AI787" s="3" t="n">
        <v>742</v>
      </c>
      <c r="AJ787" s="7" t="n">
        <f aca="false">ROUND(AB787/I787,4)</f>
        <v>0.3423</v>
      </c>
      <c r="AK787" s="2" t="str">
        <f aca="false">IF(AND(AI787&gt;=750,AJ787&lt;=0.35),"Low",IF(AND(AI787&gt;=600,AJ787&lt;=0.5),"Medium","High"))</f>
        <v>Medium</v>
      </c>
      <c r="AL787" s="3" t="n">
        <v>0</v>
      </c>
      <c r="AM787" s="2" t="s">
        <v>58</v>
      </c>
      <c r="AN787" s="2" t="s">
        <v>59</v>
      </c>
      <c r="AO787" s="2" t="s">
        <v>60</v>
      </c>
      <c r="AP787" s="7" t="n">
        <v>0.184</v>
      </c>
    </row>
    <row r="788" customFormat="false" ht="15" hidden="false" customHeight="false" outlineLevel="0" collapsed="false">
      <c r="A788" s="2" t="s">
        <v>2995</v>
      </c>
      <c r="B788" s="2" t="s">
        <v>2996</v>
      </c>
      <c r="C788" s="2" t="s">
        <v>537</v>
      </c>
      <c r="D788" s="2" t="s">
        <v>45</v>
      </c>
      <c r="E788" s="3" t="n">
        <v>39</v>
      </c>
      <c r="F788" s="2" t="s">
        <v>434</v>
      </c>
      <c r="G788" s="2" t="s">
        <v>145</v>
      </c>
      <c r="H788" s="2" t="s">
        <v>111</v>
      </c>
      <c r="I788" s="4" t="n">
        <v>22000</v>
      </c>
      <c r="J788" s="2" t="s">
        <v>145</v>
      </c>
      <c r="K788" s="3" t="n">
        <v>19</v>
      </c>
      <c r="L788" s="2" t="s">
        <v>1251</v>
      </c>
      <c r="M788" s="2" t="s">
        <v>51</v>
      </c>
      <c r="N788" s="2" t="s">
        <v>52</v>
      </c>
      <c r="O788" s="3" t="n">
        <v>2</v>
      </c>
      <c r="P788" s="2" t="s">
        <v>131</v>
      </c>
      <c r="Q788" s="2" t="s">
        <v>132</v>
      </c>
      <c r="R788" s="2" t="s">
        <v>51</v>
      </c>
      <c r="S788" s="2" t="s">
        <v>51</v>
      </c>
      <c r="T788" s="2" t="s">
        <v>2997</v>
      </c>
      <c r="U788" s="2" t="s">
        <v>97</v>
      </c>
      <c r="V788" s="4" t="n">
        <v>217000</v>
      </c>
      <c r="W788" s="5" t="n">
        <v>11.58</v>
      </c>
      <c r="X788" s="3" t="n">
        <v>54</v>
      </c>
      <c r="Y788" s="6" t="n">
        <v>46184</v>
      </c>
      <c r="Z788" s="6" t="n">
        <v>46186</v>
      </c>
      <c r="AA788" s="6" t="n">
        <v>46188</v>
      </c>
      <c r="AB788" s="4" t="n">
        <f aca="false">ROUND(PMT(W788/1200,X788,-V788),2)</f>
        <v>5175</v>
      </c>
      <c r="AC788" s="4" t="n">
        <v>0</v>
      </c>
      <c r="AD788" s="3" t="n">
        <v>2</v>
      </c>
      <c r="AE788" s="4" t="n">
        <v>60600</v>
      </c>
      <c r="AF788" s="4" t="n">
        <v>11200</v>
      </c>
      <c r="AG788" s="3" t="n">
        <v>6</v>
      </c>
      <c r="AH788" s="4" t="n">
        <v>23800</v>
      </c>
      <c r="AI788" s="3" t="n">
        <v>769</v>
      </c>
      <c r="AJ788" s="7" t="n">
        <f aca="false">ROUND(AB788/I788,4)</f>
        <v>0.2352</v>
      </c>
      <c r="AK788" s="2" t="str">
        <f aca="false">IF(AND(AI788&gt;=750,AJ788&lt;=0.35),"Low",IF(AND(AI788&gt;=600,AJ788&lt;=0.5),"Medium","High"))</f>
        <v>Low</v>
      </c>
      <c r="AL788" s="3" t="n">
        <v>2</v>
      </c>
      <c r="AM788" s="2" t="s">
        <v>58</v>
      </c>
      <c r="AN788" s="2" t="s">
        <v>59</v>
      </c>
      <c r="AO788" s="2" t="s">
        <v>60</v>
      </c>
      <c r="AP788" s="7" t="n">
        <v>0.2</v>
      </c>
    </row>
    <row r="789" customFormat="false" ht="15" hidden="false" customHeight="false" outlineLevel="0" collapsed="false">
      <c r="A789" s="2" t="s">
        <v>2998</v>
      </c>
      <c r="B789" s="2" t="s">
        <v>2999</v>
      </c>
      <c r="C789" s="2" t="s">
        <v>1498</v>
      </c>
      <c r="D789" s="2" t="s">
        <v>109</v>
      </c>
      <c r="E789" s="3" t="n">
        <v>30</v>
      </c>
      <c r="F789" s="2" t="s">
        <v>64</v>
      </c>
      <c r="G789" s="2" t="s">
        <v>65</v>
      </c>
      <c r="H789" s="2" t="s">
        <v>101</v>
      </c>
      <c r="I789" s="4" t="n">
        <v>43000</v>
      </c>
      <c r="J789" s="2" t="s">
        <v>49</v>
      </c>
      <c r="K789" s="3" t="n">
        <v>2</v>
      </c>
      <c r="L789" s="2" t="s">
        <v>80</v>
      </c>
      <c r="M789" s="2" t="s">
        <v>80</v>
      </c>
      <c r="N789" s="2" t="s">
        <v>52</v>
      </c>
      <c r="O789" s="3" t="n">
        <v>3</v>
      </c>
      <c r="P789" s="2" t="s">
        <v>82</v>
      </c>
      <c r="Q789" s="2" t="s">
        <v>83</v>
      </c>
      <c r="R789" s="2" t="s">
        <v>80</v>
      </c>
      <c r="S789" s="2" t="s">
        <v>80</v>
      </c>
      <c r="T789" s="2" t="s">
        <v>3000</v>
      </c>
      <c r="U789" s="2" t="s">
        <v>180</v>
      </c>
      <c r="V789" s="4" t="n">
        <v>300000</v>
      </c>
      <c r="W789" s="5" t="n">
        <v>12.37</v>
      </c>
      <c r="X789" s="3" t="n">
        <v>36</v>
      </c>
      <c r="Y789" s="6" t="n">
        <v>46183</v>
      </c>
      <c r="Z789" s="6"/>
      <c r="AA789" s="6"/>
      <c r="AB789" s="4" t="n">
        <f aca="false">ROUND(PMT(W789/1200,X789,-V789),2)</f>
        <v>10017.39</v>
      </c>
      <c r="AC789" s="4" t="n">
        <v>341000</v>
      </c>
      <c r="AD789" s="3" t="n">
        <v>1</v>
      </c>
      <c r="AE789" s="4" t="n">
        <v>106400</v>
      </c>
      <c r="AF789" s="4" t="n">
        <v>22800</v>
      </c>
      <c r="AG789" s="3" t="n">
        <v>43</v>
      </c>
      <c r="AH789" s="4" t="n">
        <v>34300</v>
      </c>
      <c r="AI789" s="3" t="n">
        <v>683</v>
      </c>
      <c r="AJ789" s="7" t="n">
        <f aca="false">ROUND(AB789/I789,4)</f>
        <v>0.233</v>
      </c>
      <c r="AK789" s="2" t="str">
        <f aca="false">IF(AND(AI789&gt;=750,AJ789&lt;=0.35),"Low",IF(AND(AI789&gt;=600,AJ789&lt;=0.5),"Medium","High"))</f>
        <v>Medium</v>
      </c>
      <c r="AL789" s="3" t="n">
        <v>0</v>
      </c>
      <c r="AM789" s="2" t="s">
        <v>58</v>
      </c>
      <c r="AN789" s="2"/>
      <c r="AO789" s="2" t="s">
        <v>134</v>
      </c>
      <c r="AP789" s="7" t="n">
        <v>0.225</v>
      </c>
    </row>
    <row r="790" customFormat="false" ht="15" hidden="false" customHeight="false" outlineLevel="0" collapsed="false">
      <c r="A790" s="2" t="s">
        <v>3001</v>
      </c>
      <c r="B790" s="2" t="s">
        <v>3002</v>
      </c>
      <c r="C790" s="2" t="s">
        <v>536</v>
      </c>
      <c r="D790" s="2" t="s">
        <v>45</v>
      </c>
      <c r="E790" s="3" t="n">
        <v>37</v>
      </c>
      <c r="F790" s="2" t="s">
        <v>175</v>
      </c>
      <c r="G790" s="2" t="s">
        <v>76</v>
      </c>
      <c r="H790" s="2" t="s">
        <v>48</v>
      </c>
      <c r="I790" s="4" t="n">
        <v>45500</v>
      </c>
      <c r="J790" s="2" t="s">
        <v>78</v>
      </c>
      <c r="K790" s="3" t="n">
        <v>16</v>
      </c>
      <c r="L790" s="2" t="s">
        <v>80</v>
      </c>
      <c r="M790" s="2" t="s">
        <v>80</v>
      </c>
      <c r="N790" s="2" t="s">
        <v>81</v>
      </c>
      <c r="O790" s="3" t="n">
        <v>0</v>
      </c>
      <c r="P790" s="2" t="s">
        <v>82</v>
      </c>
      <c r="Q790" s="2" t="s">
        <v>83</v>
      </c>
      <c r="R790" s="2" t="s">
        <v>80</v>
      </c>
      <c r="S790" s="2" t="s">
        <v>80</v>
      </c>
      <c r="T790" s="2" t="s">
        <v>3003</v>
      </c>
      <c r="U790" s="2" t="s">
        <v>180</v>
      </c>
      <c r="V790" s="4" t="n">
        <v>1084000</v>
      </c>
      <c r="W790" s="5" t="n">
        <v>10.61</v>
      </c>
      <c r="X790" s="3" t="n">
        <v>66</v>
      </c>
      <c r="Y790" s="6" t="n">
        <v>46179</v>
      </c>
      <c r="Z790" s="6" t="n">
        <v>46188</v>
      </c>
      <c r="AA790" s="6" t="n">
        <v>46190</v>
      </c>
      <c r="AB790" s="4" t="n">
        <f aca="false">ROUND(PMT(W790/1200,X790,-V790),2)</f>
        <v>21750.37</v>
      </c>
      <c r="AC790" s="4" t="n">
        <v>1111000</v>
      </c>
      <c r="AD790" s="3" t="n">
        <v>1</v>
      </c>
      <c r="AE790" s="4" t="n">
        <v>23400</v>
      </c>
      <c r="AF790" s="4" t="n">
        <v>7000</v>
      </c>
      <c r="AG790" s="3" t="n">
        <v>43</v>
      </c>
      <c r="AH790" s="4" t="n">
        <v>20400</v>
      </c>
      <c r="AI790" s="3" t="n">
        <v>768</v>
      </c>
      <c r="AJ790" s="7" t="n">
        <f aca="false">ROUND(AB790/I790,4)</f>
        <v>0.478</v>
      </c>
      <c r="AK790" s="2" t="str">
        <f aca="false">IF(AND(AI790&gt;=750,AJ790&lt;=0.35),"Low",IF(AND(AI790&gt;=600,AJ790&lt;=0.5),"Medium","High"))</f>
        <v>Medium</v>
      </c>
      <c r="AL790" s="3" t="n">
        <v>1</v>
      </c>
      <c r="AM790" s="2" t="s">
        <v>58</v>
      </c>
      <c r="AN790" s="2" t="s">
        <v>59</v>
      </c>
      <c r="AO790" s="2" t="s">
        <v>60</v>
      </c>
      <c r="AP790" s="7" t="n">
        <v>0.169</v>
      </c>
    </row>
    <row r="791" customFormat="false" ht="15" hidden="false" customHeight="false" outlineLevel="0" collapsed="false">
      <c r="A791" s="2" t="s">
        <v>3004</v>
      </c>
      <c r="B791" s="2" t="s">
        <v>1918</v>
      </c>
      <c r="C791" s="2" t="s">
        <v>1950</v>
      </c>
      <c r="D791" s="2" t="s">
        <v>45</v>
      </c>
      <c r="E791" s="3" t="n">
        <v>54</v>
      </c>
      <c r="F791" s="2" t="s">
        <v>46</v>
      </c>
      <c r="G791" s="2" t="s">
        <v>207</v>
      </c>
      <c r="H791" s="2" t="s">
        <v>101</v>
      </c>
      <c r="I791" s="4" t="n">
        <v>107500</v>
      </c>
      <c r="J791" s="2" t="s">
        <v>49</v>
      </c>
      <c r="K791" s="3" t="n">
        <v>27</v>
      </c>
      <c r="L791" s="2" t="s">
        <v>241</v>
      </c>
      <c r="M791" s="2" t="s">
        <v>92</v>
      </c>
      <c r="N791" s="2" t="s">
        <v>102</v>
      </c>
      <c r="O791" s="3" t="n">
        <v>0</v>
      </c>
      <c r="P791" s="2" t="s">
        <v>209</v>
      </c>
      <c r="Q791" s="2" t="s">
        <v>210</v>
      </c>
      <c r="R791" s="2" t="s">
        <v>211</v>
      </c>
      <c r="S791" s="2" t="s">
        <v>147</v>
      </c>
      <c r="T791" s="2" t="s">
        <v>3005</v>
      </c>
      <c r="U791" s="2" t="s">
        <v>97</v>
      </c>
      <c r="V791" s="4" t="n">
        <v>1500000</v>
      </c>
      <c r="W791" s="5" t="n">
        <v>12.11</v>
      </c>
      <c r="X791" s="3" t="n">
        <v>54</v>
      </c>
      <c r="Y791" s="6" t="n">
        <v>46182</v>
      </c>
      <c r="Z791" s="6" t="n">
        <v>46186</v>
      </c>
      <c r="AA791" s="6" t="n">
        <v>46190</v>
      </c>
      <c r="AB791" s="4" t="n">
        <f aca="false">ROUND(PMT(W791/1200,X791,-V791),2)</f>
        <v>36167.11</v>
      </c>
      <c r="AC791" s="4" t="n">
        <v>0</v>
      </c>
      <c r="AD791" s="3" t="n">
        <v>0</v>
      </c>
      <c r="AE791" s="4" t="n">
        <v>148500</v>
      </c>
      <c r="AF791" s="4" t="n">
        <v>49500</v>
      </c>
      <c r="AG791" s="3" t="n">
        <v>37</v>
      </c>
      <c r="AH791" s="4" t="n">
        <v>109500</v>
      </c>
      <c r="AI791" s="3" t="n">
        <v>858</v>
      </c>
      <c r="AJ791" s="7" t="n">
        <f aca="false">ROUND(AB791/I791,4)</f>
        <v>0.3364</v>
      </c>
      <c r="AK791" s="2" t="str">
        <f aca="false">IF(AND(AI791&gt;=750,AJ791&lt;=0.35),"Low",IF(AND(AI791&gt;=600,AJ791&lt;=0.5),"Medium","High"))</f>
        <v>Low</v>
      </c>
      <c r="AL791" s="3" t="n">
        <v>1</v>
      </c>
      <c r="AM791" s="2" t="s">
        <v>58</v>
      </c>
      <c r="AN791" s="2" t="s">
        <v>59</v>
      </c>
      <c r="AO791" s="2" t="s">
        <v>60</v>
      </c>
      <c r="AP791" s="7" t="n">
        <v>0.045</v>
      </c>
    </row>
    <row r="792" customFormat="false" ht="15" hidden="false" customHeight="false" outlineLevel="0" collapsed="false">
      <c r="A792" s="2" t="s">
        <v>3006</v>
      </c>
      <c r="B792" s="2" t="s">
        <v>1707</v>
      </c>
      <c r="C792" s="2" t="s">
        <v>863</v>
      </c>
      <c r="D792" s="2" t="s">
        <v>45</v>
      </c>
      <c r="E792" s="3" t="n">
        <v>41</v>
      </c>
      <c r="F792" s="2" t="s">
        <v>434</v>
      </c>
      <c r="G792" s="2" t="s">
        <v>145</v>
      </c>
      <c r="H792" s="2" t="s">
        <v>77</v>
      </c>
      <c r="I792" s="4" t="n">
        <v>36500</v>
      </c>
      <c r="J792" s="2" t="s">
        <v>145</v>
      </c>
      <c r="K792" s="3" t="n">
        <v>18</v>
      </c>
      <c r="L792" s="2" t="s">
        <v>147</v>
      </c>
      <c r="M792" s="2" t="s">
        <v>147</v>
      </c>
      <c r="N792" s="2" t="s">
        <v>140</v>
      </c>
      <c r="O792" s="3" t="n">
        <v>0</v>
      </c>
      <c r="P792" s="2" t="s">
        <v>148</v>
      </c>
      <c r="Q792" s="2" t="s">
        <v>149</v>
      </c>
      <c r="R792" s="2" t="s">
        <v>147</v>
      </c>
      <c r="S792" s="2" t="s">
        <v>147</v>
      </c>
      <c r="T792" s="2" t="s">
        <v>3007</v>
      </c>
      <c r="U792" s="2" t="s">
        <v>72</v>
      </c>
      <c r="V792" s="4" t="n">
        <v>300000</v>
      </c>
      <c r="W792" s="5" t="n">
        <v>14.32</v>
      </c>
      <c r="X792" s="3" t="n">
        <v>24</v>
      </c>
      <c r="Y792" s="6" t="n">
        <v>46182</v>
      </c>
      <c r="Z792" s="6" t="n">
        <v>46190</v>
      </c>
      <c r="AA792" s="6" t="n">
        <v>46191</v>
      </c>
      <c r="AB792" s="4" t="n">
        <f aca="false">ROUND(PMT(W792/1200,X792,-V792),2)</f>
        <v>14449.26</v>
      </c>
      <c r="AC792" s="4" t="n">
        <v>427000</v>
      </c>
      <c r="AD792" s="3" t="n">
        <v>2</v>
      </c>
      <c r="AE792" s="4" t="n">
        <v>54600</v>
      </c>
      <c r="AF792" s="4" t="n">
        <v>14100</v>
      </c>
      <c r="AG792" s="3" t="n">
        <v>15</v>
      </c>
      <c r="AH792" s="4" t="n">
        <v>20000</v>
      </c>
      <c r="AI792" s="3" t="n">
        <v>818</v>
      </c>
      <c r="AJ792" s="7" t="n">
        <f aca="false">ROUND(AB792/I792,4)</f>
        <v>0.3959</v>
      </c>
      <c r="AK792" s="2" t="str">
        <f aca="false">IF(AND(AI792&gt;=750,AJ792&lt;=0.35),"Low",IF(AND(AI792&gt;=600,AJ792&lt;=0.5),"Medium","High"))</f>
        <v>Medium</v>
      </c>
      <c r="AL792" s="3" t="n">
        <v>1</v>
      </c>
      <c r="AM792" s="2" t="s">
        <v>58</v>
      </c>
      <c r="AN792" s="2" t="s">
        <v>258</v>
      </c>
      <c r="AO792" s="2" t="s">
        <v>86</v>
      </c>
      <c r="AP792" s="7" t="n">
        <v>0.163</v>
      </c>
    </row>
    <row r="793" customFormat="false" ht="15" hidden="false" customHeight="false" outlineLevel="0" collapsed="false">
      <c r="A793" s="2" t="s">
        <v>3008</v>
      </c>
      <c r="B793" s="2" t="s">
        <v>3009</v>
      </c>
      <c r="C793" s="2" t="s">
        <v>3010</v>
      </c>
      <c r="D793" s="2" t="s">
        <v>109</v>
      </c>
      <c r="E793" s="3" t="n">
        <v>42</v>
      </c>
      <c r="F793" s="2" t="s">
        <v>64</v>
      </c>
      <c r="G793" s="2" t="s">
        <v>207</v>
      </c>
      <c r="H793" s="2" t="s">
        <v>77</v>
      </c>
      <c r="I793" s="4" t="n">
        <v>75500</v>
      </c>
      <c r="J793" s="2" t="s">
        <v>49</v>
      </c>
      <c r="K793" s="3" t="n">
        <v>20</v>
      </c>
      <c r="L793" s="2" t="s">
        <v>211</v>
      </c>
      <c r="M793" s="2" t="s">
        <v>147</v>
      </c>
      <c r="N793" s="2" t="s">
        <v>140</v>
      </c>
      <c r="O793" s="3"/>
      <c r="P793" s="2" t="s">
        <v>209</v>
      </c>
      <c r="Q793" s="2" t="s">
        <v>210</v>
      </c>
      <c r="R793" s="2" t="s">
        <v>211</v>
      </c>
      <c r="S793" s="2" t="s">
        <v>147</v>
      </c>
      <c r="T793" s="2" t="s">
        <v>3011</v>
      </c>
      <c r="U793" s="2" t="s">
        <v>192</v>
      </c>
      <c r="V793" s="4" t="n">
        <v>200000</v>
      </c>
      <c r="W793" s="5" t="n">
        <v>13.25</v>
      </c>
      <c r="X793" s="3" t="n">
        <v>24</v>
      </c>
      <c r="Y793" s="6" t="n">
        <v>46178</v>
      </c>
      <c r="Z793" s="6"/>
      <c r="AA793" s="6"/>
      <c r="AB793" s="4" t="n">
        <f aca="false">ROUND(PMT(W793/1200,X793,-V793),2)</f>
        <v>9531.87</v>
      </c>
      <c r="AC793" s="4"/>
      <c r="AD793" s="3" t="n">
        <v>1</v>
      </c>
      <c r="AE793" s="4" t="n">
        <v>199300</v>
      </c>
      <c r="AF793" s="4" t="n">
        <v>26800</v>
      </c>
      <c r="AG793" s="3" t="n">
        <v>37</v>
      </c>
      <c r="AH793" s="4" t="n">
        <v>74900</v>
      </c>
      <c r="AI793" s="3" t="n">
        <v>697</v>
      </c>
      <c r="AJ793" s="7" t="n">
        <f aca="false">ROUND(AB793/I793,4)</f>
        <v>0.1262</v>
      </c>
      <c r="AK793" s="2" t="str">
        <f aca="false">IF(AND(AI793&gt;=750,AJ793&lt;=0.35),"Low",IF(AND(AI793&gt;=600,AJ793&lt;=0.5),"Medium","High"))</f>
        <v>Medium</v>
      </c>
      <c r="AL793" s="3" t="n">
        <v>1</v>
      </c>
      <c r="AM793" s="2" t="s">
        <v>58</v>
      </c>
      <c r="AN793" s="2"/>
      <c r="AO793" s="2" t="s">
        <v>134</v>
      </c>
      <c r="AP793" s="7" t="n">
        <v>0.245</v>
      </c>
    </row>
    <row r="794" customFormat="false" ht="15" hidden="false" customHeight="false" outlineLevel="0" collapsed="false">
      <c r="A794" s="2" t="s">
        <v>3012</v>
      </c>
      <c r="B794" s="2" t="s">
        <v>3013</v>
      </c>
      <c r="C794" s="2" t="s">
        <v>3014</v>
      </c>
      <c r="D794" s="2" t="s">
        <v>109</v>
      </c>
      <c r="E794" s="3" t="n">
        <v>46</v>
      </c>
      <c r="F794" s="2" t="s">
        <v>64</v>
      </c>
      <c r="G794" s="2" t="s">
        <v>246</v>
      </c>
      <c r="H794" s="2" t="s">
        <v>111</v>
      </c>
      <c r="I794" s="4" t="n">
        <v>9500</v>
      </c>
      <c r="J794" s="2" t="s">
        <v>145</v>
      </c>
      <c r="K794" s="3" t="n">
        <v>25</v>
      </c>
      <c r="L794" s="2" t="s">
        <v>55</v>
      </c>
      <c r="M794" s="2" t="s">
        <v>51</v>
      </c>
      <c r="N794" s="2" t="s">
        <v>52</v>
      </c>
      <c r="O794" s="3" t="n">
        <v>3</v>
      </c>
      <c r="P794" s="2" t="s">
        <v>53</v>
      </c>
      <c r="Q794" s="2" t="s">
        <v>54</v>
      </c>
      <c r="R794" s="2" t="s">
        <v>55</v>
      </c>
      <c r="S794" s="2" t="s">
        <v>51</v>
      </c>
      <c r="T794" s="2" t="s">
        <v>3015</v>
      </c>
      <c r="U794" s="2" t="s">
        <v>72</v>
      </c>
      <c r="V794" s="4" t="n">
        <v>300000</v>
      </c>
      <c r="W794" s="5" t="n">
        <v>13.19</v>
      </c>
      <c r="X794" s="3" t="n">
        <v>48</v>
      </c>
      <c r="Y794" s="6" t="n">
        <v>46195</v>
      </c>
      <c r="Z794" s="6" t="n">
        <v>46199</v>
      </c>
      <c r="AA794" s="6" t="n">
        <v>46205</v>
      </c>
      <c r="AB794" s="4" t="n">
        <f aca="false">ROUND(PMT(W794/1200,X794,-V794),2)</f>
        <v>8076.57</v>
      </c>
      <c r="AC794" s="4" t="n">
        <v>347000</v>
      </c>
      <c r="AD794" s="3" t="n">
        <v>0</v>
      </c>
      <c r="AE794" s="4" t="n">
        <v>23600</v>
      </c>
      <c r="AF794" s="4" t="n">
        <v>5200</v>
      </c>
      <c r="AG794" s="3" t="n">
        <v>15</v>
      </c>
      <c r="AH794" s="4" t="n">
        <v>10400</v>
      </c>
      <c r="AI794" s="3" t="n">
        <v>704</v>
      </c>
      <c r="AJ794" s="7" t="n">
        <f aca="false">ROUND(AB794/I794,4)</f>
        <v>0.8502</v>
      </c>
      <c r="AK794" s="2" t="str">
        <f aca="false">IF(AND(AI794&gt;=750,AJ794&lt;=0.35),"Low",IF(AND(AI794&gt;=600,AJ794&lt;=0.5),"Medium","High"))</f>
        <v>High</v>
      </c>
      <c r="AL794" s="3" t="n">
        <v>2</v>
      </c>
      <c r="AM794" s="2" t="s">
        <v>58</v>
      </c>
      <c r="AN794" s="2" t="s">
        <v>59</v>
      </c>
      <c r="AO794" s="2" t="s">
        <v>60</v>
      </c>
      <c r="AP794" s="7" t="n">
        <v>0.169</v>
      </c>
    </row>
    <row r="795" customFormat="false" ht="15" hidden="false" customHeight="false" outlineLevel="0" collapsed="false">
      <c r="A795" s="2" t="s">
        <v>3016</v>
      </c>
      <c r="B795" s="2" t="s">
        <v>3017</v>
      </c>
      <c r="C795" s="2" t="s">
        <v>3018</v>
      </c>
      <c r="D795" s="2" t="s">
        <v>45</v>
      </c>
      <c r="E795" s="3" t="n">
        <v>22</v>
      </c>
      <c r="F795" s="2"/>
      <c r="G795" s="2" t="s">
        <v>166</v>
      </c>
      <c r="H795" s="2" t="s">
        <v>48</v>
      </c>
      <c r="I795" s="4" t="n">
        <v>111000</v>
      </c>
      <c r="J795" s="2" t="s">
        <v>145</v>
      </c>
      <c r="K795" s="3" t="n">
        <v>1</v>
      </c>
      <c r="L795" s="2" t="s">
        <v>159</v>
      </c>
      <c r="M795" s="2" t="s">
        <v>159</v>
      </c>
      <c r="N795" s="2" t="s">
        <v>140</v>
      </c>
      <c r="O795" s="3" t="n">
        <v>2</v>
      </c>
      <c r="P795" s="2" t="s">
        <v>160</v>
      </c>
      <c r="Q795" s="2" t="s">
        <v>161</v>
      </c>
      <c r="R795" s="2" t="s">
        <v>159</v>
      </c>
      <c r="S795" s="2" t="s">
        <v>159</v>
      </c>
      <c r="T795" s="2" t="s">
        <v>3019</v>
      </c>
      <c r="U795" s="2" t="s">
        <v>180</v>
      </c>
      <c r="V795" s="4" t="n">
        <v>1161000</v>
      </c>
      <c r="W795" s="5" t="n">
        <v>13</v>
      </c>
      <c r="X795" s="3" t="n">
        <v>48</v>
      </c>
      <c r="Y795" s="6" t="n">
        <v>46183</v>
      </c>
      <c r="Z795" s="6" t="n">
        <v>46188</v>
      </c>
      <c r="AA795" s="6" t="n">
        <v>46190</v>
      </c>
      <c r="AB795" s="4" t="n">
        <f aca="false">ROUND(PMT(W795/1200,X795,-V795),2)</f>
        <v>31146.72</v>
      </c>
      <c r="AC795" s="4" t="n">
        <v>1591000</v>
      </c>
      <c r="AD795" s="3" t="n">
        <v>1</v>
      </c>
      <c r="AE795" s="4" t="n">
        <v>82500</v>
      </c>
      <c r="AF795" s="4" t="n">
        <v>29200</v>
      </c>
      <c r="AG795" s="3" t="n">
        <v>46</v>
      </c>
      <c r="AH795" s="4"/>
      <c r="AI795" s="3" t="n">
        <v>736</v>
      </c>
      <c r="AJ795" s="7" t="n">
        <f aca="false">ROUND(AB795/I795,4)</f>
        <v>0.2806</v>
      </c>
      <c r="AK795" s="2" t="str">
        <f aca="false">IF(AND(AI795&gt;=750,AJ795&lt;=0.35),"Low",IF(AND(AI795&gt;=600,AJ795&lt;=0.5),"Medium","High"))</f>
        <v>Medium</v>
      </c>
      <c r="AL795" s="3" t="n">
        <v>3</v>
      </c>
      <c r="AM795" s="2" t="s">
        <v>233</v>
      </c>
      <c r="AN795" s="2" t="s">
        <v>59</v>
      </c>
      <c r="AO795" s="2" t="s">
        <v>60</v>
      </c>
      <c r="AP795" s="7" t="n">
        <v>0.355</v>
      </c>
    </row>
    <row r="796" customFormat="false" ht="15" hidden="false" customHeight="false" outlineLevel="0" collapsed="false">
      <c r="A796" s="2" t="s">
        <v>3020</v>
      </c>
      <c r="B796" s="2" t="s">
        <v>3021</v>
      </c>
      <c r="C796" s="2" t="s">
        <v>3022</v>
      </c>
      <c r="D796" s="2" t="s">
        <v>109</v>
      </c>
      <c r="E796" s="3" t="n">
        <v>41</v>
      </c>
      <c r="F796" s="2" t="s">
        <v>64</v>
      </c>
      <c r="G796" s="2" t="s">
        <v>176</v>
      </c>
      <c r="H796" s="2" t="s">
        <v>77</v>
      </c>
      <c r="I796" s="4" t="n">
        <v>109500</v>
      </c>
      <c r="J796" s="2" t="s">
        <v>177</v>
      </c>
      <c r="K796" s="3"/>
      <c r="L796" s="2" t="s">
        <v>51</v>
      </c>
      <c r="M796" s="2" t="s">
        <v>51</v>
      </c>
      <c r="N796" s="2" t="s">
        <v>52</v>
      </c>
      <c r="O796" s="3" t="n">
        <v>1</v>
      </c>
      <c r="P796" s="2" t="s">
        <v>131</v>
      </c>
      <c r="Q796" s="2" t="s">
        <v>132</v>
      </c>
      <c r="R796" s="2" t="s">
        <v>51</v>
      </c>
      <c r="S796" s="2" t="s">
        <v>51</v>
      </c>
      <c r="T796" s="2" t="s">
        <v>3023</v>
      </c>
      <c r="U796" s="2" t="s">
        <v>118</v>
      </c>
      <c r="V796" s="4" t="n">
        <v>710000</v>
      </c>
      <c r="W796" s="5" t="n">
        <v>9.63</v>
      </c>
      <c r="X796" s="3" t="n">
        <v>18</v>
      </c>
      <c r="Y796" s="6" t="n">
        <v>46174</v>
      </c>
      <c r="Z796" s="6"/>
      <c r="AA796" s="6"/>
      <c r="AB796" s="4" t="n">
        <f aca="false">ROUND(PMT(W796/1200,X796,-V796),2)</f>
        <v>42519.67</v>
      </c>
      <c r="AC796" s="4" t="n">
        <v>0</v>
      </c>
      <c r="AD796" s="3" t="n">
        <v>1</v>
      </c>
      <c r="AE796" s="4" t="n">
        <v>245800</v>
      </c>
      <c r="AF796" s="4" t="n">
        <v>48000</v>
      </c>
      <c r="AG796" s="3" t="n">
        <v>12</v>
      </c>
      <c r="AH796" s="4" t="n">
        <v>81300</v>
      </c>
      <c r="AI796" s="3" t="n">
        <v>871</v>
      </c>
      <c r="AJ796" s="7" t="n">
        <f aca="false">ROUND(AB796/I796,4)</f>
        <v>0.3883</v>
      </c>
      <c r="AK796" s="2" t="str">
        <f aca="false">IF(AND(AI796&gt;=750,AJ796&lt;=0.35),"Low",IF(AND(AI796&gt;=600,AJ796&lt;=0.5),"Medium","High"))</f>
        <v>Medium</v>
      </c>
      <c r="AL796" s="3" t="n">
        <v>1</v>
      </c>
      <c r="AM796" s="2" t="s">
        <v>58</v>
      </c>
      <c r="AN796" s="2"/>
      <c r="AO796" s="2" t="s">
        <v>127</v>
      </c>
      <c r="AP796" s="7" t="n">
        <v>0.133</v>
      </c>
    </row>
    <row r="797" customFormat="false" ht="15" hidden="false" customHeight="false" outlineLevel="0" collapsed="false">
      <c r="A797" s="2" t="s">
        <v>3024</v>
      </c>
      <c r="B797" s="2" t="s">
        <v>3025</v>
      </c>
      <c r="C797" s="2" t="s">
        <v>3026</v>
      </c>
      <c r="D797" s="2" t="s">
        <v>45</v>
      </c>
      <c r="E797" s="3" t="n">
        <v>21</v>
      </c>
      <c r="F797" s="2" t="s">
        <v>64</v>
      </c>
      <c r="G797" s="2" t="s">
        <v>176</v>
      </c>
      <c r="H797" s="2" t="s">
        <v>123</v>
      </c>
      <c r="I797" s="4" t="n">
        <v>29000</v>
      </c>
      <c r="J797" s="2" t="s">
        <v>177</v>
      </c>
      <c r="K797" s="3" t="n">
        <v>0</v>
      </c>
      <c r="L797" s="2" t="s">
        <v>231</v>
      </c>
      <c r="M797" s="2" t="s">
        <v>92</v>
      </c>
      <c r="N797" s="2"/>
      <c r="O797" s="3" t="n">
        <v>2</v>
      </c>
      <c r="P797" s="2" t="s">
        <v>229</v>
      </c>
      <c r="Q797" s="2" t="s">
        <v>230</v>
      </c>
      <c r="R797" s="2" t="s">
        <v>231</v>
      </c>
      <c r="S797" s="2" t="s">
        <v>92</v>
      </c>
      <c r="T797" s="2" t="s">
        <v>3027</v>
      </c>
      <c r="U797" s="2" t="s">
        <v>97</v>
      </c>
      <c r="V797" s="4" t="n">
        <v>311000</v>
      </c>
      <c r="W797" s="5" t="n">
        <v>12.71</v>
      </c>
      <c r="X797" s="3" t="n">
        <v>24</v>
      </c>
      <c r="Y797" s="6" t="n">
        <v>46202</v>
      </c>
      <c r="Z797" s="6" t="n">
        <v>46207</v>
      </c>
      <c r="AA797" s="6" t="n">
        <v>46210</v>
      </c>
      <c r="AB797" s="4" t="n">
        <f aca="false">ROUND(PMT(W797/1200,X797,-V797),2)</f>
        <v>14743.18</v>
      </c>
      <c r="AC797" s="4" t="n">
        <v>0</v>
      </c>
      <c r="AD797" s="3" t="n">
        <v>0</v>
      </c>
      <c r="AE797" s="4" t="n">
        <v>88000</v>
      </c>
      <c r="AF797" s="4" t="n">
        <v>29300</v>
      </c>
      <c r="AG797" s="3" t="n">
        <v>31</v>
      </c>
      <c r="AH797" s="4" t="n">
        <v>10700</v>
      </c>
      <c r="AI797" s="3" t="n">
        <v>589</v>
      </c>
      <c r="AJ797" s="7" t="n">
        <f aca="false">ROUND(AB797/I797,4)</f>
        <v>0.5084</v>
      </c>
      <c r="AK797" s="2" t="str">
        <f aca="false">IF(AND(AI797&gt;=750,AJ797&lt;=0.35),"Low",IF(AND(AI797&gt;=600,AJ797&lt;=0.5),"Medium","High"))</f>
        <v>High</v>
      </c>
      <c r="AL797" s="3" t="n">
        <v>5</v>
      </c>
      <c r="AM797" s="2" t="s">
        <v>58</v>
      </c>
      <c r="AN797" s="2" t="s">
        <v>258</v>
      </c>
      <c r="AO797" s="2" t="s">
        <v>60</v>
      </c>
      <c r="AP797" s="7" t="n">
        <v>0.409</v>
      </c>
    </row>
    <row r="798" customFormat="false" ht="15" hidden="false" customHeight="false" outlineLevel="0" collapsed="false">
      <c r="A798" s="2" t="s">
        <v>3028</v>
      </c>
      <c r="B798" s="2" t="s">
        <v>3029</v>
      </c>
      <c r="C798" s="2" t="s">
        <v>3030</v>
      </c>
      <c r="D798" s="2" t="s">
        <v>45</v>
      </c>
      <c r="E798" s="3" t="n">
        <v>36</v>
      </c>
      <c r="F798" s="2" t="s">
        <v>64</v>
      </c>
      <c r="G798" s="2" t="s">
        <v>65</v>
      </c>
      <c r="H798" s="2" t="s">
        <v>101</v>
      </c>
      <c r="I798" s="4" t="n">
        <v>42500</v>
      </c>
      <c r="J798" s="2" t="s">
        <v>49</v>
      </c>
      <c r="K798" s="3"/>
      <c r="L798" s="2" t="s">
        <v>67</v>
      </c>
      <c r="M798" s="2" t="s">
        <v>67</v>
      </c>
      <c r="N798" s="2" t="s">
        <v>140</v>
      </c>
      <c r="O798" s="3" t="n">
        <v>2</v>
      </c>
      <c r="P798" s="2" t="s">
        <v>68</v>
      </c>
      <c r="Q798" s="2" t="s">
        <v>69</v>
      </c>
      <c r="R798" s="2" t="s">
        <v>70</v>
      </c>
      <c r="S798" s="2" t="s">
        <v>67</v>
      </c>
      <c r="T798" s="2" t="s">
        <v>3031</v>
      </c>
      <c r="U798" s="2" t="s">
        <v>57</v>
      </c>
      <c r="V798" s="4" t="n">
        <v>4994614</v>
      </c>
      <c r="W798" s="5" t="n">
        <v>10.82</v>
      </c>
      <c r="X798" s="3" t="n">
        <v>228</v>
      </c>
      <c r="Y798" s="6" t="n">
        <v>46197</v>
      </c>
      <c r="Z798" s="6"/>
      <c r="AA798" s="6"/>
      <c r="AB798" s="4" t="n">
        <f aca="false">ROUND(PMT(W798/1200,X798,-V798),2)</f>
        <v>51715.06</v>
      </c>
      <c r="AC798" s="4" t="n">
        <v>2382000</v>
      </c>
      <c r="AD798" s="3" t="n">
        <v>1</v>
      </c>
      <c r="AE798" s="4" t="n">
        <v>118800</v>
      </c>
      <c r="AF798" s="4" t="n">
        <v>66000</v>
      </c>
      <c r="AG798" s="3" t="n">
        <v>28</v>
      </c>
      <c r="AH798" s="4" t="n">
        <v>15900</v>
      </c>
      <c r="AI798" s="3" t="n">
        <v>729</v>
      </c>
      <c r="AJ798" s="7" t="n">
        <f aca="false">ROUND(AB798/I798,4)</f>
        <v>1.2168</v>
      </c>
      <c r="AK798" s="2" t="str">
        <f aca="false">IF(AND(AI798&gt;=750,AJ798&lt;=0.35),"Low",IF(AND(AI798&gt;=600,AJ798&lt;=0.5),"Medium","High"))</f>
        <v>High</v>
      </c>
      <c r="AL798" s="3" t="n">
        <v>0</v>
      </c>
      <c r="AM798" s="2" t="s">
        <v>58</v>
      </c>
      <c r="AN798" s="2"/>
      <c r="AO798" s="2" t="s">
        <v>127</v>
      </c>
      <c r="AP798" s="7" t="n">
        <v>0.162</v>
      </c>
    </row>
    <row r="799" customFormat="false" ht="15" hidden="false" customHeight="false" outlineLevel="0" collapsed="false">
      <c r="A799" s="2" t="s">
        <v>3032</v>
      </c>
      <c r="B799" s="2" t="s">
        <v>3033</v>
      </c>
      <c r="C799" s="2" t="s">
        <v>2804</v>
      </c>
      <c r="D799" s="2" t="s">
        <v>45</v>
      </c>
      <c r="E799" s="3" t="n">
        <v>42</v>
      </c>
      <c r="F799" s="2" t="s">
        <v>64</v>
      </c>
      <c r="G799" s="2" t="s">
        <v>207</v>
      </c>
      <c r="H799" s="2" t="s">
        <v>77</v>
      </c>
      <c r="I799" s="4" t="n">
        <v>42500</v>
      </c>
      <c r="J799" s="2" t="s">
        <v>49</v>
      </c>
      <c r="K799" s="3" t="n">
        <v>19</v>
      </c>
      <c r="L799" s="2" t="s">
        <v>463</v>
      </c>
      <c r="M799" s="2" t="s">
        <v>51</v>
      </c>
      <c r="N799" s="2" t="s">
        <v>81</v>
      </c>
      <c r="O799" s="3" t="n">
        <v>1</v>
      </c>
      <c r="P799" s="2" t="s">
        <v>53</v>
      </c>
      <c r="Q799" s="2" t="s">
        <v>54</v>
      </c>
      <c r="R799" s="2" t="s">
        <v>55</v>
      </c>
      <c r="S799" s="2" t="s">
        <v>51</v>
      </c>
      <c r="T799" s="2" t="s">
        <v>3034</v>
      </c>
      <c r="U799" s="2" t="s">
        <v>57</v>
      </c>
      <c r="V799" s="4" t="n">
        <v>1143000</v>
      </c>
      <c r="W799" s="5" t="n">
        <v>11.09</v>
      </c>
      <c r="X799" s="3" t="n">
        <v>240</v>
      </c>
      <c r="Y799" s="6" t="n">
        <v>46191</v>
      </c>
      <c r="Z799" s="6" t="n">
        <v>46195</v>
      </c>
      <c r="AA799" s="6" t="n">
        <v>46199</v>
      </c>
      <c r="AB799" s="4" t="n">
        <f aca="false">ROUND(PMT(W799/1200,X799,-V799),2)</f>
        <v>11868</v>
      </c>
      <c r="AC799" s="4" t="n">
        <v>1526000</v>
      </c>
      <c r="AD799" s="3" t="n">
        <v>1</v>
      </c>
      <c r="AE799" s="4" t="n">
        <v>24600</v>
      </c>
      <c r="AF799" s="4" t="n">
        <v>12400</v>
      </c>
      <c r="AG799" s="3" t="n">
        <v>37</v>
      </c>
      <c r="AH799" s="4" t="n">
        <v>29400</v>
      </c>
      <c r="AI799" s="3" t="n">
        <v>556</v>
      </c>
      <c r="AJ799" s="7" t="n">
        <f aca="false">ROUND(AB799/I799,4)</f>
        <v>0.2792</v>
      </c>
      <c r="AK799" s="2" t="str">
        <f aca="false">IF(AND(AI799&gt;=750,AJ799&lt;=0.35),"Low",IF(AND(AI799&gt;=600,AJ799&lt;=0.5),"Medium","High"))</f>
        <v>High</v>
      </c>
      <c r="AL799" s="3" t="n">
        <v>0</v>
      </c>
      <c r="AM799" s="2" t="s">
        <v>58</v>
      </c>
      <c r="AN799" s="2" t="s">
        <v>258</v>
      </c>
      <c r="AO799" s="2" t="s">
        <v>60</v>
      </c>
      <c r="AP799" s="7" t="n">
        <v>0.304</v>
      </c>
    </row>
    <row r="800" customFormat="false" ht="15" hidden="false" customHeight="false" outlineLevel="0" collapsed="false">
      <c r="A800" s="2" t="s">
        <v>3035</v>
      </c>
      <c r="B800" s="2" t="s">
        <v>3036</v>
      </c>
      <c r="C800" s="2" t="s">
        <v>1887</v>
      </c>
      <c r="D800" s="2" t="s">
        <v>45</v>
      </c>
      <c r="E800" s="3" t="n">
        <v>31</v>
      </c>
      <c r="F800" s="2" t="s">
        <v>64</v>
      </c>
      <c r="G800" s="2" t="s">
        <v>90</v>
      </c>
      <c r="H800" s="2" t="s">
        <v>123</v>
      </c>
      <c r="I800" s="4" t="n">
        <v>17000</v>
      </c>
      <c r="J800" s="2" t="s">
        <v>90</v>
      </c>
      <c r="K800" s="3" t="n">
        <v>9</v>
      </c>
      <c r="L800" s="2" t="s">
        <v>51</v>
      </c>
      <c r="M800" s="2" t="s">
        <v>51</v>
      </c>
      <c r="N800" s="2" t="s">
        <v>140</v>
      </c>
      <c r="O800" s="3" t="n">
        <v>0</v>
      </c>
      <c r="P800" s="2" t="s">
        <v>189</v>
      </c>
      <c r="Q800" s="2" t="s">
        <v>190</v>
      </c>
      <c r="R800" s="2" t="s">
        <v>188</v>
      </c>
      <c r="S800" s="2" t="s">
        <v>51</v>
      </c>
      <c r="T800" s="2" t="s">
        <v>3037</v>
      </c>
      <c r="U800" s="2" t="s">
        <v>57</v>
      </c>
      <c r="V800" s="4" t="n">
        <v>800000</v>
      </c>
      <c r="W800" s="5" t="n">
        <v>10.87</v>
      </c>
      <c r="X800" s="3" t="n">
        <v>108</v>
      </c>
      <c r="Y800" s="6" t="n">
        <v>46185</v>
      </c>
      <c r="Z800" s="6" t="n">
        <v>46190</v>
      </c>
      <c r="AA800" s="6" t="n">
        <v>46191</v>
      </c>
      <c r="AB800" s="4" t="n">
        <f aca="false">ROUND(PMT(W800/1200,X800,-V800),2)</f>
        <v>11643.27</v>
      </c>
      <c r="AC800" s="4" t="n">
        <v>907000</v>
      </c>
      <c r="AD800" s="3" t="n">
        <v>0</v>
      </c>
      <c r="AE800" s="4" t="n">
        <v>27600</v>
      </c>
      <c r="AF800" s="4" t="n">
        <v>4900</v>
      </c>
      <c r="AG800" s="3" t="n">
        <v>5</v>
      </c>
      <c r="AH800" s="4" t="n">
        <v>11300</v>
      </c>
      <c r="AI800" s="3" t="n">
        <v>710</v>
      </c>
      <c r="AJ800" s="7" t="n">
        <f aca="false">ROUND(AB800/I800,4)</f>
        <v>0.6849</v>
      </c>
      <c r="AK800" s="2" t="str">
        <f aca="false">IF(AND(AI800&gt;=750,AJ800&lt;=0.35),"Low",IF(AND(AI800&gt;=600,AJ800&lt;=0.5),"Medium","High"))</f>
        <v>High</v>
      </c>
      <c r="AL800" s="3" t="n">
        <v>0</v>
      </c>
      <c r="AM800" s="2" t="s">
        <v>58</v>
      </c>
      <c r="AN800" s="2" t="s">
        <v>258</v>
      </c>
      <c r="AO800" s="2" t="s">
        <v>60</v>
      </c>
      <c r="AP800" s="7" t="n">
        <v>0.218</v>
      </c>
    </row>
    <row r="801" customFormat="false" ht="15" hidden="false" customHeight="false" outlineLevel="0" collapsed="false">
      <c r="A801" s="2" t="s">
        <v>3038</v>
      </c>
      <c r="B801" s="2" t="s">
        <v>2132</v>
      </c>
      <c r="C801" s="2" t="s">
        <v>3039</v>
      </c>
      <c r="D801" s="2" t="s">
        <v>45</v>
      </c>
      <c r="E801" s="3" t="n">
        <v>40</v>
      </c>
      <c r="F801" s="2" t="s">
        <v>64</v>
      </c>
      <c r="G801" s="2" t="s">
        <v>154</v>
      </c>
      <c r="H801" s="2" t="s">
        <v>101</v>
      </c>
      <c r="I801" s="4" t="n">
        <v>68500</v>
      </c>
      <c r="J801" s="2" t="s">
        <v>145</v>
      </c>
      <c r="K801" s="3" t="n">
        <v>13</v>
      </c>
      <c r="L801" s="2" t="s">
        <v>188</v>
      </c>
      <c r="M801" s="2" t="s">
        <v>51</v>
      </c>
      <c r="N801" s="2" t="s">
        <v>52</v>
      </c>
      <c r="O801" s="3" t="n">
        <v>1</v>
      </c>
      <c r="P801" s="2" t="s">
        <v>189</v>
      </c>
      <c r="Q801" s="2" t="s">
        <v>190</v>
      </c>
      <c r="R801" s="2" t="s">
        <v>188</v>
      </c>
      <c r="S801" s="2" t="s">
        <v>51</v>
      </c>
      <c r="T801" s="2" t="s">
        <v>3040</v>
      </c>
      <c r="U801" s="2" t="s">
        <v>192</v>
      </c>
      <c r="V801" s="4" t="n">
        <v>1598000</v>
      </c>
      <c r="W801" s="5" t="n">
        <v>11.49</v>
      </c>
      <c r="X801" s="3" t="n">
        <v>48</v>
      </c>
      <c r="Y801" s="6" t="n">
        <v>46195</v>
      </c>
      <c r="Z801" s="6"/>
      <c r="AA801" s="6"/>
      <c r="AB801" s="4" t="n">
        <f aca="false">ROUND(PMT(W801/1200,X801,-V801),2)</f>
        <v>41682.43</v>
      </c>
      <c r="AC801" s="4" t="n">
        <v>1686000</v>
      </c>
      <c r="AD801" s="3" t="n">
        <v>0</v>
      </c>
      <c r="AE801" s="4" t="n">
        <v>129300</v>
      </c>
      <c r="AF801" s="4" t="n">
        <v>20100</v>
      </c>
      <c r="AG801" s="3" t="n">
        <v>18</v>
      </c>
      <c r="AH801" s="4" t="n">
        <v>22300</v>
      </c>
      <c r="AI801" s="3" t="n">
        <v>636</v>
      </c>
      <c r="AJ801" s="7" t="n">
        <f aca="false">ROUND(AB801/I801,4)</f>
        <v>0.6085</v>
      </c>
      <c r="AK801" s="2" t="str">
        <f aca="false">IF(AND(AI801&gt;=750,AJ801&lt;=0.35),"Low",IF(AND(AI801&gt;=600,AJ801&lt;=0.5),"Medium","High"))</f>
        <v>High</v>
      </c>
      <c r="AL801" s="3" t="n">
        <v>4</v>
      </c>
      <c r="AM801" s="2" t="s">
        <v>58</v>
      </c>
      <c r="AN801" s="2"/>
      <c r="AO801" s="2" t="s">
        <v>127</v>
      </c>
      <c r="AP801" s="7" t="n">
        <v>0.302</v>
      </c>
    </row>
  </sheetData>
  <autoFilter ref="A1:AP8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9" min="5" style="0" width="12"/>
    <col collapsed="false" customWidth="true" hidden="false" outlineLevel="0" max="10" min="10" style="0" width="13"/>
    <col collapsed="false" customWidth="true" hidden="false" outlineLevel="0" max="11" min="11" style="0" width="20"/>
    <col collapsed="false" customWidth="true" hidden="false" outlineLevel="0" max="12" min="12" style="0" width="16"/>
    <col collapsed="false" customWidth="true" hidden="false" outlineLevel="0" max="15" min="13" style="0" width="15"/>
  </cols>
  <sheetData>
    <row r="1" customFormat="false" ht="30" hidden="false" customHeight="true" outlineLevel="0" collapsed="false">
      <c r="A1" s="1" t="s">
        <v>15</v>
      </c>
      <c r="B1" s="1" t="s">
        <v>16</v>
      </c>
      <c r="C1" s="1" t="s">
        <v>17</v>
      </c>
      <c r="D1" s="1" t="s">
        <v>18</v>
      </c>
      <c r="E1" s="1" t="s">
        <v>3041</v>
      </c>
      <c r="F1" s="1" t="s">
        <v>3042</v>
      </c>
      <c r="G1" s="1" t="s">
        <v>3043</v>
      </c>
      <c r="H1" s="1" t="s">
        <v>3044</v>
      </c>
      <c r="I1" s="1" t="s">
        <v>3045</v>
      </c>
      <c r="J1" s="1" t="s">
        <v>3046</v>
      </c>
      <c r="K1" s="1" t="s">
        <v>3047</v>
      </c>
      <c r="L1" s="1" t="s">
        <v>3048</v>
      </c>
      <c r="M1" s="1" t="s">
        <v>3049</v>
      </c>
      <c r="N1" s="1" t="s">
        <v>3050</v>
      </c>
      <c r="O1" s="1" t="s">
        <v>3051</v>
      </c>
    </row>
    <row r="2" customFormat="false" ht="15" hidden="false" customHeight="false" outlineLevel="0" collapsed="false">
      <c r="A2" s="8" t="s">
        <v>169</v>
      </c>
      <c r="B2" s="8" t="s">
        <v>170</v>
      </c>
      <c r="C2" s="8" t="s">
        <v>92</v>
      </c>
      <c r="D2" s="8" t="s">
        <v>92</v>
      </c>
      <c r="E2" s="9" t="n">
        <f aca="false">COUNTIF(Loan_Data!$P$2:$P$801,$A2)</f>
        <v>56</v>
      </c>
      <c r="F2" s="9" t="n">
        <f aca="false">COUNTIFS(Loan_Data!$P$2:$P$801,$A2,Loan_Data!$AO$2:$AO$801,"Approved")</f>
        <v>33</v>
      </c>
      <c r="G2" s="9" t="n">
        <f aca="false">COUNTIFS(Loan_Data!$P$2:$P$801,$A2,Loan_Data!$AO$2:$AO$801,"Rejected")</f>
        <v>8</v>
      </c>
      <c r="H2" s="9" t="n">
        <f aca="false">COUNTIFS(Loan_Data!$P$2:$P$801,$A2,Loan_Data!$AO$2:$AO$801,"Pending")</f>
        <v>12</v>
      </c>
      <c r="I2" s="9" t="n">
        <f aca="false">COUNTIFS(Loan_Data!$P$2:$P$801,$A2,Loan_Data!$AO$2:$AO$801,"Closed")</f>
        <v>3</v>
      </c>
      <c r="J2" s="10" t="n">
        <f aca="false">IFERROR((F2+I2)/E2,0)</f>
        <v>0.642857142857143</v>
      </c>
      <c r="K2" s="11" t="n">
        <f aca="false">SUMIFS(Loan_Data!$V$2:$V$801,Loan_Data!$P$2:$P$801,$A2,Loan_Data!$AO$2:$AO$801,"Approved")+SUMIFS(Loan_Data!$V$2:$V$801,Loan_Data!$P$2:$P$801,$A2,Loan_Data!$AO$2:$AO$801,"Closed")</f>
        <v>21021000</v>
      </c>
      <c r="L2" s="11" t="n">
        <f aca="false">IFERROR(K2/(F2+I2),0)</f>
        <v>583916.666666667</v>
      </c>
      <c r="M2" s="12" t="n">
        <f aca="false">IFERROR(AVERAGEIF(Loan_Data!$P$2:$P$801,$A2,Loan_Data!$AI$2:$AI$801),0)</f>
        <v>727.392857142857</v>
      </c>
      <c r="N2" s="13" t="n">
        <f aca="false">IFERROR(AVERAGEIF(Loan_Data!$P$2:$P$801,$A2,Loan_Data!$W$2:$W$801),0)</f>
        <v>11.5083928571429</v>
      </c>
      <c r="O2" s="10" t="n">
        <f aca="false">IFERROR(COUNTIFS(Loan_Data!$P$2:$P$801,$A2,Loan_Data!$AN$2:$AN$801,"Missed Payment")/(F2+I2),0)</f>
        <v>0.138888888888889</v>
      </c>
    </row>
    <row r="3" customFormat="false" ht="15" hidden="false" customHeight="false" outlineLevel="0" collapsed="false">
      <c r="A3" s="8" t="s">
        <v>131</v>
      </c>
      <c r="B3" s="8" t="s">
        <v>132</v>
      </c>
      <c r="C3" s="8" t="s">
        <v>51</v>
      </c>
      <c r="D3" s="8" t="s">
        <v>51</v>
      </c>
      <c r="E3" s="9" t="n">
        <f aca="false">COUNTIF(Loan_Data!$P$2:$P$801,$A3)</f>
        <v>56</v>
      </c>
      <c r="F3" s="9" t="n">
        <f aca="false">COUNTIFS(Loan_Data!$P$2:$P$801,$A3,Loan_Data!$AO$2:$AO$801,"Approved")</f>
        <v>29</v>
      </c>
      <c r="G3" s="9" t="n">
        <f aca="false">COUNTIFS(Loan_Data!$P$2:$P$801,$A3,Loan_Data!$AO$2:$AO$801,"Rejected")</f>
        <v>9</v>
      </c>
      <c r="H3" s="9" t="n">
        <f aca="false">COUNTIFS(Loan_Data!$P$2:$P$801,$A3,Loan_Data!$AO$2:$AO$801,"Pending")</f>
        <v>14</v>
      </c>
      <c r="I3" s="9" t="n">
        <f aca="false">COUNTIFS(Loan_Data!$P$2:$P$801,$A3,Loan_Data!$AO$2:$AO$801,"Closed")</f>
        <v>4</v>
      </c>
      <c r="J3" s="10" t="n">
        <f aca="false">IFERROR((F3+I3)/E3,0)</f>
        <v>0.589285714285714</v>
      </c>
      <c r="K3" s="11" t="n">
        <f aca="false">SUMIFS(Loan_Data!$V$2:$V$801,Loan_Data!$P$2:$P$801,$A3,Loan_Data!$AO$2:$AO$801,"Approved")+SUMIFS(Loan_Data!$V$2:$V$801,Loan_Data!$P$2:$P$801,$A3,Loan_Data!$AO$2:$AO$801,"Closed")</f>
        <v>22551408</v>
      </c>
      <c r="L3" s="11" t="n">
        <f aca="false">IFERROR(K3/(F3+I3),0)</f>
        <v>683376</v>
      </c>
      <c r="M3" s="12" t="n">
        <f aca="false">IFERROR(AVERAGEIF(Loan_Data!$P$2:$P$801,$A3,Loan_Data!$AI$2:$AI$801),0)</f>
        <v>738.089285714286</v>
      </c>
      <c r="N3" s="13" t="n">
        <f aca="false">IFERROR(AVERAGEIF(Loan_Data!$P$2:$P$801,$A3,Loan_Data!$W$2:$W$801),0)</f>
        <v>11.3821428571429</v>
      </c>
      <c r="O3" s="10" t="n">
        <f aca="false">IFERROR(COUNTIFS(Loan_Data!$P$2:$P$801,$A3,Loan_Data!$AN$2:$AN$801,"Missed Payment")/(F3+I3),0)</f>
        <v>0.0606060606060606</v>
      </c>
    </row>
    <row r="4" customFormat="false" ht="15" hidden="false" customHeight="false" outlineLevel="0" collapsed="false">
      <c r="A4" s="8" t="s">
        <v>103</v>
      </c>
      <c r="B4" s="8" t="s">
        <v>104</v>
      </c>
      <c r="C4" s="8" t="s">
        <v>67</v>
      </c>
      <c r="D4" s="8" t="s">
        <v>67</v>
      </c>
      <c r="E4" s="9" t="n">
        <f aca="false">COUNTIF(Loan_Data!$P$2:$P$801,$A4)</f>
        <v>50</v>
      </c>
      <c r="F4" s="9" t="n">
        <f aca="false">COUNTIFS(Loan_Data!$P$2:$P$801,$A4,Loan_Data!$AO$2:$AO$801,"Approved")</f>
        <v>32</v>
      </c>
      <c r="G4" s="9" t="n">
        <f aca="false">COUNTIFS(Loan_Data!$P$2:$P$801,$A4,Loan_Data!$AO$2:$AO$801,"Rejected")</f>
        <v>9</v>
      </c>
      <c r="H4" s="9" t="n">
        <f aca="false">COUNTIFS(Loan_Data!$P$2:$P$801,$A4,Loan_Data!$AO$2:$AO$801,"Pending")</f>
        <v>6</v>
      </c>
      <c r="I4" s="9" t="n">
        <f aca="false">COUNTIFS(Loan_Data!$P$2:$P$801,$A4,Loan_Data!$AO$2:$AO$801,"Closed")</f>
        <v>3</v>
      </c>
      <c r="J4" s="10" t="n">
        <f aca="false">IFERROR((F4+I4)/E4,0)</f>
        <v>0.7</v>
      </c>
      <c r="K4" s="11" t="n">
        <f aca="false">SUMIFS(Loan_Data!$V$2:$V$801,Loan_Data!$P$2:$P$801,$A4,Loan_Data!$AO$2:$AO$801,"Approved")+SUMIFS(Loan_Data!$V$2:$V$801,Loan_Data!$P$2:$P$801,$A4,Loan_Data!$AO$2:$AO$801,"Closed")</f>
        <v>33174847</v>
      </c>
      <c r="L4" s="11" t="n">
        <f aca="false">IFERROR(K4/(F4+I4),0)</f>
        <v>947852.771428571</v>
      </c>
      <c r="M4" s="12" t="n">
        <f aca="false">IFERROR(AVERAGEIF(Loan_Data!$P$2:$P$801,$A4,Loan_Data!$AI$2:$AI$801),0)</f>
        <v>712.22</v>
      </c>
      <c r="N4" s="13" t="n">
        <f aca="false">IFERROR(AVERAGEIF(Loan_Data!$P$2:$P$801,$A4,Loan_Data!$W$2:$W$801),0)</f>
        <v>10.7556</v>
      </c>
      <c r="O4" s="10" t="n">
        <f aca="false">IFERROR(COUNTIFS(Loan_Data!$P$2:$P$801,$A4,Loan_Data!$AN$2:$AN$801,"Missed Payment")/(F4+I4),0)</f>
        <v>0.0857142857142857</v>
      </c>
    </row>
    <row r="5" customFormat="false" ht="15" hidden="false" customHeight="false" outlineLevel="0" collapsed="false">
      <c r="A5" s="8" t="s">
        <v>148</v>
      </c>
      <c r="B5" s="8" t="s">
        <v>149</v>
      </c>
      <c r="C5" s="8" t="s">
        <v>147</v>
      </c>
      <c r="D5" s="8" t="s">
        <v>147</v>
      </c>
      <c r="E5" s="9" t="n">
        <f aca="false">COUNTIF(Loan_Data!$P$2:$P$801,$A5)</f>
        <v>46</v>
      </c>
      <c r="F5" s="9" t="n">
        <f aca="false">COUNTIFS(Loan_Data!$P$2:$P$801,$A5,Loan_Data!$AO$2:$AO$801,"Approved")</f>
        <v>27</v>
      </c>
      <c r="G5" s="9" t="n">
        <f aca="false">COUNTIFS(Loan_Data!$P$2:$P$801,$A5,Loan_Data!$AO$2:$AO$801,"Rejected")</f>
        <v>5</v>
      </c>
      <c r="H5" s="9" t="n">
        <f aca="false">COUNTIFS(Loan_Data!$P$2:$P$801,$A5,Loan_Data!$AO$2:$AO$801,"Pending")</f>
        <v>9</v>
      </c>
      <c r="I5" s="9" t="n">
        <f aca="false">COUNTIFS(Loan_Data!$P$2:$P$801,$A5,Loan_Data!$AO$2:$AO$801,"Closed")</f>
        <v>5</v>
      </c>
      <c r="J5" s="10" t="n">
        <f aca="false">IFERROR((F5+I5)/E5,0)</f>
        <v>0.695652173913044</v>
      </c>
      <c r="K5" s="11" t="n">
        <f aca="false">SUMIFS(Loan_Data!$V$2:$V$801,Loan_Data!$P$2:$P$801,$A5,Loan_Data!$AO$2:$AO$801,"Approved")+SUMIFS(Loan_Data!$V$2:$V$801,Loan_Data!$P$2:$P$801,$A5,Loan_Data!$AO$2:$AO$801,"Closed")</f>
        <v>26347000</v>
      </c>
      <c r="L5" s="11" t="n">
        <f aca="false">IFERROR(K5/(F5+I5),0)</f>
        <v>823343.75</v>
      </c>
      <c r="M5" s="12" t="n">
        <f aca="false">IFERROR(AVERAGEIF(Loan_Data!$P$2:$P$801,$A5,Loan_Data!$AI$2:$AI$801),0)</f>
        <v>720.347826086957</v>
      </c>
      <c r="N5" s="13" t="n">
        <f aca="false">IFERROR(AVERAGEIF(Loan_Data!$P$2:$P$801,$A5,Loan_Data!$W$2:$W$801),0)</f>
        <v>11.3280434782609</v>
      </c>
      <c r="O5" s="10" t="n">
        <f aca="false">IFERROR(COUNTIFS(Loan_Data!$P$2:$P$801,$A5,Loan_Data!$AN$2:$AN$801,"Missed Payment")/(F5+I5),0)</f>
        <v>0.09375</v>
      </c>
    </row>
    <row r="6" customFormat="false" ht="15" hidden="false" customHeight="false" outlineLevel="0" collapsed="false">
      <c r="A6" s="8" t="s">
        <v>82</v>
      </c>
      <c r="B6" s="8" t="s">
        <v>83</v>
      </c>
      <c r="C6" s="8" t="s">
        <v>80</v>
      </c>
      <c r="D6" s="8" t="s">
        <v>80</v>
      </c>
      <c r="E6" s="9" t="n">
        <f aca="false">COUNTIF(Loan_Data!$P$2:$P$801,$A6)</f>
        <v>51</v>
      </c>
      <c r="F6" s="9" t="n">
        <f aca="false">COUNTIFS(Loan_Data!$P$2:$P$801,$A6,Loan_Data!$AO$2:$AO$801,"Approved")</f>
        <v>35</v>
      </c>
      <c r="G6" s="9" t="n">
        <f aca="false">COUNTIFS(Loan_Data!$P$2:$P$801,$A6,Loan_Data!$AO$2:$AO$801,"Rejected")</f>
        <v>4</v>
      </c>
      <c r="H6" s="9" t="n">
        <f aca="false">COUNTIFS(Loan_Data!$P$2:$P$801,$A6,Loan_Data!$AO$2:$AO$801,"Pending")</f>
        <v>6</v>
      </c>
      <c r="I6" s="9" t="n">
        <f aca="false">COUNTIFS(Loan_Data!$P$2:$P$801,$A6,Loan_Data!$AO$2:$AO$801,"Closed")</f>
        <v>6</v>
      </c>
      <c r="J6" s="10" t="n">
        <f aca="false">IFERROR((F6+I6)/E6,0)</f>
        <v>0.803921568627451</v>
      </c>
      <c r="K6" s="11" t="n">
        <f aca="false">SUMIFS(Loan_Data!$V$2:$V$801,Loan_Data!$P$2:$P$801,$A6,Loan_Data!$AO$2:$AO$801,"Approved")+SUMIFS(Loan_Data!$V$2:$V$801,Loan_Data!$P$2:$P$801,$A6,Loan_Data!$AO$2:$AO$801,"Closed")</f>
        <v>37871092</v>
      </c>
      <c r="L6" s="11" t="n">
        <f aca="false">IFERROR(K6/(F6+I6),0)</f>
        <v>923685.170731707</v>
      </c>
      <c r="M6" s="12" t="n">
        <f aca="false">IFERROR(AVERAGEIF(Loan_Data!$P$2:$P$801,$A6,Loan_Data!$AI$2:$AI$801),0)</f>
        <v>683.588235294118</v>
      </c>
      <c r="N6" s="13" t="n">
        <f aca="false">IFERROR(AVERAGEIF(Loan_Data!$P$2:$P$801,$A6,Loan_Data!$W$2:$W$801),0)</f>
        <v>11.4521568627451</v>
      </c>
      <c r="O6" s="10" t="n">
        <f aca="false">IFERROR(COUNTIFS(Loan_Data!$P$2:$P$801,$A6,Loan_Data!$AN$2:$AN$801,"Missed Payment")/(F6+I6),0)</f>
        <v>0.0731707317073171</v>
      </c>
    </row>
    <row r="7" customFormat="false" ht="15" hidden="false" customHeight="false" outlineLevel="0" collapsed="false">
      <c r="A7" s="8" t="s">
        <v>197</v>
      </c>
      <c r="B7" s="8" t="s">
        <v>198</v>
      </c>
      <c r="C7" s="8" t="s">
        <v>139</v>
      </c>
      <c r="D7" s="8" t="s">
        <v>139</v>
      </c>
      <c r="E7" s="9" t="n">
        <f aca="false">COUNTIF(Loan_Data!$P$2:$P$801,$A7)</f>
        <v>59</v>
      </c>
      <c r="F7" s="9" t="n">
        <f aca="false">COUNTIFS(Loan_Data!$P$2:$P$801,$A7,Loan_Data!$AO$2:$AO$801,"Approved")</f>
        <v>37</v>
      </c>
      <c r="G7" s="9" t="n">
        <f aca="false">COUNTIFS(Loan_Data!$P$2:$P$801,$A7,Loan_Data!$AO$2:$AO$801,"Rejected")</f>
        <v>11</v>
      </c>
      <c r="H7" s="9" t="n">
        <f aca="false">COUNTIFS(Loan_Data!$P$2:$P$801,$A7,Loan_Data!$AO$2:$AO$801,"Pending")</f>
        <v>4</v>
      </c>
      <c r="I7" s="9" t="n">
        <f aca="false">COUNTIFS(Loan_Data!$P$2:$P$801,$A7,Loan_Data!$AO$2:$AO$801,"Closed")</f>
        <v>7</v>
      </c>
      <c r="J7" s="10" t="n">
        <f aca="false">IFERROR((F7+I7)/E7,0)</f>
        <v>0.745762711864407</v>
      </c>
      <c r="K7" s="11" t="n">
        <f aca="false">SUMIFS(Loan_Data!$V$2:$V$801,Loan_Data!$P$2:$P$801,$A7,Loan_Data!$AO$2:$AO$801,"Approved")+SUMIFS(Loan_Data!$V$2:$V$801,Loan_Data!$P$2:$P$801,$A7,Loan_Data!$AO$2:$AO$801,"Closed")</f>
        <v>35382000</v>
      </c>
      <c r="L7" s="11" t="n">
        <f aca="false">IFERROR(K7/(F7+I7),0)</f>
        <v>804136.363636364</v>
      </c>
      <c r="M7" s="12" t="n">
        <f aca="false">IFERROR(AVERAGEIF(Loan_Data!$P$2:$P$801,$A7,Loan_Data!$AI$2:$AI$801),0)</f>
        <v>719.508474576271</v>
      </c>
      <c r="N7" s="13" t="n">
        <f aca="false">IFERROR(AVERAGEIF(Loan_Data!$P$2:$P$801,$A7,Loan_Data!$W$2:$W$801),0)</f>
        <v>11.2561016949153</v>
      </c>
      <c r="O7" s="10" t="n">
        <f aca="false">IFERROR(COUNTIFS(Loan_Data!$P$2:$P$801,$A7,Loan_Data!$AN$2:$AN$801,"Missed Payment")/(F7+I7),0)</f>
        <v>0.136363636363636</v>
      </c>
    </row>
    <row r="8" customFormat="false" ht="15" hidden="false" customHeight="false" outlineLevel="0" collapsed="false">
      <c r="A8" s="8" t="s">
        <v>115</v>
      </c>
      <c r="B8" s="8" t="s">
        <v>116</v>
      </c>
      <c r="C8" s="8" t="s">
        <v>114</v>
      </c>
      <c r="D8" s="8" t="s">
        <v>114</v>
      </c>
      <c r="E8" s="9" t="n">
        <f aca="false">COUNTIF(Loan_Data!$P$2:$P$801,$A8)</f>
        <v>57</v>
      </c>
      <c r="F8" s="9" t="n">
        <f aca="false">COUNTIFS(Loan_Data!$P$2:$P$801,$A8,Loan_Data!$AO$2:$AO$801,"Approved")</f>
        <v>36</v>
      </c>
      <c r="G8" s="9" t="n">
        <f aca="false">COUNTIFS(Loan_Data!$P$2:$P$801,$A8,Loan_Data!$AO$2:$AO$801,"Rejected")</f>
        <v>11</v>
      </c>
      <c r="H8" s="9" t="n">
        <f aca="false">COUNTIFS(Loan_Data!$P$2:$P$801,$A8,Loan_Data!$AO$2:$AO$801,"Pending")</f>
        <v>8</v>
      </c>
      <c r="I8" s="9" t="n">
        <f aca="false">COUNTIFS(Loan_Data!$P$2:$P$801,$A8,Loan_Data!$AO$2:$AO$801,"Closed")</f>
        <v>2</v>
      </c>
      <c r="J8" s="10" t="n">
        <f aca="false">IFERROR((F8+I8)/E8,0)</f>
        <v>0.666666666666667</v>
      </c>
      <c r="K8" s="11" t="n">
        <f aca="false">SUMIFS(Loan_Data!$V$2:$V$801,Loan_Data!$P$2:$P$801,$A8,Loan_Data!$AO$2:$AO$801,"Approved")+SUMIFS(Loan_Data!$V$2:$V$801,Loan_Data!$P$2:$P$801,$A8,Loan_Data!$AO$2:$AO$801,"Closed")</f>
        <v>23437000</v>
      </c>
      <c r="L8" s="11" t="n">
        <f aca="false">IFERROR(K8/(F8+I8),0)</f>
        <v>616763.157894737</v>
      </c>
      <c r="M8" s="12" t="n">
        <f aca="false">IFERROR(AVERAGEIF(Loan_Data!$P$2:$P$801,$A8,Loan_Data!$AI$2:$AI$801),0)</f>
        <v>728.649122807018</v>
      </c>
      <c r="N8" s="13" t="n">
        <f aca="false">IFERROR(AVERAGEIF(Loan_Data!$P$2:$P$801,$A8,Loan_Data!$W$2:$W$801),0)</f>
        <v>11.4347368421053</v>
      </c>
      <c r="O8" s="10" t="n">
        <f aca="false">IFERROR(COUNTIFS(Loan_Data!$P$2:$P$801,$A8,Loan_Data!$AN$2:$AN$801,"Missed Payment")/(F8+I8),0)</f>
        <v>0.0789473684210526</v>
      </c>
    </row>
    <row r="9" customFormat="false" ht="15" hidden="false" customHeight="false" outlineLevel="0" collapsed="false">
      <c r="A9" s="8" t="s">
        <v>160</v>
      </c>
      <c r="B9" s="8" t="s">
        <v>161</v>
      </c>
      <c r="C9" s="8" t="s">
        <v>159</v>
      </c>
      <c r="D9" s="8" t="s">
        <v>159</v>
      </c>
      <c r="E9" s="9" t="n">
        <f aca="false">COUNTIF(Loan_Data!$P$2:$P$801,$A9)</f>
        <v>48</v>
      </c>
      <c r="F9" s="9" t="n">
        <f aca="false">COUNTIFS(Loan_Data!$P$2:$P$801,$A9,Loan_Data!$AO$2:$AO$801,"Approved")</f>
        <v>26</v>
      </c>
      <c r="G9" s="9" t="n">
        <f aca="false">COUNTIFS(Loan_Data!$P$2:$P$801,$A9,Loan_Data!$AO$2:$AO$801,"Rejected")</f>
        <v>8</v>
      </c>
      <c r="H9" s="9" t="n">
        <f aca="false">COUNTIFS(Loan_Data!$P$2:$P$801,$A9,Loan_Data!$AO$2:$AO$801,"Pending")</f>
        <v>10</v>
      </c>
      <c r="I9" s="9" t="n">
        <f aca="false">COUNTIFS(Loan_Data!$P$2:$P$801,$A9,Loan_Data!$AO$2:$AO$801,"Closed")</f>
        <v>4</v>
      </c>
      <c r="J9" s="10" t="n">
        <f aca="false">IFERROR((F9+I9)/E9,0)</f>
        <v>0.625</v>
      </c>
      <c r="K9" s="11" t="n">
        <f aca="false">SUMIFS(Loan_Data!$V$2:$V$801,Loan_Data!$P$2:$P$801,$A9,Loan_Data!$AO$2:$AO$801,"Approved")+SUMIFS(Loan_Data!$V$2:$V$801,Loan_Data!$P$2:$P$801,$A9,Loan_Data!$AO$2:$AO$801,"Closed")</f>
        <v>16662000</v>
      </c>
      <c r="L9" s="11" t="n">
        <f aca="false">IFERROR(K9/(F9+I9),0)</f>
        <v>555400</v>
      </c>
      <c r="M9" s="12" t="n">
        <f aca="false">IFERROR(AVERAGEIF(Loan_Data!$P$2:$P$801,$A9,Loan_Data!$AI$2:$AI$801),0)</f>
        <v>689.458333333333</v>
      </c>
      <c r="N9" s="13" t="n">
        <f aca="false">IFERROR(AVERAGEIF(Loan_Data!$P$2:$P$801,$A9,Loan_Data!$W$2:$W$801),0)</f>
        <v>11.1995833333333</v>
      </c>
      <c r="O9" s="10" t="n">
        <f aca="false">IFERROR(COUNTIFS(Loan_Data!$P$2:$P$801,$A9,Loan_Data!$AN$2:$AN$801,"Missed Payment")/(F9+I9),0)</f>
        <v>0.166666666666667</v>
      </c>
    </row>
    <row r="10" customFormat="false" ht="15" hidden="false" customHeight="false" outlineLevel="0" collapsed="false">
      <c r="A10" s="8" t="s">
        <v>229</v>
      </c>
      <c r="B10" s="8" t="s">
        <v>230</v>
      </c>
      <c r="C10" s="8" t="s">
        <v>231</v>
      </c>
      <c r="D10" s="8" t="s">
        <v>92</v>
      </c>
      <c r="E10" s="9" t="n">
        <f aca="false">COUNTIF(Loan_Data!$P$2:$P$801,$A10)</f>
        <v>44</v>
      </c>
      <c r="F10" s="9" t="n">
        <f aca="false">COUNTIFS(Loan_Data!$P$2:$P$801,$A10,Loan_Data!$AO$2:$AO$801,"Approved")</f>
        <v>26</v>
      </c>
      <c r="G10" s="9" t="n">
        <f aca="false">COUNTIFS(Loan_Data!$P$2:$P$801,$A10,Loan_Data!$AO$2:$AO$801,"Rejected")</f>
        <v>9</v>
      </c>
      <c r="H10" s="9" t="n">
        <f aca="false">COUNTIFS(Loan_Data!$P$2:$P$801,$A10,Loan_Data!$AO$2:$AO$801,"Pending")</f>
        <v>5</v>
      </c>
      <c r="I10" s="9" t="n">
        <f aca="false">COUNTIFS(Loan_Data!$P$2:$P$801,$A10,Loan_Data!$AO$2:$AO$801,"Closed")</f>
        <v>4</v>
      </c>
      <c r="J10" s="10" t="n">
        <f aca="false">IFERROR((F10+I10)/E10,0)</f>
        <v>0.681818181818182</v>
      </c>
      <c r="K10" s="11" t="n">
        <f aca="false">SUMIFS(Loan_Data!$V$2:$V$801,Loan_Data!$P$2:$P$801,$A10,Loan_Data!$AO$2:$AO$801,"Approved")+SUMIFS(Loan_Data!$V$2:$V$801,Loan_Data!$P$2:$P$801,$A10,Loan_Data!$AO$2:$AO$801,"Closed")</f>
        <v>27697563</v>
      </c>
      <c r="L10" s="11" t="n">
        <f aca="false">IFERROR(K10/(F10+I10),0)</f>
        <v>923252.1</v>
      </c>
      <c r="M10" s="12" t="n">
        <f aca="false">IFERROR(AVERAGEIF(Loan_Data!$P$2:$P$801,$A10,Loan_Data!$AI$2:$AI$801),0)</f>
        <v>717.636363636364</v>
      </c>
      <c r="N10" s="13" t="n">
        <f aca="false">IFERROR(AVERAGEIF(Loan_Data!$P$2:$P$801,$A10,Loan_Data!$W$2:$W$801),0)</f>
        <v>10.9177272727273</v>
      </c>
      <c r="O10" s="10" t="n">
        <f aca="false">IFERROR(COUNTIFS(Loan_Data!$P$2:$P$801,$A10,Loan_Data!$AN$2:$AN$801,"Missed Payment")/(F10+I10),0)</f>
        <v>0.1</v>
      </c>
    </row>
    <row r="11" customFormat="false" ht="15" hidden="false" customHeight="false" outlineLevel="0" collapsed="false">
      <c r="A11" s="8" t="s">
        <v>93</v>
      </c>
      <c r="B11" s="8" t="s">
        <v>94</v>
      </c>
      <c r="C11" s="8" t="s">
        <v>95</v>
      </c>
      <c r="D11" s="8" t="s">
        <v>92</v>
      </c>
      <c r="E11" s="9" t="n">
        <f aca="false">COUNTIF(Loan_Data!$P$2:$P$801,$A11)</f>
        <v>57</v>
      </c>
      <c r="F11" s="9" t="n">
        <f aca="false">COUNTIFS(Loan_Data!$P$2:$P$801,$A11,Loan_Data!$AO$2:$AO$801,"Approved")</f>
        <v>40</v>
      </c>
      <c r="G11" s="9" t="n">
        <f aca="false">COUNTIFS(Loan_Data!$P$2:$P$801,$A11,Loan_Data!$AO$2:$AO$801,"Rejected")</f>
        <v>7</v>
      </c>
      <c r="H11" s="9" t="n">
        <f aca="false">COUNTIFS(Loan_Data!$P$2:$P$801,$A11,Loan_Data!$AO$2:$AO$801,"Pending")</f>
        <v>10</v>
      </c>
      <c r="I11" s="9" t="n">
        <f aca="false">COUNTIFS(Loan_Data!$P$2:$P$801,$A11,Loan_Data!$AO$2:$AO$801,"Closed")</f>
        <v>0</v>
      </c>
      <c r="J11" s="10" t="n">
        <f aca="false">IFERROR((F11+I11)/E11,0)</f>
        <v>0.701754385964912</v>
      </c>
      <c r="K11" s="11" t="n">
        <f aca="false">SUMIFS(Loan_Data!$V$2:$V$801,Loan_Data!$P$2:$P$801,$A11,Loan_Data!$AO$2:$AO$801,"Approved")+SUMIFS(Loan_Data!$V$2:$V$801,Loan_Data!$P$2:$P$801,$A11,Loan_Data!$AO$2:$AO$801,"Closed")</f>
        <v>32822000</v>
      </c>
      <c r="L11" s="11" t="n">
        <f aca="false">IFERROR(K11/(F11+I11),0)</f>
        <v>820550</v>
      </c>
      <c r="M11" s="12" t="n">
        <f aca="false">IFERROR(AVERAGEIF(Loan_Data!$P$2:$P$801,$A11,Loan_Data!$AI$2:$AI$801),0)</f>
        <v>715.157894736842</v>
      </c>
      <c r="N11" s="13" t="n">
        <f aca="false">IFERROR(AVERAGEIF(Loan_Data!$P$2:$P$801,$A11,Loan_Data!$W$2:$W$801),0)</f>
        <v>11.3049122807018</v>
      </c>
      <c r="O11" s="10" t="n">
        <f aca="false">IFERROR(COUNTIFS(Loan_Data!$P$2:$P$801,$A11,Loan_Data!$AN$2:$AN$801,"Missed Payment")/(F11+I11),0)</f>
        <v>0.05</v>
      </c>
    </row>
    <row r="12" customFormat="false" ht="15" hidden="false" customHeight="false" outlineLevel="0" collapsed="false">
      <c r="A12" s="8" t="s">
        <v>53</v>
      </c>
      <c r="B12" s="8" t="s">
        <v>54</v>
      </c>
      <c r="C12" s="8" t="s">
        <v>55</v>
      </c>
      <c r="D12" s="8" t="s">
        <v>51</v>
      </c>
      <c r="E12" s="9" t="n">
        <f aca="false">COUNTIF(Loan_Data!$P$2:$P$801,$A12)</f>
        <v>43</v>
      </c>
      <c r="F12" s="9" t="n">
        <f aca="false">COUNTIFS(Loan_Data!$P$2:$P$801,$A12,Loan_Data!$AO$2:$AO$801,"Approved")</f>
        <v>26</v>
      </c>
      <c r="G12" s="9" t="n">
        <f aca="false">COUNTIFS(Loan_Data!$P$2:$P$801,$A12,Loan_Data!$AO$2:$AO$801,"Rejected")</f>
        <v>7</v>
      </c>
      <c r="H12" s="9" t="n">
        <f aca="false">COUNTIFS(Loan_Data!$P$2:$P$801,$A12,Loan_Data!$AO$2:$AO$801,"Pending")</f>
        <v>8</v>
      </c>
      <c r="I12" s="9" t="n">
        <f aca="false">COUNTIFS(Loan_Data!$P$2:$P$801,$A12,Loan_Data!$AO$2:$AO$801,"Closed")</f>
        <v>2</v>
      </c>
      <c r="J12" s="10" t="n">
        <f aca="false">IFERROR((F12+I12)/E12,0)</f>
        <v>0.651162790697675</v>
      </c>
      <c r="K12" s="11" t="n">
        <f aca="false">SUMIFS(Loan_Data!$V$2:$V$801,Loan_Data!$P$2:$P$801,$A12,Loan_Data!$AO$2:$AO$801,"Approved")+SUMIFS(Loan_Data!$V$2:$V$801,Loan_Data!$P$2:$P$801,$A12,Loan_Data!$AO$2:$AO$801,"Closed")</f>
        <v>20701000</v>
      </c>
      <c r="L12" s="11" t="n">
        <f aca="false">IFERROR(K12/(F12+I12),0)</f>
        <v>739321.428571429</v>
      </c>
      <c r="M12" s="12" t="n">
        <f aca="false">IFERROR(AVERAGEIF(Loan_Data!$P$2:$P$801,$A12,Loan_Data!$AI$2:$AI$801),0)</f>
        <v>725.604651162791</v>
      </c>
      <c r="N12" s="13" t="n">
        <f aca="false">IFERROR(AVERAGEIF(Loan_Data!$P$2:$P$801,$A12,Loan_Data!$W$2:$W$801),0)</f>
        <v>11.0483720930233</v>
      </c>
      <c r="O12" s="10" t="n">
        <f aca="false">IFERROR(COUNTIFS(Loan_Data!$P$2:$P$801,$A12,Loan_Data!$AN$2:$AN$801,"Missed Payment")/(F12+I12),0)</f>
        <v>0.142857142857143</v>
      </c>
    </row>
    <row r="13" customFormat="false" ht="15" hidden="false" customHeight="false" outlineLevel="0" collapsed="false">
      <c r="A13" s="8" t="s">
        <v>209</v>
      </c>
      <c r="B13" s="8" t="s">
        <v>210</v>
      </c>
      <c r="C13" s="8" t="s">
        <v>211</v>
      </c>
      <c r="D13" s="8" t="s">
        <v>147</v>
      </c>
      <c r="E13" s="9" t="n">
        <f aca="false">COUNTIF(Loan_Data!$P$2:$P$801,$A13)</f>
        <v>67</v>
      </c>
      <c r="F13" s="9" t="n">
        <f aca="false">COUNTIFS(Loan_Data!$P$2:$P$801,$A13,Loan_Data!$AO$2:$AO$801,"Approved")</f>
        <v>38</v>
      </c>
      <c r="G13" s="9" t="n">
        <f aca="false">COUNTIFS(Loan_Data!$P$2:$P$801,$A13,Loan_Data!$AO$2:$AO$801,"Rejected")</f>
        <v>14</v>
      </c>
      <c r="H13" s="9" t="n">
        <f aca="false">COUNTIFS(Loan_Data!$P$2:$P$801,$A13,Loan_Data!$AO$2:$AO$801,"Pending")</f>
        <v>9</v>
      </c>
      <c r="I13" s="9" t="n">
        <f aca="false">COUNTIFS(Loan_Data!$P$2:$P$801,$A13,Loan_Data!$AO$2:$AO$801,"Closed")</f>
        <v>6</v>
      </c>
      <c r="J13" s="10" t="n">
        <f aca="false">IFERROR((F13+I13)/E13,0)</f>
        <v>0.656716417910448</v>
      </c>
      <c r="K13" s="11" t="n">
        <f aca="false">SUMIFS(Loan_Data!$V$2:$V$801,Loan_Data!$P$2:$P$801,$A13,Loan_Data!$AO$2:$AO$801,"Approved")+SUMIFS(Loan_Data!$V$2:$V$801,Loan_Data!$P$2:$P$801,$A13,Loan_Data!$AO$2:$AO$801,"Closed")</f>
        <v>38943552</v>
      </c>
      <c r="L13" s="11" t="n">
        <f aca="false">IFERROR(K13/(F13+I13),0)</f>
        <v>885080.727272727</v>
      </c>
      <c r="M13" s="12" t="n">
        <f aca="false">IFERROR(AVERAGEIF(Loan_Data!$P$2:$P$801,$A13,Loan_Data!$AI$2:$AI$801),0)</f>
        <v>722.34328358209</v>
      </c>
      <c r="N13" s="13" t="n">
        <f aca="false">IFERROR(AVERAGEIF(Loan_Data!$P$2:$P$801,$A13,Loan_Data!$W$2:$W$801),0)</f>
        <v>11.0416417910448</v>
      </c>
      <c r="O13" s="10" t="n">
        <f aca="false">IFERROR(COUNTIFS(Loan_Data!$P$2:$P$801,$A13,Loan_Data!$AN$2:$AN$801,"Missed Payment")/(F13+I13),0)</f>
        <v>0.0454545454545455</v>
      </c>
    </row>
    <row r="14" customFormat="false" ht="15" hidden="false" customHeight="false" outlineLevel="0" collapsed="false">
      <c r="A14" s="8" t="s">
        <v>68</v>
      </c>
      <c r="B14" s="8" t="s">
        <v>69</v>
      </c>
      <c r="C14" s="8" t="s">
        <v>70</v>
      </c>
      <c r="D14" s="8" t="s">
        <v>67</v>
      </c>
      <c r="E14" s="9" t="n">
        <f aca="false">COUNTIF(Loan_Data!$P$2:$P$801,$A14)</f>
        <v>57</v>
      </c>
      <c r="F14" s="9" t="n">
        <f aca="false">COUNTIFS(Loan_Data!$P$2:$P$801,$A14,Loan_Data!$AO$2:$AO$801,"Approved")</f>
        <v>35</v>
      </c>
      <c r="G14" s="9" t="n">
        <f aca="false">COUNTIFS(Loan_Data!$P$2:$P$801,$A14,Loan_Data!$AO$2:$AO$801,"Rejected")</f>
        <v>11</v>
      </c>
      <c r="H14" s="9" t="n">
        <f aca="false">COUNTIFS(Loan_Data!$P$2:$P$801,$A14,Loan_Data!$AO$2:$AO$801,"Pending")</f>
        <v>5</v>
      </c>
      <c r="I14" s="9" t="n">
        <f aca="false">COUNTIFS(Loan_Data!$P$2:$P$801,$A14,Loan_Data!$AO$2:$AO$801,"Closed")</f>
        <v>6</v>
      </c>
      <c r="J14" s="10" t="n">
        <f aca="false">IFERROR((F14+I14)/E14,0)</f>
        <v>0.719298245614035</v>
      </c>
      <c r="K14" s="11" t="n">
        <f aca="false">SUMIFS(Loan_Data!$V$2:$V$801,Loan_Data!$P$2:$P$801,$A14,Loan_Data!$AO$2:$AO$801,"Approved")+SUMIFS(Loan_Data!$V$2:$V$801,Loan_Data!$P$2:$P$801,$A14,Loan_Data!$AO$2:$AO$801,"Closed")</f>
        <v>30420000</v>
      </c>
      <c r="L14" s="11" t="n">
        <f aca="false">IFERROR(K14/(F14+I14),0)</f>
        <v>741951.219512195</v>
      </c>
      <c r="M14" s="12" t="n">
        <f aca="false">IFERROR(AVERAGEIF(Loan_Data!$P$2:$P$801,$A14,Loan_Data!$AI$2:$AI$801),0)</f>
        <v>715.385964912281</v>
      </c>
      <c r="N14" s="13" t="n">
        <f aca="false">IFERROR(AVERAGEIF(Loan_Data!$P$2:$P$801,$A14,Loan_Data!$W$2:$W$801),0)</f>
        <v>11.5021052631579</v>
      </c>
      <c r="O14" s="10" t="n">
        <f aca="false">IFERROR(COUNTIFS(Loan_Data!$P$2:$P$801,$A14,Loan_Data!$AN$2:$AN$801,"Missed Payment")/(F14+I14),0)</f>
        <v>0.0731707317073171</v>
      </c>
    </row>
    <row r="15" customFormat="false" ht="15" hidden="false" customHeight="false" outlineLevel="0" collapsed="false">
      <c r="A15" s="8" t="s">
        <v>124</v>
      </c>
      <c r="B15" s="8" t="s">
        <v>125</v>
      </c>
      <c r="C15" s="8" t="s">
        <v>91</v>
      </c>
      <c r="D15" s="8" t="s">
        <v>92</v>
      </c>
      <c r="E15" s="9" t="n">
        <f aca="false">COUNTIF(Loan_Data!$P$2:$P$801,$A15)</f>
        <v>57</v>
      </c>
      <c r="F15" s="9" t="n">
        <f aca="false">COUNTIFS(Loan_Data!$P$2:$P$801,$A15,Loan_Data!$AO$2:$AO$801,"Approved")</f>
        <v>29</v>
      </c>
      <c r="G15" s="9" t="n">
        <f aca="false">COUNTIFS(Loan_Data!$P$2:$P$801,$A15,Loan_Data!$AO$2:$AO$801,"Rejected")</f>
        <v>13</v>
      </c>
      <c r="H15" s="9" t="n">
        <f aca="false">COUNTIFS(Loan_Data!$P$2:$P$801,$A15,Loan_Data!$AO$2:$AO$801,"Pending")</f>
        <v>10</v>
      </c>
      <c r="I15" s="9" t="n">
        <f aca="false">COUNTIFS(Loan_Data!$P$2:$P$801,$A15,Loan_Data!$AO$2:$AO$801,"Closed")</f>
        <v>5</v>
      </c>
      <c r="J15" s="10" t="n">
        <f aca="false">IFERROR((F15+I15)/E15,0)</f>
        <v>0.596491228070175</v>
      </c>
      <c r="K15" s="11" t="n">
        <f aca="false">SUMIFS(Loan_Data!$V$2:$V$801,Loan_Data!$P$2:$P$801,$A15,Loan_Data!$AO$2:$AO$801,"Approved")+SUMIFS(Loan_Data!$V$2:$V$801,Loan_Data!$P$2:$P$801,$A15,Loan_Data!$AO$2:$AO$801,"Closed")</f>
        <v>22141000</v>
      </c>
      <c r="L15" s="11" t="n">
        <f aca="false">IFERROR(K15/(F15+I15),0)</f>
        <v>651205.882352941</v>
      </c>
      <c r="M15" s="12" t="n">
        <f aca="false">IFERROR(AVERAGEIF(Loan_Data!$P$2:$P$801,$A15,Loan_Data!$AI$2:$AI$801),0)</f>
        <v>718.350877192983</v>
      </c>
      <c r="N15" s="13" t="n">
        <f aca="false">IFERROR(AVERAGEIF(Loan_Data!$P$2:$P$801,$A15,Loan_Data!$W$2:$W$801),0)</f>
        <v>11.7180701754386</v>
      </c>
      <c r="O15" s="10" t="n">
        <f aca="false">IFERROR(COUNTIFS(Loan_Data!$P$2:$P$801,$A15,Loan_Data!$AN$2:$AN$801,"Missed Payment")/(F15+I15),0)</f>
        <v>0.0588235294117647</v>
      </c>
    </row>
    <row r="16" customFormat="false" ht="15" hidden="false" customHeight="false" outlineLevel="0" collapsed="false">
      <c r="A16" s="8" t="s">
        <v>189</v>
      </c>
      <c r="B16" s="8" t="s">
        <v>190</v>
      </c>
      <c r="C16" s="8" t="s">
        <v>188</v>
      </c>
      <c r="D16" s="8" t="s">
        <v>51</v>
      </c>
      <c r="E16" s="9" t="n">
        <f aca="false">COUNTIF(Loan_Data!$P$2:$P$801,$A16)</f>
        <v>52</v>
      </c>
      <c r="F16" s="9" t="n">
        <f aca="false">COUNTIFS(Loan_Data!$P$2:$P$801,$A16,Loan_Data!$AO$2:$AO$801,"Approved")</f>
        <v>31</v>
      </c>
      <c r="G16" s="9" t="n">
        <f aca="false">COUNTIFS(Loan_Data!$P$2:$P$801,$A16,Loan_Data!$AO$2:$AO$801,"Rejected")</f>
        <v>8</v>
      </c>
      <c r="H16" s="9" t="n">
        <f aca="false">COUNTIFS(Loan_Data!$P$2:$P$801,$A16,Loan_Data!$AO$2:$AO$801,"Pending")</f>
        <v>10</v>
      </c>
      <c r="I16" s="9" t="n">
        <f aca="false">COUNTIFS(Loan_Data!$P$2:$P$801,$A16,Loan_Data!$AO$2:$AO$801,"Closed")</f>
        <v>3</v>
      </c>
      <c r="J16" s="10" t="n">
        <f aca="false">IFERROR((F16+I16)/E16,0)</f>
        <v>0.653846153846154</v>
      </c>
      <c r="K16" s="11" t="n">
        <f aca="false">SUMIFS(Loan_Data!$V$2:$V$801,Loan_Data!$P$2:$P$801,$A16,Loan_Data!$AO$2:$AO$801,"Approved")+SUMIFS(Loan_Data!$V$2:$V$801,Loan_Data!$P$2:$P$801,$A16,Loan_Data!$AO$2:$AO$801,"Closed")</f>
        <v>27393000</v>
      </c>
      <c r="L16" s="11" t="n">
        <f aca="false">IFERROR(K16/(F16+I16),0)</f>
        <v>805676.470588235</v>
      </c>
      <c r="M16" s="12" t="n">
        <f aca="false">IFERROR(AVERAGEIF(Loan_Data!$P$2:$P$801,$A16,Loan_Data!$AI$2:$AI$801),0)</f>
        <v>703.307692307692</v>
      </c>
      <c r="N16" s="13" t="n">
        <f aca="false">IFERROR(AVERAGEIF(Loan_Data!$P$2:$P$801,$A16,Loan_Data!$W$2:$W$801),0)</f>
        <v>11.3542307692308</v>
      </c>
      <c r="O16" s="10" t="n">
        <f aca="false">IFERROR(COUNTIFS(Loan_Data!$P$2:$P$801,$A16,Loan_Data!$AN$2:$AN$801,"Missed Payment")/(F16+I16),0)</f>
        <v>0.147058823529412</v>
      </c>
    </row>
    <row r="17" customFormat="false" ht="15" hidden="false" customHeight="false" outlineLevel="0" collapsed="false">
      <c r="A17" s="14" t="s">
        <v>3052</v>
      </c>
      <c r="B17" s="14"/>
      <c r="C17" s="14"/>
      <c r="D17" s="14"/>
      <c r="E17" s="15" t="n">
        <f aca="false">SUM(E2:E16)</f>
        <v>800</v>
      </c>
      <c r="F17" s="15" t="n">
        <f aca="false">SUM(F2:F16)</f>
        <v>480</v>
      </c>
      <c r="G17" s="15" t="n">
        <f aca="false">SUM(G2:G16)</f>
        <v>134</v>
      </c>
      <c r="H17" s="15" t="n">
        <f aca="false">SUM(H2:H16)</f>
        <v>126</v>
      </c>
      <c r="I17" s="15" t="n">
        <f aca="false">SUM(I2:I16)</f>
        <v>60</v>
      </c>
      <c r="J17" s="16" t="n">
        <f aca="false">IFERROR((F17+I17)/E17,0)</f>
        <v>0.675</v>
      </c>
      <c r="K17" s="17" t="n">
        <f aca="false">SUM(K2:K16)</f>
        <v>416564462</v>
      </c>
      <c r="L17" s="17" t="n">
        <f aca="false">IFERROR(K17/(F17+I17),0)</f>
        <v>771415.67037037</v>
      </c>
      <c r="M17" s="18" t="n">
        <f aca="false">AVERAGE(M2:M16)</f>
        <v>715.802724165725</v>
      </c>
      <c r="N17" s="19" t="n">
        <f aca="false">AVERAGE(N2:N16)</f>
        <v>11.2802545047313</v>
      </c>
      <c r="O17" s="16" t="n">
        <f aca="false">IFERROR(SUMPRODUCT(O2:O16,(F2:F16+I2:I16))/(F17+I17),0)</f>
        <v>0.0944444444444444</v>
      </c>
    </row>
  </sheetData>
  <autoFilter ref="A1:O16"/>
  <mergeCells count="1"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7" min="3" style="0" width="12"/>
    <col collapsed="false" customWidth="true" hidden="false" outlineLevel="0" max="8" min="8" style="0" width="20"/>
    <col collapsed="false" customWidth="true" hidden="false" outlineLevel="0" max="9" min="9" style="0" width="16"/>
    <col collapsed="false" customWidth="true" hidden="false" outlineLevel="0" max="11" min="10" style="0" width="14"/>
    <col collapsed="false" customWidth="true" hidden="false" outlineLevel="0" max="12" min="12" style="0" width="15"/>
    <col collapsed="false" customWidth="true" hidden="false" outlineLevel="0" max="13" min="13" style="0" width="12"/>
    <col collapsed="false" customWidth="true" hidden="false" outlineLevel="0" max="15" min="14" style="0" width="15"/>
  </cols>
  <sheetData>
    <row r="1" customFormat="false" ht="30" hidden="false" customHeight="true" outlineLevel="0" collapsed="false">
      <c r="A1" s="1" t="s">
        <v>20</v>
      </c>
      <c r="B1" s="1" t="s">
        <v>3041</v>
      </c>
      <c r="C1" s="1" t="s">
        <v>3042</v>
      </c>
      <c r="D1" s="1" t="s">
        <v>3043</v>
      </c>
      <c r="E1" s="1" t="s">
        <v>3044</v>
      </c>
      <c r="F1" s="1" t="s">
        <v>3045</v>
      </c>
      <c r="G1" s="1" t="s">
        <v>3046</v>
      </c>
      <c r="H1" s="1" t="s">
        <v>3047</v>
      </c>
      <c r="I1" s="1" t="s">
        <v>3048</v>
      </c>
      <c r="J1" s="1" t="s">
        <v>3050</v>
      </c>
      <c r="K1" s="1" t="s">
        <v>3053</v>
      </c>
      <c r="L1" s="1" t="s">
        <v>3054</v>
      </c>
      <c r="M1" s="1" t="s">
        <v>3055</v>
      </c>
      <c r="N1" s="1" t="s">
        <v>3049</v>
      </c>
      <c r="O1" s="1" t="s">
        <v>3051</v>
      </c>
    </row>
    <row r="2" customFormat="false" ht="15" hidden="false" customHeight="false" outlineLevel="0" collapsed="false">
      <c r="A2" s="8" t="s">
        <v>85</v>
      </c>
      <c r="B2" s="9" t="n">
        <f aca="false">COUNTIF(Loan_Data!$U$2:$U$801,$A2)</f>
        <v>161</v>
      </c>
      <c r="C2" s="9" t="n">
        <f aca="false">COUNTIFS(Loan_Data!$U$2:$U$801,$A2,Loan_Data!$AO$2:$AO$801,"Approved")</f>
        <v>93</v>
      </c>
      <c r="D2" s="9" t="n">
        <f aca="false">COUNTIFS(Loan_Data!$U$2:$U$801,$A2,Loan_Data!$AO$2:$AO$801,"Rejected")</f>
        <v>29</v>
      </c>
      <c r="E2" s="9" t="n">
        <f aca="false">COUNTIFS(Loan_Data!$U$2:$U$801,$A2,Loan_Data!$AO$2:$AO$801,"Pending")</f>
        <v>25</v>
      </c>
      <c r="F2" s="9" t="n">
        <f aca="false">COUNTIFS(Loan_Data!$U$2:$U$801,$A2,Loan_Data!$AO$2:$AO$801,"Closed")</f>
        <v>14</v>
      </c>
      <c r="G2" s="10" t="n">
        <f aca="false">IFERROR((C2+F2)/B2,0)</f>
        <v>0.664596273291926</v>
      </c>
      <c r="H2" s="11" t="n">
        <f aca="false">SUMIFS(Loan_Data!$V$2:$V$801,Loan_Data!$U$2:$U$801,$A2,Loan_Data!$AO$2:$AO$801,"Approved")+SUMIFS(Loan_Data!$V$2:$V$801,Loan_Data!$U$2:$U$801,$A2,Loan_Data!$AO$2:$AO$801,"Closed")</f>
        <v>38406939</v>
      </c>
      <c r="I2" s="10" t="n">
        <f aca="false">IFERROR(H2/(C2+F2),0)</f>
        <v>358943.355140187</v>
      </c>
      <c r="J2" s="13" t="n">
        <f aca="false">IFERROR(AVERAGEIF(Loan_Data!$U$2:$U$801,$A2,Loan_Data!$W$2:$W$801),0)</f>
        <v>8.95378881987578</v>
      </c>
      <c r="K2" s="9" t="n">
        <f aca="false">IFERROR(AVERAGEIF(Loan_Data!$U$2:$U$801,$A2,Loan_Data!$X$2:$X$801),0)</f>
        <v>20.1614906832298</v>
      </c>
      <c r="L2" s="11" t="n">
        <f aca="false">IFERROR(AVERAGEIF(Loan_Data!$U$2:$U$801,$A2,Loan_Data!$AB$2:$AB$801),0)</f>
        <v>18626.6168944099</v>
      </c>
      <c r="M2" s="10" t="n">
        <f aca="false">IFERROR(AVERAGEIF(Loan_Data!$U$2:$U$801,$A2,Loan_Data!$AJ$2:$AJ$801),0)</f>
        <v>0.526065838509317</v>
      </c>
      <c r="N2" s="12" t="n">
        <f aca="false">IFERROR(AVERAGEIF(Loan_Data!$U$2:$U$801,$A2,Loan_Data!$AI$2:$AI$801),0)</f>
        <v>718.204968944099</v>
      </c>
      <c r="O2" s="10" t="n">
        <f aca="false">IFERROR(COUNTIFS(Loan_Data!$U$2:$U$801,$A2,Loan_Data!$AN$2:$AN$801,"Missed Payment")/(C2+F2),0)</f>
        <v>0.0841121495327103</v>
      </c>
    </row>
    <row r="3" customFormat="false" ht="15" hidden="false" customHeight="false" outlineLevel="0" collapsed="false">
      <c r="A3" s="8" t="s">
        <v>72</v>
      </c>
      <c r="B3" s="9" t="n">
        <f aca="false">COUNTIF(Loan_Data!$U$2:$U$801,$A3)</f>
        <v>115</v>
      </c>
      <c r="C3" s="9" t="n">
        <f aca="false">COUNTIFS(Loan_Data!$U$2:$U$801,$A3,Loan_Data!$AO$2:$AO$801,"Approved")</f>
        <v>58</v>
      </c>
      <c r="D3" s="9" t="n">
        <f aca="false">COUNTIFS(Loan_Data!$U$2:$U$801,$A3,Loan_Data!$AO$2:$AO$801,"Rejected")</f>
        <v>22</v>
      </c>
      <c r="E3" s="9" t="n">
        <f aca="false">COUNTIFS(Loan_Data!$U$2:$U$801,$A3,Loan_Data!$AO$2:$AO$801,"Pending")</f>
        <v>20</v>
      </c>
      <c r="F3" s="9" t="n">
        <f aca="false">COUNTIFS(Loan_Data!$U$2:$U$801,$A3,Loan_Data!$AO$2:$AO$801,"Closed")</f>
        <v>15</v>
      </c>
      <c r="G3" s="10" t="n">
        <f aca="false">IFERROR((C3+F3)/B3,0)</f>
        <v>0.634782608695652</v>
      </c>
      <c r="H3" s="11" t="n">
        <f aca="false">SUMIFS(Loan_Data!$V$2:$V$801,Loan_Data!$U$2:$U$801,$A3,Loan_Data!$AO$2:$AO$801,"Approved")+SUMIFS(Loan_Data!$V$2:$V$801,Loan_Data!$U$2:$U$801,$A3,Loan_Data!$AO$2:$AO$801,"Closed")</f>
        <v>59206000</v>
      </c>
      <c r="I3" s="10" t="n">
        <f aca="false">IFERROR(H3/(C3+F3),0)</f>
        <v>811041.095890411</v>
      </c>
      <c r="J3" s="13" t="n">
        <f aca="false">IFERROR(AVERAGEIF(Loan_Data!$U$2:$U$801,$A3,Loan_Data!$W$2:$W$801),0)</f>
        <v>13.9584347826087</v>
      </c>
      <c r="K3" s="9" t="n">
        <f aca="false">IFERROR(AVERAGEIF(Loan_Data!$U$2:$U$801,$A3,Loan_Data!$X$2:$X$801),0)</f>
        <v>50.1391304347826</v>
      </c>
      <c r="L3" s="11" t="n">
        <f aca="false">IFERROR(AVERAGEIF(Loan_Data!$U$2:$U$801,$A3,Loan_Data!$AB$2:$AB$801),0)</f>
        <v>22618.5727826087</v>
      </c>
      <c r="M3" s="10" t="n">
        <f aca="false">IFERROR(AVERAGEIF(Loan_Data!$U$2:$U$801,$A3,Loan_Data!$AJ$2:$AJ$801),0)</f>
        <v>0.384725217391304</v>
      </c>
      <c r="N3" s="12" t="n">
        <f aca="false">IFERROR(AVERAGEIF(Loan_Data!$U$2:$U$801,$A3,Loan_Data!$AI$2:$AI$801),0)</f>
        <v>704.069565217391</v>
      </c>
      <c r="O3" s="10" t="n">
        <f aca="false">IFERROR(COUNTIFS(Loan_Data!$U$2:$U$801,$A3,Loan_Data!$AN$2:$AN$801,"Missed Payment")/(C3+F3),0)</f>
        <v>0.0547945205479452</v>
      </c>
    </row>
    <row r="4" customFormat="false" ht="15" hidden="false" customHeight="false" outlineLevel="0" collapsed="false">
      <c r="A4" s="8" t="s">
        <v>180</v>
      </c>
      <c r="B4" s="9" t="n">
        <f aca="false">COUNTIF(Loan_Data!$U$2:$U$801,$A4)</f>
        <v>123</v>
      </c>
      <c r="C4" s="9" t="n">
        <f aca="false">COUNTIFS(Loan_Data!$U$2:$U$801,$A4,Loan_Data!$AO$2:$AO$801,"Approved")</f>
        <v>82</v>
      </c>
      <c r="D4" s="9" t="n">
        <f aca="false">COUNTIFS(Loan_Data!$U$2:$U$801,$A4,Loan_Data!$AO$2:$AO$801,"Rejected")</f>
        <v>14</v>
      </c>
      <c r="E4" s="9" t="n">
        <f aca="false">COUNTIFS(Loan_Data!$U$2:$U$801,$A4,Loan_Data!$AO$2:$AO$801,"Pending")</f>
        <v>21</v>
      </c>
      <c r="F4" s="9" t="n">
        <f aca="false">COUNTIFS(Loan_Data!$U$2:$U$801,$A4,Loan_Data!$AO$2:$AO$801,"Closed")</f>
        <v>6</v>
      </c>
      <c r="G4" s="10" t="n">
        <f aca="false">IFERROR((C4+F4)/B4,0)</f>
        <v>0.715447154471545</v>
      </c>
      <c r="H4" s="11" t="n">
        <f aca="false">SUMIFS(Loan_Data!$V$2:$V$801,Loan_Data!$U$2:$U$801,$A4,Loan_Data!$AO$2:$AO$801,"Approved")+SUMIFS(Loan_Data!$V$2:$V$801,Loan_Data!$U$2:$U$801,$A4,Loan_Data!$AO$2:$AO$801,"Closed")</f>
        <v>67399563</v>
      </c>
      <c r="I4" s="10" t="n">
        <f aca="false">IFERROR(H4/(C4+F4),0)</f>
        <v>765904.125</v>
      </c>
      <c r="J4" s="13" t="n">
        <f aca="false">IFERROR(AVERAGEIF(Loan_Data!$U$2:$U$801,$A4,Loan_Data!$W$2:$W$801),0)</f>
        <v>11.4456097560976</v>
      </c>
      <c r="K4" s="9" t="n">
        <f aca="false">IFERROR(AVERAGEIF(Loan_Data!$U$2:$U$801,$A4,Loan_Data!$X$2:$X$801),0)</f>
        <v>43.4634146341463</v>
      </c>
      <c r="L4" s="11" t="n">
        <f aca="false">IFERROR(AVERAGEIF(Loan_Data!$U$2:$U$801,$A4,Loan_Data!$AB$2:$AB$801),0)</f>
        <v>22908.7195934959</v>
      </c>
      <c r="M4" s="10" t="n">
        <f aca="false">IFERROR(AVERAGEIF(Loan_Data!$U$2:$U$801,$A4,Loan_Data!$AJ$2:$AJ$801),0)</f>
        <v>0.448769918699187</v>
      </c>
      <c r="N4" s="12" t="n">
        <f aca="false">IFERROR(AVERAGEIF(Loan_Data!$U$2:$U$801,$A4,Loan_Data!$AI$2:$AI$801),0)</f>
        <v>715.764227642276</v>
      </c>
      <c r="O4" s="10" t="n">
        <f aca="false">IFERROR(COUNTIFS(Loan_Data!$U$2:$U$801,$A4,Loan_Data!$AN$2:$AN$801,"Missed Payment")/(C4+F4),0)</f>
        <v>0.170454545454545</v>
      </c>
    </row>
    <row r="5" customFormat="false" ht="15" hidden="false" customHeight="false" outlineLevel="0" collapsed="false">
      <c r="A5" s="8" t="s">
        <v>118</v>
      </c>
      <c r="B5" s="9" t="n">
        <f aca="false">COUNTIF(Loan_Data!$U$2:$U$801,$A5)</f>
        <v>96</v>
      </c>
      <c r="C5" s="9" t="n">
        <f aca="false">COUNTIFS(Loan_Data!$U$2:$U$801,$A5,Loan_Data!$AO$2:$AO$801,"Approved")</f>
        <v>59</v>
      </c>
      <c r="D5" s="9" t="n">
        <f aca="false">COUNTIFS(Loan_Data!$U$2:$U$801,$A5,Loan_Data!$AO$2:$AO$801,"Rejected")</f>
        <v>16</v>
      </c>
      <c r="E5" s="9" t="n">
        <f aca="false">COUNTIFS(Loan_Data!$U$2:$U$801,$A5,Loan_Data!$AO$2:$AO$801,"Pending")</f>
        <v>17</v>
      </c>
      <c r="F5" s="9" t="n">
        <f aca="false">COUNTIFS(Loan_Data!$U$2:$U$801,$A5,Loan_Data!$AO$2:$AO$801,"Closed")</f>
        <v>4</v>
      </c>
      <c r="G5" s="10" t="n">
        <f aca="false">IFERROR((C5+F5)/B5,0)</f>
        <v>0.65625</v>
      </c>
      <c r="H5" s="11" t="n">
        <f aca="false">SUMIFS(Loan_Data!$V$2:$V$801,Loan_Data!$U$2:$U$801,$A5,Loan_Data!$AO$2:$AO$801,"Approved")+SUMIFS(Loan_Data!$V$2:$V$801,Loan_Data!$U$2:$U$801,$A5,Loan_Data!$AO$2:$AO$801,"Closed")</f>
        <v>48619635</v>
      </c>
      <c r="I5" s="10" t="n">
        <f aca="false">IFERROR(H5/(C5+F5),0)</f>
        <v>771740.238095238</v>
      </c>
      <c r="J5" s="13" t="n">
        <f aca="false">IFERROR(AVERAGEIF(Loan_Data!$U$2:$U$801,$A5,Loan_Data!$W$2:$W$801),0)</f>
        <v>9.1025</v>
      </c>
      <c r="K5" s="9" t="n">
        <f aca="false">IFERROR(AVERAGEIF(Loan_Data!$U$2:$U$801,$A5,Loan_Data!$X$2:$X$801),0)</f>
        <v>47.3125</v>
      </c>
      <c r="L5" s="11" t="n">
        <f aca="false">IFERROR(AVERAGEIF(Loan_Data!$U$2:$U$801,$A5,Loan_Data!$AB$2:$AB$801),0)</f>
        <v>21990.8859375</v>
      </c>
      <c r="M5" s="10" t="n">
        <f aca="false">IFERROR(AVERAGEIF(Loan_Data!$U$2:$U$801,$A5,Loan_Data!$AJ$2:$AJ$801),0)</f>
        <v>0.509341666666667</v>
      </c>
      <c r="N5" s="12" t="n">
        <f aca="false">IFERROR(AVERAGEIF(Loan_Data!$U$2:$U$801,$A5,Loan_Data!$AI$2:$AI$801),0)</f>
        <v>711.229166666667</v>
      </c>
      <c r="O5" s="10" t="n">
        <f aca="false">IFERROR(COUNTIFS(Loan_Data!$U$2:$U$801,$A5,Loan_Data!$AN$2:$AN$801,"Missed Payment")/(C5+F5),0)</f>
        <v>0.0317460317460317</v>
      </c>
    </row>
    <row r="6" customFormat="false" ht="15" hidden="false" customHeight="false" outlineLevel="0" collapsed="false">
      <c r="A6" s="8" t="s">
        <v>57</v>
      </c>
      <c r="B6" s="9" t="n">
        <f aca="false">COUNTIF(Loan_Data!$U$2:$U$801,$A6)</f>
        <v>88</v>
      </c>
      <c r="C6" s="9" t="n">
        <f aca="false">COUNTIFS(Loan_Data!$U$2:$U$801,$A6,Loan_Data!$AO$2:$AO$801,"Approved")</f>
        <v>50</v>
      </c>
      <c r="D6" s="9" t="n">
        <f aca="false">COUNTIFS(Loan_Data!$U$2:$U$801,$A6,Loan_Data!$AO$2:$AO$801,"Rejected")</f>
        <v>16</v>
      </c>
      <c r="E6" s="9" t="n">
        <f aca="false">COUNTIFS(Loan_Data!$U$2:$U$801,$A6,Loan_Data!$AO$2:$AO$801,"Pending")</f>
        <v>18</v>
      </c>
      <c r="F6" s="9" t="n">
        <f aca="false">COUNTIFS(Loan_Data!$U$2:$U$801,$A6,Loan_Data!$AO$2:$AO$801,"Closed")</f>
        <v>4</v>
      </c>
      <c r="G6" s="10" t="n">
        <f aca="false">IFERROR((C6+F6)/B6,0)</f>
        <v>0.613636363636364</v>
      </c>
      <c r="H6" s="11" t="n">
        <f aca="false">SUMIFS(Loan_Data!$V$2:$V$801,Loan_Data!$U$2:$U$801,$A6,Loan_Data!$AO$2:$AO$801,"Approved")+SUMIFS(Loan_Data!$V$2:$V$801,Loan_Data!$U$2:$U$801,$A6,Loan_Data!$AO$2:$AO$801,"Closed")</f>
        <v>103104000</v>
      </c>
      <c r="I6" s="10" t="n">
        <f aca="false">IFERROR(H6/(C6+F6),0)</f>
        <v>1909333.33333333</v>
      </c>
      <c r="J6" s="13" t="n">
        <f aca="false">IFERROR(AVERAGEIF(Loan_Data!$U$2:$U$801,$A6,Loan_Data!$W$2:$W$801),0)</f>
        <v>10.0644318181818</v>
      </c>
      <c r="K6" s="9" t="n">
        <f aca="false">IFERROR(AVERAGEIF(Loan_Data!$U$2:$U$801,$A6,Loan_Data!$X$2:$X$801),0)</f>
        <v>182.795454545455</v>
      </c>
      <c r="L6" s="11" t="n">
        <f aca="false">IFERROR(AVERAGEIF(Loan_Data!$U$2:$U$801,$A6,Loan_Data!$AB$2:$AB$801),0)</f>
        <v>21034.8768181818</v>
      </c>
      <c r="M6" s="10" t="n">
        <f aca="false">IFERROR(AVERAGEIF(Loan_Data!$U$2:$U$801,$A6,Loan_Data!$AJ$2:$AJ$801),0)</f>
        <v>0.3961125</v>
      </c>
      <c r="N6" s="12" t="n">
        <f aca="false">IFERROR(AVERAGEIF(Loan_Data!$U$2:$U$801,$A6,Loan_Data!$AI$2:$AI$801),0)</f>
        <v>726.363636363636</v>
      </c>
      <c r="O6" s="10" t="n">
        <f aca="false">IFERROR(COUNTIFS(Loan_Data!$U$2:$U$801,$A6,Loan_Data!$AN$2:$AN$801,"Missed Payment")/(C6+F6),0)</f>
        <v>0.148148148148148</v>
      </c>
    </row>
    <row r="7" customFormat="false" ht="15" hidden="false" customHeight="false" outlineLevel="0" collapsed="false">
      <c r="A7" s="8" t="s">
        <v>97</v>
      </c>
      <c r="B7" s="9" t="n">
        <f aca="false">COUNTIF(Loan_Data!$U$2:$U$801,$A7)</f>
        <v>93</v>
      </c>
      <c r="C7" s="9" t="n">
        <f aca="false">COUNTIFS(Loan_Data!$U$2:$U$801,$A7,Loan_Data!$AO$2:$AO$801,"Approved")</f>
        <v>61</v>
      </c>
      <c r="D7" s="9" t="n">
        <f aca="false">COUNTIFS(Loan_Data!$U$2:$U$801,$A7,Loan_Data!$AO$2:$AO$801,"Rejected")</f>
        <v>14</v>
      </c>
      <c r="E7" s="9" t="n">
        <f aca="false">COUNTIFS(Loan_Data!$U$2:$U$801,$A7,Loan_Data!$AO$2:$AO$801,"Pending")</f>
        <v>9</v>
      </c>
      <c r="F7" s="9" t="n">
        <f aca="false">COUNTIFS(Loan_Data!$U$2:$U$801,$A7,Loan_Data!$AO$2:$AO$801,"Closed")</f>
        <v>9</v>
      </c>
      <c r="G7" s="10" t="n">
        <f aca="false">IFERROR((C7+F7)/B7,0)</f>
        <v>0.752688172043011</v>
      </c>
      <c r="H7" s="11" t="n">
        <f aca="false">SUMIFS(Loan_Data!$V$2:$V$801,Loan_Data!$U$2:$U$801,$A7,Loan_Data!$AO$2:$AO$801,"Approved")+SUMIFS(Loan_Data!$V$2:$V$801,Loan_Data!$U$2:$U$801,$A7,Loan_Data!$AO$2:$AO$801,"Closed")</f>
        <v>38829000</v>
      </c>
      <c r="I7" s="10" t="n">
        <f aca="false">IFERROR(H7/(C7+F7),0)</f>
        <v>554700</v>
      </c>
      <c r="J7" s="13" t="n">
        <f aca="false">IFERROR(AVERAGEIF(Loan_Data!$U$2:$U$801,$A7,Loan_Data!$W$2:$W$801),0)</f>
        <v>13.6863440860215</v>
      </c>
      <c r="K7" s="9" t="n">
        <f aca="false">IFERROR(AVERAGEIF(Loan_Data!$U$2:$U$801,$A7,Loan_Data!$X$2:$X$801),0)</f>
        <v>35.4193548387097</v>
      </c>
      <c r="L7" s="11" t="n">
        <f aca="false">IFERROR(AVERAGEIF(Loan_Data!$U$2:$U$801,$A7,Loan_Data!$AB$2:$AB$801),0)</f>
        <v>20662.7855913979</v>
      </c>
      <c r="M7" s="10" t="n">
        <f aca="false">IFERROR(AVERAGEIF(Loan_Data!$U$2:$U$801,$A7,Loan_Data!$AJ$2:$AJ$801),0)</f>
        <v>0.335195698924731</v>
      </c>
      <c r="N7" s="12" t="n">
        <f aca="false">IFERROR(AVERAGEIF(Loan_Data!$U$2:$U$801,$A7,Loan_Data!$AI$2:$AI$801),0)</f>
        <v>718.290322580645</v>
      </c>
      <c r="O7" s="10" t="n">
        <f aca="false">IFERROR(COUNTIFS(Loan_Data!$U$2:$U$801,$A7,Loan_Data!$AN$2:$AN$801,"Missed Payment")/(C7+F7),0)</f>
        <v>0.0857142857142857</v>
      </c>
    </row>
    <row r="8" customFormat="false" ht="15" hidden="false" customHeight="false" outlineLevel="0" collapsed="false">
      <c r="A8" s="8" t="s">
        <v>192</v>
      </c>
      <c r="B8" s="9" t="n">
        <f aca="false">COUNTIF(Loan_Data!$U$2:$U$801,$A8)</f>
        <v>124</v>
      </c>
      <c r="C8" s="9" t="n">
        <f aca="false">COUNTIFS(Loan_Data!$U$2:$U$801,$A8,Loan_Data!$AO$2:$AO$801,"Approved")</f>
        <v>77</v>
      </c>
      <c r="D8" s="9" t="n">
        <f aca="false">COUNTIFS(Loan_Data!$U$2:$U$801,$A8,Loan_Data!$AO$2:$AO$801,"Rejected")</f>
        <v>23</v>
      </c>
      <c r="E8" s="9" t="n">
        <f aca="false">COUNTIFS(Loan_Data!$U$2:$U$801,$A8,Loan_Data!$AO$2:$AO$801,"Pending")</f>
        <v>16</v>
      </c>
      <c r="F8" s="9" t="n">
        <f aca="false">COUNTIFS(Loan_Data!$U$2:$U$801,$A8,Loan_Data!$AO$2:$AO$801,"Closed")</f>
        <v>8</v>
      </c>
      <c r="G8" s="10" t="n">
        <f aca="false">IFERROR((C8+F8)/B8,0)</f>
        <v>0.685483870967742</v>
      </c>
      <c r="H8" s="11" t="n">
        <f aca="false">SUMIFS(Loan_Data!$V$2:$V$801,Loan_Data!$U$2:$U$801,$A8,Loan_Data!$AO$2:$AO$801,"Approved")+SUMIFS(Loan_Data!$V$2:$V$801,Loan_Data!$U$2:$U$801,$A8,Loan_Data!$AO$2:$AO$801,"Closed")</f>
        <v>60999325</v>
      </c>
      <c r="I8" s="10" t="n">
        <f aca="false">IFERROR(H8/(C8+F8),0)</f>
        <v>717639.117647059</v>
      </c>
      <c r="J8" s="13" t="n">
        <f aca="false">IFERROR(AVERAGEIF(Loan_Data!$U$2:$U$801,$A8,Loan_Data!$W$2:$W$801),0)</f>
        <v>12.4591935483871</v>
      </c>
      <c r="K8" s="9" t="n">
        <f aca="false">IFERROR(AVERAGEIF(Loan_Data!$U$2:$U$801,$A8,Loan_Data!$X$2:$X$801),0)</f>
        <v>44.7096774193548</v>
      </c>
      <c r="L8" s="11" t="n">
        <f aca="false">IFERROR(AVERAGEIF(Loan_Data!$U$2:$U$801,$A8,Loan_Data!$AB$2:$AB$801),0)</f>
        <v>21058.6416129032</v>
      </c>
      <c r="M8" s="10" t="n">
        <f aca="false">IFERROR(AVERAGEIF(Loan_Data!$U$2:$U$801,$A8,Loan_Data!$AJ$2:$AJ$801),0)</f>
        <v>0.404987096774194</v>
      </c>
      <c r="N8" s="12" t="n">
        <f aca="false">IFERROR(AVERAGEIF(Loan_Data!$U$2:$U$801,$A8,Loan_Data!$AI$2:$AI$801),0)</f>
        <v>720.572580645161</v>
      </c>
      <c r="O8" s="10" t="n">
        <f aca="false">IFERROR(COUNTIFS(Loan_Data!$U$2:$U$801,$A8,Loan_Data!$AN$2:$AN$801,"Missed Payment")/(C8+F8),0)</f>
        <v>0.0823529411764706</v>
      </c>
    </row>
    <row r="9" customFormat="false" ht="15" hidden="false" customHeight="false" outlineLevel="0" collapsed="false">
      <c r="A9" s="20" t="s">
        <v>3052</v>
      </c>
      <c r="B9" s="15" t="n">
        <f aca="false">SUM(B2:B8)</f>
        <v>800</v>
      </c>
      <c r="C9" s="15" t="n">
        <f aca="false">SUM(C2:C8)</f>
        <v>480</v>
      </c>
      <c r="D9" s="15" t="n">
        <f aca="false">SUM(D2:D8)</f>
        <v>134</v>
      </c>
      <c r="E9" s="15" t="n">
        <f aca="false">SUM(E2:E8)</f>
        <v>126</v>
      </c>
      <c r="F9" s="15" t="n">
        <f aca="false">SUM(F2:F8)</f>
        <v>60</v>
      </c>
      <c r="G9" s="16" t="n">
        <f aca="false">IFERROR((C9+F9)/B9,0)</f>
        <v>0.675</v>
      </c>
      <c r="H9" s="17" t="n">
        <f aca="false">SUM(H2:H8)</f>
        <v>416564462</v>
      </c>
      <c r="I9" s="16" t="n">
        <f aca="false">IFERROR(H9/(C9+F9),0)</f>
        <v>771415.67037037</v>
      </c>
      <c r="J9" s="19" t="n">
        <f aca="false">AVERAGE(J2:J8)</f>
        <v>11.3814718301675</v>
      </c>
      <c r="K9" s="15" t="n">
        <f aca="false">AVERAGE(K2:K8)</f>
        <v>60.5715746508111</v>
      </c>
      <c r="L9" s="17" t="n">
        <f aca="false">AVERAGE(L2:L8)</f>
        <v>21271.5856043568</v>
      </c>
      <c r="M9" s="16" t="n">
        <f aca="false">AVERAGE(M2:M8)</f>
        <v>0.429313990995057</v>
      </c>
      <c r="N9" s="18" t="n">
        <f aca="false">AVERAGE(N2:N8)</f>
        <v>716.356352579982</v>
      </c>
      <c r="O9" s="16" t="n">
        <f aca="false">IFERROR(SUMPRODUCT(O2:O8,(C2:C8+F2:F8))/(C9+F9),0)</f>
        <v>0.0944444444444444</v>
      </c>
    </row>
  </sheetData>
  <autoFilter ref="A1:O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5" min="4" style="0" width="13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9" min="9" style="0" width="20"/>
    <col collapsed="false" customWidth="true" hidden="false" outlineLevel="0" max="10" min="10" style="0" width="16"/>
    <col collapsed="false" customWidth="true" hidden="false" outlineLevel="0" max="12" min="11" style="0" width="15"/>
    <col collapsed="false" customWidth="true" hidden="false" outlineLevel="0" max="13" min="13" style="0" width="12"/>
    <col collapsed="false" customWidth="true" hidden="false" outlineLevel="0" max="14" min="14" style="0" width="18"/>
    <col collapsed="false" customWidth="true" hidden="false" outlineLevel="0" max="15" min="15" style="0" width="15"/>
    <col collapsed="false" customWidth="true" hidden="false" outlineLevel="0" max="16" min="16" style="0" width="16"/>
  </cols>
  <sheetData>
    <row r="1" customFormat="false" ht="30" hidden="false" customHeight="true" outlineLevel="0" collapsed="false">
      <c r="A1" s="1" t="s">
        <v>36</v>
      </c>
      <c r="B1" s="1" t="s">
        <v>3056</v>
      </c>
      <c r="C1" s="1" t="s">
        <v>3057</v>
      </c>
      <c r="D1" s="1" t="s">
        <v>3042</v>
      </c>
      <c r="E1" s="1" t="s">
        <v>3043</v>
      </c>
      <c r="F1" s="1" t="s">
        <v>3044</v>
      </c>
      <c r="G1" s="1" t="s">
        <v>3045</v>
      </c>
      <c r="H1" s="1" t="s">
        <v>3046</v>
      </c>
      <c r="I1" s="1" t="s">
        <v>3047</v>
      </c>
      <c r="J1" s="1" t="s">
        <v>3048</v>
      </c>
      <c r="K1" s="1" t="s">
        <v>3049</v>
      </c>
      <c r="L1" s="1" t="s">
        <v>3050</v>
      </c>
      <c r="M1" s="1" t="s">
        <v>3055</v>
      </c>
      <c r="N1" s="1" t="s">
        <v>3058</v>
      </c>
      <c r="O1" s="1" t="s">
        <v>3051</v>
      </c>
      <c r="P1" s="1" t="s">
        <v>3059</v>
      </c>
    </row>
    <row r="2" customFormat="false" ht="15" hidden="false" customHeight="false" outlineLevel="0" collapsed="false">
      <c r="A2" s="8" t="s">
        <v>3060</v>
      </c>
      <c r="B2" s="9" t="n">
        <f aca="false">COUNTIF(Loan_Data!$AK$2:$AK$801,$A2)</f>
        <v>164</v>
      </c>
      <c r="C2" s="10" t="n">
        <f aca="false">IFERROR(B2/COUNTA(Loan_Data!$AK$2:$AK$801),0)</f>
        <v>0.205</v>
      </c>
      <c r="D2" s="9" t="n">
        <f aca="false">COUNTIFS(Loan_Data!$AK$2:$AK$801,$A2,Loan_Data!$AO$2:$AO$801,"Approved")</f>
        <v>110</v>
      </c>
      <c r="E2" s="9" t="n">
        <f aca="false">COUNTIFS(Loan_Data!$AK$2:$AK$801,$A2,Loan_Data!$AO$2:$AO$801,"Rejected")</f>
        <v>9</v>
      </c>
      <c r="F2" s="9" t="n">
        <f aca="false">COUNTIFS(Loan_Data!$AK$2:$AK$801,$A2,Loan_Data!$AO$2:$AO$801,"Pending")</f>
        <v>26</v>
      </c>
      <c r="G2" s="9" t="n">
        <f aca="false">COUNTIFS(Loan_Data!$AK$2:$AK$801,$A2,Loan_Data!$AO$2:$AO$801,"Closed")</f>
        <v>19</v>
      </c>
      <c r="H2" s="10" t="n">
        <f aca="false">IFERROR((D2+G2)/B2,0)</f>
        <v>0.786585365853659</v>
      </c>
      <c r="I2" s="11" t="n">
        <f aca="false">SUMIFS(Loan_Data!$V$2:$V$801,Loan_Data!$AK$2:$AK$801,$A2,Loan_Data!$AO$2:$AO$801,"Approved")+SUMIFS(Loan_Data!$V$2:$V$801,Loan_Data!$AK$2:$AK$801,$A2,Loan_Data!$AO$2:$AO$801,"Closed")</f>
        <v>94401000</v>
      </c>
      <c r="J2" s="11" t="n">
        <f aca="false">IFERROR(I2/(D2+G2),0)</f>
        <v>731790.697674419</v>
      </c>
      <c r="K2" s="12" t="n">
        <f aca="false">IFERROR(AVERAGEIF(Loan_Data!$AK$2:$AK$801,$A2,Loan_Data!$AI$2:$AI$801),0)</f>
        <v>817.512195121951</v>
      </c>
      <c r="L2" s="13" t="n">
        <f aca="false">IFERROR(AVERAGEIF(Loan_Data!$AK$2:$AK$801,$A2,Loan_Data!$W$2:$W$801),0)</f>
        <v>11.0415243902439</v>
      </c>
      <c r="M2" s="10" t="n">
        <f aca="false">IFERROR(AVERAGEIF(Loan_Data!$AK$2:$AK$801,$A2,Loan_Data!$AJ$2:$AJ$801),0)</f>
        <v>0.256510365853659</v>
      </c>
      <c r="N2" s="10" t="n">
        <f aca="false">IFERROR(AVERAGEIF(Loan_Data!$AK$2:$AK$801,$A2,Loan_Data!$AP$2:$AP$801),0)</f>
        <v>0.13630487804878</v>
      </c>
      <c r="O2" s="10" t="n">
        <f aca="false">IFERROR(COUNTIFS(Loan_Data!$AK$2:$AK$801,$A2,Loan_Data!$AN$2:$AN$801,"Missed Payment")/(D2+G2),0)</f>
        <v>0.0232558139534884</v>
      </c>
      <c r="P2" s="10" t="n">
        <f aca="false">IFERROR(COUNTIFS(Loan_Data!$AK$2:$AK$801,$A2,Loan_Data!$AM$2:$AM$801,"Yes")/B2,0)</f>
        <v>0.103658536585366</v>
      </c>
    </row>
    <row r="3" customFormat="false" ht="15" hidden="false" customHeight="false" outlineLevel="0" collapsed="false">
      <c r="A3" s="8" t="s">
        <v>3061</v>
      </c>
      <c r="B3" s="9" t="n">
        <f aca="false">COUNTIF(Loan_Data!$AK$2:$AK$801,$A3)</f>
        <v>456</v>
      </c>
      <c r="C3" s="10" t="n">
        <f aca="false">IFERROR(B3/COUNTA(Loan_Data!$AK$2:$AK$801),0)</f>
        <v>0.57</v>
      </c>
      <c r="D3" s="9" t="n">
        <f aca="false">COUNTIFS(Loan_Data!$AK$2:$AK$801,$A3,Loan_Data!$AO$2:$AO$801,"Approved")</f>
        <v>278</v>
      </c>
      <c r="E3" s="9" t="n">
        <f aca="false">COUNTIFS(Loan_Data!$AK$2:$AK$801,$A3,Loan_Data!$AO$2:$AO$801,"Rejected")</f>
        <v>77</v>
      </c>
      <c r="F3" s="9" t="n">
        <f aca="false">COUNTIFS(Loan_Data!$AK$2:$AK$801,$A3,Loan_Data!$AO$2:$AO$801,"Pending")</f>
        <v>73</v>
      </c>
      <c r="G3" s="9" t="n">
        <f aca="false">COUNTIFS(Loan_Data!$AK$2:$AK$801,$A3,Loan_Data!$AO$2:$AO$801,"Closed")</f>
        <v>28</v>
      </c>
      <c r="H3" s="10" t="n">
        <f aca="false">IFERROR((D3+G3)/B3,0)</f>
        <v>0.671052631578947</v>
      </c>
      <c r="I3" s="11" t="n">
        <f aca="false">SUMIFS(Loan_Data!$V$2:$V$801,Loan_Data!$AK$2:$AK$801,$A3,Loan_Data!$AO$2:$AO$801,"Approved")+SUMIFS(Loan_Data!$V$2:$V$801,Loan_Data!$AK$2:$AK$801,$A3,Loan_Data!$AO$2:$AO$801,"Closed")</f>
        <v>236567000</v>
      </c>
      <c r="J3" s="11" t="n">
        <f aca="false">IFERROR(I3/(D3+G3),0)</f>
        <v>773094.77124183</v>
      </c>
      <c r="K3" s="12" t="n">
        <f aca="false">IFERROR(AVERAGEIF(Loan_Data!$AK$2:$AK$801,$A3,Loan_Data!$AI$2:$AI$801),0)</f>
        <v>706.708333333333</v>
      </c>
      <c r="L3" s="13" t="n">
        <f aca="false">IFERROR(AVERAGEIF(Loan_Data!$AK$2:$AK$801,$A3,Loan_Data!$W$2:$W$801),0)</f>
        <v>11.3243421052632</v>
      </c>
      <c r="M3" s="10" t="n">
        <f aca="false">IFERROR(AVERAGEIF(Loan_Data!$AK$2:$AK$801,$A3,Loan_Data!$AJ$2:$AJ$801),0)</f>
        <v>0.3425</v>
      </c>
      <c r="N3" s="10" t="n">
        <f aca="false">IFERROR(AVERAGEIF(Loan_Data!$AK$2:$AK$801,$A3,Loan_Data!$AP$2:$AP$801),0)</f>
        <v>0.253418859649123</v>
      </c>
      <c r="O3" s="10" t="n">
        <f aca="false">IFERROR(COUNTIFS(Loan_Data!$AK$2:$AK$801,$A3,Loan_Data!$AN$2:$AN$801,"Missed Payment")/(D3+G3),0)</f>
        <v>0.0751633986928105</v>
      </c>
      <c r="P3" s="10" t="n">
        <f aca="false">IFERROR(COUNTIFS(Loan_Data!$AK$2:$AK$801,$A3,Loan_Data!$AM$2:$AM$801,"Yes")/B3,0)</f>
        <v>0.155701754385965</v>
      </c>
    </row>
    <row r="4" customFormat="false" ht="15" hidden="false" customHeight="false" outlineLevel="0" collapsed="false">
      <c r="A4" s="8" t="s">
        <v>3062</v>
      </c>
      <c r="B4" s="9" t="n">
        <f aca="false">COUNTIF(Loan_Data!$AK$2:$AK$801,$A4)</f>
        <v>180</v>
      </c>
      <c r="C4" s="10" t="n">
        <f aca="false">IFERROR(B4/COUNTA(Loan_Data!$AK$2:$AK$801),0)</f>
        <v>0.225</v>
      </c>
      <c r="D4" s="9" t="n">
        <f aca="false">COUNTIFS(Loan_Data!$AK$2:$AK$801,$A4,Loan_Data!$AO$2:$AO$801,"Approved")</f>
        <v>92</v>
      </c>
      <c r="E4" s="9" t="n">
        <f aca="false">COUNTIFS(Loan_Data!$AK$2:$AK$801,$A4,Loan_Data!$AO$2:$AO$801,"Rejected")</f>
        <v>48</v>
      </c>
      <c r="F4" s="9" t="n">
        <f aca="false">COUNTIFS(Loan_Data!$AK$2:$AK$801,$A4,Loan_Data!$AO$2:$AO$801,"Pending")</f>
        <v>27</v>
      </c>
      <c r="G4" s="9" t="n">
        <f aca="false">COUNTIFS(Loan_Data!$AK$2:$AK$801,$A4,Loan_Data!$AO$2:$AO$801,"Closed")</f>
        <v>13</v>
      </c>
      <c r="H4" s="10" t="n">
        <f aca="false">IFERROR((D4+G4)/B4,0)</f>
        <v>0.583333333333333</v>
      </c>
      <c r="I4" s="11" t="n">
        <f aca="false">SUMIFS(Loan_Data!$V$2:$V$801,Loan_Data!$AK$2:$AK$801,$A4,Loan_Data!$AO$2:$AO$801,"Approved")+SUMIFS(Loan_Data!$V$2:$V$801,Loan_Data!$AK$2:$AK$801,$A4,Loan_Data!$AO$2:$AO$801,"Closed")</f>
        <v>85596462</v>
      </c>
      <c r="J4" s="11" t="n">
        <f aca="false">IFERROR(I4/(D4+G4),0)</f>
        <v>815204.4</v>
      </c>
      <c r="K4" s="12" t="n">
        <f aca="false">IFERROR(AVERAGEIF(Loan_Data!$AK$2:$AK$801,$A4,Loan_Data!$AI$2:$AI$801),0)</f>
        <v>648.094444444444</v>
      </c>
      <c r="L4" s="13" t="n">
        <f aca="false">IFERROR(AVERAGEIF(Loan_Data!$AK$2:$AK$801,$A4,Loan_Data!$W$2:$W$801),0)</f>
        <v>11.4286666666667</v>
      </c>
      <c r="M4" s="10" t="n">
        <f aca="false">IFERROR(AVERAGEIF(Loan_Data!$AK$2:$AK$801,$A4,Loan_Data!$AJ$2:$AJ$801),0)</f>
        <v>0.839096111111111</v>
      </c>
      <c r="N4" s="10" t="n">
        <f aca="false">IFERROR(AVERAGEIF(Loan_Data!$AK$2:$AK$801,$A4,Loan_Data!$AP$2:$AP$801),0)</f>
        <v>0.311322222222222</v>
      </c>
      <c r="O4" s="10" t="n">
        <f aca="false">IFERROR(COUNTIFS(Loan_Data!$AK$2:$AK$801,$A4,Loan_Data!$AN$2:$AN$801,"Missed Payment")/(D4+G4),0)</f>
        <v>0.238095238095238</v>
      </c>
      <c r="P4" s="10" t="n">
        <f aca="false">IFERROR(COUNTIFS(Loan_Data!$AK$2:$AK$801,$A4,Loan_Data!$AM$2:$AM$801,"Yes")/B4,0)</f>
        <v>0.155555555555556</v>
      </c>
    </row>
    <row r="5" customFormat="false" ht="15" hidden="false" customHeight="false" outlineLevel="0" collapsed="false">
      <c r="A5" s="20" t="s">
        <v>3052</v>
      </c>
      <c r="B5" s="15" t="n">
        <f aca="false">SUM(B2:B4)</f>
        <v>800</v>
      </c>
      <c r="C5" s="16" t="n">
        <f aca="false">SUM(C2:C4)</f>
        <v>1</v>
      </c>
      <c r="D5" s="15" t="n">
        <f aca="false">SUM(D2:D4)</f>
        <v>480</v>
      </c>
      <c r="E5" s="15" t="n">
        <f aca="false">SUM(E2:E4)</f>
        <v>134</v>
      </c>
      <c r="F5" s="15" t="n">
        <f aca="false">SUM(F2:F4)</f>
        <v>126</v>
      </c>
      <c r="G5" s="15" t="n">
        <f aca="false">SUM(G2:G4)</f>
        <v>60</v>
      </c>
      <c r="H5" s="16" t="n">
        <f aca="false">IFERROR((D5+G5)/B5,0)</f>
        <v>0.675</v>
      </c>
      <c r="I5" s="17" t="n">
        <f aca="false">SUM(I2:I4)</f>
        <v>416564462</v>
      </c>
      <c r="J5" s="17" t="n">
        <f aca="false">IFERROR(I5/(D5+G5),0)</f>
        <v>771415.67037037</v>
      </c>
      <c r="K5" s="18" t="n">
        <f aca="false">AVERAGE(Loan_Data!$AI$2:$AI$801)</f>
        <v>716.235</v>
      </c>
      <c r="L5" s="19" t="n">
        <f aca="false">AVERAGE(Loan_Data!$W$2:$W$801)</f>
        <v>11.2898375</v>
      </c>
      <c r="M5" s="16" t="n">
        <f aca="false">AVERAGE(Loan_Data!$AJ$2:$AJ$801)</f>
        <v>0.43660625</v>
      </c>
      <c r="N5" s="16" t="n">
        <f aca="false">AVERAGE(Loan_Data!$AP$2:$AP$801)</f>
        <v>0.24243875</v>
      </c>
      <c r="O5" s="16" t="n">
        <f aca="false">IFERROR(SUMPRODUCT(O2:O4,(D2:D4+G2:G4))/(D5+G5),0)</f>
        <v>0.0944444444444444</v>
      </c>
      <c r="P5" s="16" t="n">
        <f aca="false">COUNTIF(Loan_Data!$AM$2:$AM$801,"Yes")/COUNTA(Loan_Data!$AK$2:$AK$801)</f>
        <v>0.145</v>
      </c>
    </row>
  </sheetData>
  <autoFilter ref="A1:P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2026-06-21T13:33:43Z</dcterms:created>
  <dc:creator>openpyxl</dc:creator>
  <dc:description/>
  <dc:language>en-US</dc:language>
  <cp:lastModifiedBy/>
  <dcterms:modified xsi:type="dcterms:W3CDTF">2026-06-21T13:35:08Z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